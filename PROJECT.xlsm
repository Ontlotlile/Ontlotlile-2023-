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NTLOTLILE\Desktop\"/>
    </mc:Choice>
  </mc:AlternateContent>
  <bookViews>
    <workbookView xWindow="-120" yWindow="-120" windowWidth="38640" windowHeight="21240" firstSheet="1" activeTab="4"/>
  </bookViews>
  <sheets>
    <sheet name="CORRELATION MATRIX" sheetId="9" r:id="rId1"/>
    <sheet name="DATA" sheetId="8" r:id="rId2"/>
    <sheet name="Sheet1" sheetId="15" r:id="rId3"/>
    <sheet name="Unstressed correlations" sheetId="7" r:id="rId4"/>
    <sheet name="Stressed correlations" sheetId="12" r:id="rId5"/>
    <sheet name="adjusted corr" sheetId="13" r:id="rId6"/>
    <sheet name="errors" sheetId="14" r:id="rId7"/>
  </sheets>
  <functionGroups builtInGroupCount="18"/>
  <definedNames>
    <definedName name="RData">#REF!</definedName>
    <definedName name="solver_adj" localSheetId="4" hidden="1">'Stressed correlations'!#REF!</definedName>
    <definedName name="solver_adj" localSheetId="3" hidden="1">'Unstressed correlations'!#REF!</definedName>
    <definedName name="solver_cvg" localSheetId="4" hidden="1">0.0001</definedName>
    <definedName name="solver_cvg" localSheetId="3" hidden="1">0.0001</definedName>
    <definedName name="solver_drv" localSheetId="4" hidden="1">1</definedName>
    <definedName name="solver_drv" localSheetId="3" hidden="1">1</definedName>
    <definedName name="solver_est" localSheetId="4" hidden="1">1</definedName>
    <definedName name="solver_est" localSheetId="3" hidden="1">1</definedName>
    <definedName name="solver_itr" localSheetId="4" hidden="1">32767</definedName>
    <definedName name="solver_itr" localSheetId="3" hidden="1">32767</definedName>
    <definedName name="solver_lhs1" localSheetId="4" hidden="1">'Stressed correlations'!#REF!</definedName>
    <definedName name="solver_lhs1" localSheetId="3" hidden="1">'Unstressed correlations'!#REF!</definedName>
    <definedName name="solver_lhs2" localSheetId="4" hidden="1">'Stressed correlations'!#REF!</definedName>
    <definedName name="solver_lhs2" localSheetId="3" hidden="1">'Unstressed correlations'!#REF!</definedName>
    <definedName name="solver_lhs3" localSheetId="4" hidden="1">'Stressed correlations'!#REF!</definedName>
    <definedName name="solver_lhs3" localSheetId="3" hidden="1">'Unstressed correlations'!#REF!</definedName>
    <definedName name="solver_lin" localSheetId="4" hidden="1">2</definedName>
    <definedName name="solver_lin" localSheetId="3" hidden="1">2</definedName>
    <definedName name="solver_neg" localSheetId="4" hidden="1">2</definedName>
    <definedName name="solver_neg" localSheetId="3" hidden="1">2</definedName>
    <definedName name="solver_num" localSheetId="4" hidden="1">0</definedName>
    <definedName name="solver_num" localSheetId="3" hidden="1">0</definedName>
    <definedName name="solver_nwt" localSheetId="4" hidden="1">1</definedName>
    <definedName name="solver_nwt" localSheetId="3" hidden="1">1</definedName>
    <definedName name="solver_opt" localSheetId="4" hidden="1">'Stressed correlations'!#REF!</definedName>
    <definedName name="solver_opt" localSheetId="3" hidden="1">'Unstressed correlations'!#REF!</definedName>
    <definedName name="solver_pre" localSheetId="4" hidden="1">0.000001</definedName>
    <definedName name="solver_pre" localSheetId="3" hidden="1">0.000001</definedName>
    <definedName name="solver_rel1" localSheetId="4" hidden="1">3</definedName>
    <definedName name="solver_rel1" localSheetId="3" hidden="1">3</definedName>
    <definedName name="solver_rel2" localSheetId="4" hidden="1">3</definedName>
    <definedName name="solver_rel2" localSheetId="3" hidden="1">3</definedName>
    <definedName name="solver_rel3" localSheetId="4" hidden="1">3</definedName>
    <definedName name="solver_rel3" localSheetId="3" hidden="1">3</definedName>
    <definedName name="solver_rhs1" localSheetId="4" hidden="1">'Stressed correlations'!#REF!+0.0001</definedName>
    <definedName name="solver_rhs1" localSheetId="3" hidden="1">'Unstressed correlations'!#REF!+0.0001</definedName>
    <definedName name="solver_rhs2" localSheetId="4" hidden="1">'Stressed correlations'!#REF!+0.0001</definedName>
    <definedName name="solver_rhs2" localSheetId="3" hidden="1">'Unstressed correlations'!#REF!+0.0001</definedName>
    <definedName name="solver_rhs3" localSheetId="4" hidden="1">'Stressed correlations'!#REF!+0.0001</definedName>
    <definedName name="solver_rhs3" localSheetId="3" hidden="1">'Unstressed correlations'!#REF!+0.0001</definedName>
    <definedName name="solver_scl" localSheetId="4" hidden="1">2</definedName>
    <definedName name="solver_scl" localSheetId="3" hidden="1">2</definedName>
    <definedName name="solver_sho" localSheetId="4" hidden="1">2</definedName>
    <definedName name="solver_sho" localSheetId="3" hidden="1">2</definedName>
    <definedName name="solver_tim" localSheetId="4" hidden="1">100</definedName>
    <definedName name="solver_tim" localSheetId="3" hidden="1">100</definedName>
    <definedName name="solver_tol" localSheetId="4" hidden="1">0.05</definedName>
    <definedName name="solver_tol" localSheetId="3" hidden="1">0.05</definedName>
    <definedName name="solver_typ" localSheetId="4" hidden="1">1</definedName>
    <definedName name="solver_typ" localSheetId="3" hidden="1">1</definedName>
    <definedName name="solver_val" localSheetId="4" hidden="1">0</definedName>
    <definedName name="solver_val" localSheetId="3" hidden="1">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1" i="8" l="1"/>
  <c r="Z30" i="8"/>
  <c r="Z29" i="8"/>
  <c r="Z24" i="8" l="1"/>
  <c r="Z23" i="8"/>
  <c r="Z22" i="8"/>
  <c r="Z15" i="8"/>
  <c r="Z16" i="8"/>
  <c r="Z14" i="8"/>
  <c r="F17" i="14" l="1" a="1"/>
  <c r="F17" i="14"/>
  <c r="F8" i="14" a="1"/>
  <c r="F8" i="14"/>
  <c r="F9" i="14" a="1"/>
  <c r="F9" i="14"/>
  <c r="F10" i="14" a="1"/>
  <c r="F10" i="14"/>
  <c r="F11" i="14" a="1"/>
  <c r="F11" i="14"/>
  <c r="F12" i="14" a="1"/>
  <c r="F12" i="14"/>
  <c r="F13" i="14" a="1"/>
  <c r="F13" i="14"/>
  <c r="F14" i="14" a="1"/>
  <c r="F14" i="14"/>
  <c r="F15" i="14" a="1"/>
  <c r="F15" i="14"/>
  <c r="F7" i="14" a="1"/>
  <c r="F7" i="14"/>
  <c r="E8" i="14" a="1"/>
  <c r="E8" i="14"/>
  <c r="E9" i="14" a="1"/>
  <c r="E9" i="14"/>
  <c r="E10" i="14" a="1"/>
  <c r="E10" i="14"/>
  <c r="E11" i="14" a="1"/>
  <c r="E11" i="14"/>
  <c r="E12" i="14" a="1"/>
  <c r="E12" i="14"/>
  <c r="E13" i="14" a="1"/>
  <c r="E13" i="14"/>
  <c r="E14" i="14" a="1"/>
  <c r="E14" i="14"/>
  <c r="E15" i="14" a="1"/>
  <c r="E15" i="14"/>
  <c r="E7" i="14" a="1"/>
  <c r="E7" i="14"/>
  <c r="D6" i="14" a="1"/>
  <c r="D6" i="14"/>
  <c r="D7" i="14"/>
  <c r="D8" i="14"/>
  <c r="D9" i="14"/>
  <c r="D10" i="14"/>
  <c r="D11" i="14"/>
  <c r="D12" i="14"/>
  <c r="D13" i="14"/>
  <c r="D14" i="14"/>
  <c r="D15" i="14"/>
  <c r="C6" i="14" a="1"/>
  <c r="C6" i="14" s="1"/>
  <c r="C7" i="14"/>
  <c r="C9" i="14"/>
  <c r="C11" i="14"/>
  <c r="C13" i="14"/>
  <c r="C15" i="14"/>
  <c r="A55" i="13" a="1"/>
  <c r="A55" i="13" s="1"/>
  <c r="B19" i="13" a="1"/>
  <c r="B19" i="13" s="1"/>
  <c r="C14" i="14" l="1"/>
  <c r="C12" i="14"/>
  <c r="C10" i="14"/>
  <c r="C8" i="14"/>
  <c r="I27" i="13"/>
  <c r="E27" i="13"/>
  <c r="J26" i="13"/>
  <c r="F26" i="13"/>
  <c r="B26" i="13"/>
  <c r="G25" i="13"/>
  <c r="C25" i="13"/>
  <c r="H24" i="13"/>
  <c r="D24" i="13"/>
  <c r="I23" i="13"/>
  <c r="E23" i="13"/>
  <c r="J22" i="13"/>
  <c r="F22" i="13"/>
  <c r="B22" i="13"/>
  <c r="G21" i="13"/>
  <c r="C21" i="13"/>
  <c r="H20" i="13"/>
  <c r="D20" i="13"/>
  <c r="I19" i="13"/>
  <c r="E19" i="13"/>
  <c r="G27" i="13"/>
  <c r="C27" i="13"/>
  <c r="H26" i="13"/>
  <c r="D26" i="13"/>
  <c r="I25" i="13"/>
  <c r="E25" i="13"/>
  <c r="J24" i="13"/>
  <c r="F24" i="13"/>
  <c r="B24" i="13"/>
  <c r="G23" i="13"/>
  <c r="C23" i="13"/>
  <c r="H22" i="13"/>
  <c r="D22" i="13"/>
  <c r="I21" i="13"/>
  <c r="E21" i="13"/>
  <c r="J20" i="13"/>
  <c r="F20" i="13"/>
  <c r="B20" i="13"/>
  <c r="L19" i="13" s="1" a="1"/>
  <c r="G19" i="13"/>
  <c r="C19" i="13"/>
  <c r="A63" i="13"/>
  <c r="A62" i="13"/>
  <c r="A60" i="13"/>
  <c r="A58" i="13"/>
  <c r="A56" i="13"/>
  <c r="A61" i="13"/>
  <c r="A59" i="13"/>
  <c r="A57" i="13"/>
  <c r="J27" i="13"/>
  <c r="H27" i="13"/>
  <c r="F27" i="13"/>
  <c r="D27" i="13"/>
  <c r="B27" i="13"/>
  <c r="I26" i="13"/>
  <c r="G26" i="13"/>
  <c r="E26" i="13"/>
  <c r="C26" i="13"/>
  <c r="J25" i="13"/>
  <c r="H25" i="13"/>
  <c r="F25" i="13"/>
  <c r="D25" i="13"/>
  <c r="B25" i="13"/>
  <c r="I24" i="13"/>
  <c r="G24" i="13"/>
  <c r="E24" i="13"/>
  <c r="C24" i="13"/>
  <c r="J23" i="13"/>
  <c r="H23" i="13"/>
  <c r="F23" i="13"/>
  <c r="D23" i="13"/>
  <c r="B23" i="13"/>
  <c r="I22" i="13"/>
  <c r="G22" i="13"/>
  <c r="E22" i="13"/>
  <c r="C22" i="13"/>
  <c r="J21" i="13"/>
  <c r="H21" i="13"/>
  <c r="F21" i="13"/>
  <c r="D21" i="13"/>
  <c r="B21" i="13"/>
  <c r="I20" i="13"/>
  <c r="G20" i="13"/>
  <c r="E20" i="13"/>
  <c r="C20" i="13"/>
  <c r="J19" i="13"/>
  <c r="H19" i="13"/>
  <c r="F19" i="13"/>
  <c r="D19" i="13"/>
  <c r="B6" i="12" a="1"/>
  <c r="N1" i="12"/>
  <c r="N5" i="12" s="1"/>
  <c r="M1" i="12"/>
  <c r="M5" i="12" s="1"/>
  <c r="L1" i="12"/>
  <c r="L5" i="12" s="1"/>
  <c r="K1" i="12"/>
  <c r="K5" i="12" s="1"/>
  <c r="AG5" i="12" s="1"/>
  <c r="J1" i="12"/>
  <c r="J5" i="12" s="1"/>
  <c r="AF5" i="12" s="1"/>
  <c r="I1" i="12"/>
  <c r="I5" i="12" s="1"/>
  <c r="AE5" i="12" s="1"/>
  <c r="H1" i="12"/>
  <c r="H5" i="12" s="1"/>
  <c r="AD5" i="12" s="1"/>
  <c r="G1" i="12"/>
  <c r="G5" i="12" s="1"/>
  <c r="AC5" i="12" s="1"/>
  <c r="F1" i="12"/>
  <c r="F5" i="12" s="1"/>
  <c r="AB5" i="12" s="1"/>
  <c r="B6" i="7" a="1"/>
  <c r="B6" i="7" s="1"/>
  <c r="N1" i="7"/>
  <c r="N5" i="7" s="1"/>
  <c r="AJ5" i="7" s="1"/>
  <c r="G1" i="7"/>
  <c r="G5" i="7" s="1"/>
  <c r="AC5" i="7" s="1"/>
  <c r="H1" i="7"/>
  <c r="H5" i="7" s="1"/>
  <c r="AD5" i="7" s="1"/>
  <c r="I1" i="7"/>
  <c r="I5" i="7" s="1"/>
  <c r="AE5" i="7" s="1"/>
  <c r="J1" i="7"/>
  <c r="J5" i="7" s="1"/>
  <c r="AF5" i="7" s="1"/>
  <c r="K1" i="7"/>
  <c r="K5" i="7" s="1"/>
  <c r="AG5" i="7" s="1"/>
  <c r="L1" i="7"/>
  <c r="L5" i="7" s="1"/>
  <c r="AH5" i="7" s="1"/>
  <c r="M1" i="7"/>
  <c r="M5" i="7" s="1"/>
  <c r="AI5" i="7" s="1"/>
  <c r="F1" i="7"/>
  <c r="F5" i="7" s="1"/>
  <c r="AB5" i="7" s="1"/>
  <c r="A2" i="9" a="1"/>
  <c r="A10" i="9" s="1"/>
  <c r="T1258" i="8"/>
  <c r="S1258" i="8"/>
  <c r="R1258" i="8"/>
  <c r="Q1258" i="8"/>
  <c r="P1258" i="8"/>
  <c r="O1258" i="8"/>
  <c r="N1258" i="8"/>
  <c r="M1258" i="8"/>
  <c r="L1258" i="8"/>
  <c r="T1257" i="8"/>
  <c r="S1257" i="8"/>
  <c r="R1257" i="8"/>
  <c r="Q1257" i="8"/>
  <c r="P1257" i="8"/>
  <c r="O1257" i="8"/>
  <c r="N1257" i="8"/>
  <c r="M1257" i="8"/>
  <c r="L1257" i="8"/>
  <c r="T1256" i="8"/>
  <c r="S1256" i="8"/>
  <c r="R1256" i="8"/>
  <c r="Q1256" i="8"/>
  <c r="P1256" i="8"/>
  <c r="O1256" i="8"/>
  <c r="N1256" i="8"/>
  <c r="M1256" i="8"/>
  <c r="L1256" i="8"/>
  <c r="T1255" i="8"/>
  <c r="S1255" i="8"/>
  <c r="R1255" i="8"/>
  <c r="Q1255" i="8"/>
  <c r="P1255" i="8"/>
  <c r="O1255" i="8"/>
  <c r="N1255" i="8"/>
  <c r="M1255" i="8"/>
  <c r="L1255" i="8"/>
  <c r="T1254" i="8"/>
  <c r="S1254" i="8"/>
  <c r="R1254" i="8"/>
  <c r="Q1254" i="8"/>
  <c r="P1254" i="8"/>
  <c r="O1254" i="8"/>
  <c r="N1254" i="8"/>
  <c r="M1254" i="8"/>
  <c r="L1254" i="8"/>
  <c r="T1253" i="8"/>
  <c r="S1253" i="8"/>
  <c r="R1253" i="8"/>
  <c r="Q1253" i="8"/>
  <c r="P1253" i="8"/>
  <c r="O1253" i="8"/>
  <c r="N1253" i="8"/>
  <c r="M1253" i="8"/>
  <c r="L1253" i="8"/>
  <c r="T1252" i="8"/>
  <c r="S1252" i="8"/>
  <c r="R1252" i="8"/>
  <c r="Q1252" i="8"/>
  <c r="P1252" i="8"/>
  <c r="O1252" i="8"/>
  <c r="N1252" i="8"/>
  <c r="M1252" i="8"/>
  <c r="L1252" i="8"/>
  <c r="T1251" i="8"/>
  <c r="S1251" i="8"/>
  <c r="R1251" i="8"/>
  <c r="Q1251" i="8"/>
  <c r="P1251" i="8"/>
  <c r="O1251" i="8"/>
  <c r="N1251" i="8"/>
  <c r="M1251" i="8"/>
  <c r="L1251" i="8"/>
  <c r="T1250" i="8"/>
  <c r="S1250" i="8"/>
  <c r="R1250" i="8"/>
  <c r="Q1250" i="8"/>
  <c r="P1250" i="8"/>
  <c r="O1250" i="8"/>
  <c r="N1250" i="8"/>
  <c r="M1250" i="8"/>
  <c r="L1250" i="8"/>
  <c r="T1249" i="8"/>
  <c r="S1249" i="8"/>
  <c r="R1249" i="8"/>
  <c r="Q1249" i="8"/>
  <c r="P1249" i="8"/>
  <c r="O1249" i="8"/>
  <c r="N1249" i="8"/>
  <c r="M1249" i="8"/>
  <c r="L1249" i="8"/>
  <c r="T1248" i="8"/>
  <c r="S1248" i="8"/>
  <c r="R1248" i="8"/>
  <c r="Q1248" i="8"/>
  <c r="P1248" i="8"/>
  <c r="O1248" i="8"/>
  <c r="N1248" i="8"/>
  <c r="M1248" i="8"/>
  <c r="L1248" i="8"/>
  <c r="T1247" i="8"/>
  <c r="S1247" i="8"/>
  <c r="R1247" i="8"/>
  <c r="Q1247" i="8"/>
  <c r="P1247" i="8"/>
  <c r="O1247" i="8"/>
  <c r="N1247" i="8"/>
  <c r="M1247" i="8"/>
  <c r="L1247" i="8"/>
  <c r="T1246" i="8"/>
  <c r="S1246" i="8"/>
  <c r="R1246" i="8"/>
  <c r="Q1246" i="8"/>
  <c r="P1246" i="8"/>
  <c r="O1246" i="8"/>
  <c r="N1246" i="8"/>
  <c r="M1246" i="8"/>
  <c r="L1246" i="8"/>
  <c r="T1245" i="8"/>
  <c r="S1245" i="8"/>
  <c r="R1245" i="8"/>
  <c r="Q1245" i="8"/>
  <c r="P1245" i="8"/>
  <c r="O1245" i="8"/>
  <c r="N1245" i="8"/>
  <c r="M1245" i="8"/>
  <c r="L1245" i="8"/>
  <c r="T1244" i="8"/>
  <c r="S1244" i="8"/>
  <c r="R1244" i="8"/>
  <c r="Q1244" i="8"/>
  <c r="P1244" i="8"/>
  <c r="O1244" i="8"/>
  <c r="N1244" i="8"/>
  <c r="M1244" i="8"/>
  <c r="L1244" i="8"/>
  <c r="T1243" i="8"/>
  <c r="S1243" i="8"/>
  <c r="R1243" i="8"/>
  <c r="Q1243" i="8"/>
  <c r="P1243" i="8"/>
  <c r="O1243" i="8"/>
  <c r="N1243" i="8"/>
  <c r="M1243" i="8"/>
  <c r="L1243" i="8"/>
  <c r="T1242" i="8"/>
  <c r="S1242" i="8"/>
  <c r="R1242" i="8"/>
  <c r="Q1242" i="8"/>
  <c r="P1242" i="8"/>
  <c r="O1242" i="8"/>
  <c r="N1242" i="8"/>
  <c r="M1242" i="8"/>
  <c r="L1242" i="8"/>
  <c r="T1241" i="8"/>
  <c r="S1241" i="8"/>
  <c r="R1241" i="8"/>
  <c r="Q1241" i="8"/>
  <c r="P1241" i="8"/>
  <c r="O1241" i="8"/>
  <c r="N1241" i="8"/>
  <c r="M1241" i="8"/>
  <c r="L1241" i="8"/>
  <c r="T1240" i="8"/>
  <c r="S1240" i="8"/>
  <c r="R1240" i="8"/>
  <c r="Q1240" i="8"/>
  <c r="P1240" i="8"/>
  <c r="O1240" i="8"/>
  <c r="N1240" i="8"/>
  <c r="M1240" i="8"/>
  <c r="L1240" i="8"/>
  <c r="T1239" i="8"/>
  <c r="S1239" i="8"/>
  <c r="R1239" i="8"/>
  <c r="Q1239" i="8"/>
  <c r="P1239" i="8"/>
  <c r="O1239" i="8"/>
  <c r="N1239" i="8"/>
  <c r="M1239" i="8"/>
  <c r="L1239" i="8"/>
  <c r="T1238" i="8"/>
  <c r="S1238" i="8"/>
  <c r="R1238" i="8"/>
  <c r="Q1238" i="8"/>
  <c r="P1238" i="8"/>
  <c r="O1238" i="8"/>
  <c r="N1238" i="8"/>
  <c r="M1238" i="8"/>
  <c r="L1238" i="8"/>
  <c r="T1237" i="8"/>
  <c r="S1237" i="8"/>
  <c r="R1237" i="8"/>
  <c r="Q1237" i="8"/>
  <c r="P1237" i="8"/>
  <c r="O1237" i="8"/>
  <c r="N1237" i="8"/>
  <c r="M1237" i="8"/>
  <c r="L1237" i="8"/>
  <c r="T1236" i="8"/>
  <c r="S1236" i="8"/>
  <c r="R1236" i="8"/>
  <c r="Q1236" i="8"/>
  <c r="P1236" i="8"/>
  <c r="O1236" i="8"/>
  <c r="N1236" i="8"/>
  <c r="M1236" i="8"/>
  <c r="L1236" i="8"/>
  <c r="T1235" i="8"/>
  <c r="S1235" i="8"/>
  <c r="R1235" i="8"/>
  <c r="Q1235" i="8"/>
  <c r="P1235" i="8"/>
  <c r="O1235" i="8"/>
  <c r="N1235" i="8"/>
  <c r="M1235" i="8"/>
  <c r="L1235" i="8"/>
  <c r="T1234" i="8"/>
  <c r="S1234" i="8"/>
  <c r="R1234" i="8"/>
  <c r="Q1234" i="8"/>
  <c r="P1234" i="8"/>
  <c r="O1234" i="8"/>
  <c r="N1234" i="8"/>
  <c r="M1234" i="8"/>
  <c r="L1234" i="8"/>
  <c r="T1233" i="8"/>
  <c r="S1233" i="8"/>
  <c r="R1233" i="8"/>
  <c r="Q1233" i="8"/>
  <c r="P1233" i="8"/>
  <c r="O1233" i="8"/>
  <c r="N1233" i="8"/>
  <c r="M1233" i="8"/>
  <c r="L1233" i="8"/>
  <c r="T1232" i="8"/>
  <c r="S1232" i="8"/>
  <c r="R1232" i="8"/>
  <c r="Q1232" i="8"/>
  <c r="P1232" i="8"/>
  <c r="O1232" i="8"/>
  <c r="N1232" i="8"/>
  <c r="M1232" i="8"/>
  <c r="L1232" i="8"/>
  <c r="T1231" i="8"/>
  <c r="S1231" i="8"/>
  <c r="R1231" i="8"/>
  <c r="Q1231" i="8"/>
  <c r="P1231" i="8"/>
  <c r="O1231" i="8"/>
  <c r="N1231" i="8"/>
  <c r="M1231" i="8"/>
  <c r="L1231" i="8"/>
  <c r="T1230" i="8"/>
  <c r="S1230" i="8"/>
  <c r="R1230" i="8"/>
  <c r="Q1230" i="8"/>
  <c r="P1230" i="8"/>
  <c r="O1230" i="8"/>
  <c r="N1230" i="8"/>
  <c r="M1230" i="8"/>
  <c r="L1230" i="8"/>
  <c r="T1229" i="8"/>
  <c r="S1229" i="8"/>
  <c r="R1229" i="8"/>
  <c r="Q1229" i="8"/>
  <c r="P1229" i="8"/>
  <c r="O1229" i="8"/>
  <c r="N1229" i="8"/>
  <c r="M1229" i="8"/>
  <c r="L1229" i="8"/>
  <c r="T1228" i="8"/>
  <c r="S1228" i="8"/>
  <c r="R1228" i="8"/>
  <c r="Q1228" i="8"/>
  <c r="P1228" i="8"/>
  <c r="O1228" i="8"/>
  <c r="N1228" i="8"/>
  <c r="M1228" i="8"/>
  <c r="L1228" i="8"/>
  <c r="T1227" i="8"/>
  <c r="S1227" i="8"/>
  <c r="R1227" i="8"/>
  <c r="Q1227" i="8"/>
  <c r="P1227" i="8"/>
  <c r="O1227" i="8"/>
  <c r="N1227" i="8"/>
  <c r="M1227" i="8"/>
  <c r="L1227" i="8"/>
  <c r="T1226" i="8"/>
  <c r="S1226" i="8"/>
  <c r="R1226" i="8"/>
  <c r="Q1226" i="8"/>
  <c r="P1226" i="8"/>
  <c r="O1226" i="8"/>
  <c r="N1226" i="8"/>
  <c r="M1226" i="8"/>
  <c r="L1226" i="8"/>
  <c r="T1225" i="8"/>
  <c r="S1225" i="8"/>
  <c r="R1225" i="8"/>
  <c r="Q1225" i="8"/>
  <c r="P1225" i="8"/>
  <c r="O1225" i="8"/>
  <c r="N1225" i="8"/>
  <c r="M1225" i="8"/>
  <c r="L1225" i="8"/>
  <c r="T1224" i="8"/>
  <c r="S1224" i="8"/>
  <c r="R1224" i="8"/>
  <c r="Q1224" i="8"/>
  <c r="P1224" i="8"/>
  <c r="O1224" i="8"/>
  <c r="N1224" i="8"/>
  <c r="M1224" i="8"/>
  <c r="L1224" i="8"/>
  <c r="T1223" i="8"/>
  <c r="S1223" i="8"/>
  <c r="R1223" i="8"/>
  <c r="Q1223" i="8"/>
  <c r="P1223" i="8"/>
  <c r="O1223" i="8"/>
  <c r="N1223" i="8"/>
  <c r="M1223" i="8"/>
  <c r="L1223" i="8"/>
  <c r="T1222" i="8"/>
  <c r="S1222" i="8"/>
  <c r="R1222" i="8"/>
  <c r="Q1222" i="8"/>
  <c r="P1222" i="8"/>
  <c r="O1222" i="8"/>
  <c r="N1222" i="8"/>
  <c r="M1222" i="8"/>
  <c r="L1222" i="8"/>
  <c r="T1221" i="8"/>
  <c r="S1221" i="8"/>
  <c r="R1221" i="8"/>
  <c r="Q1221" i="8"/>
  <c r="P1221" i="8"/>
  <c r="O1221" i="8"/>
  <c r="N1221" i="8"/>
  <c r="M1221" i="8"/>
  <c r="L1221" i="8"/>
  <c r="T1220" i="8"/>
  <c r="S1220" i="8"/>
  <c r="R1220" i="8"/>
  <c r="Q1220" i="8"/>
  <c r="P1220" i="8"/>
  <c r="O1220" i="8"/>
  <c r="N1220" i="8"/>
  <c r="M1220" i="8"/>
  <c r="L1220" i="8"/>
  <c r="T1219" i="8"/>
  <c r="S1219" i="8"/>
  <c r="R1219" i="8"/>
  <c r="Q1219" i="8"/>
  <c r="P1219" i="8"/>
  <c r="O1219" i="8"/>
  <c r="N1219" i="8"/>
  <c r="M1219" i="8"/>
  <c r="L1219" i="8"/>
  <c r="T1218" i="8"/>
  <c r="S1218" i="8"/>
  <c r="R1218" i="8"/>
  <c r="Q1218" i="8"/>
  <c r="P1218" i="8"/>
  <c r="O1218" i="8"/>
  <c r="N1218" i="8"/>
  <c r="M1218" i="8"/>
  <c r="L1218" i="8"/>
  <c r="T1217" i="8"/>
  <c r="S1217" i="8"/>
  <c r="R1217" i="8"/>
  <c r="Q1217" i="8"/>
  <c r="P1217" i="8"/>
  <c r="O1217" i="8"/>
  <c r="N1217" i="8"/>
  <c r="M1217" i="8"/>
  <c r="L1217" i="8"/>
  <c r="T1216" i="8"/>
  <c r="S1216" i="8"/>
  <c r="R1216" i="8"/>
  <c r="Q1216" i="8"/>
  <c r="P1216" i="8"/>
  <c r="O1216" i="8"/>
  <c r="N1216" i="8"/>
  <c r="M1216" i="8"/>
  <c r="L1216" i="8"/>
  <c r="T1215" i="8"/>
  <c r="S1215" i="8"/>
  <c r="R1215" i="8"/>
  <c r="Q1215" i="8"/>
  <c r="P1215" i="8"/>
  <c r="O1215" i="8"/>
  <c r="N1215" i="8"/>
  <c r="M1215" i="8"/>
  <c r="L1215" i="8"/>
  <c r="T1214" i="8"/>
  <c r="S1214" i="8"/>
  <c r="R1214" i="8"/>
  <c r="Q1214" i="8"/>
  <c r="P1214" i="8"/>
  <c r="O1214" i="8"/>
  <c r="N1214" i="8"/>
  <c r="M1214" i="8"/>
  <c r="L1214" i="8"/>
  <c r="T1213" i="8"/>
  <c r="S1213" i="8"/>
  <c r="R1213" i="8"/>
  <c r="Q1213" i="8"/>
  <c r="P1213" i="8"/>
  <c r="O1213" i="8"/>
  <c r="N1213" i="8"/>
  <c r="M1213" i="8"/>
  <c r="L1213" i="8"/>
  <c r="T1212" i="8"/>
  <c r="S1212" i="8"/>
  <c r="R1212" i="8"/>
  <c r="Q1212" i="8"/>
  <c r="P1212" i="8"/>
  <c r="O1212" i="8"/>
  <c r="N1212" i="8"/>
  <c r="M1212" i="8"/>
  <c r="L1212" i="8"/>
  <c r="T1211" i="8"/>
  <c r="S1211" i="8"/>
  <c r="R1211" i="8"/>
  <c r="Q1211" i="8"/>
  <c r="P1211" i="8"/>
  <c r="O1211" i="8"/>
  <c r="N1211" i="8"/>
  <c r="M1211" i="8"/>
  <c r="L1211" i="8"/>
  <c r="T1210" i="8"/>
  <c r="S1210" i="8"/>
  <c r="R1210" i="8"/>
  <c r="Q1210" i="8"/>
  <c r="P1210" i="8"/>
  <c r="O1210" i="8"/>
  <c r="N1210" i="8"/>
  <c r="M1210" i="8"/>
  <c r="L1210" i="8"/>
  <c r="T1209" i="8"/>
  <c r="S1209" i="8"/>
  <c r="R1209" i="8"/>
  <c r="Q1209" i="8"/>
  <c r="P1209" i="8"/>
  <c r="O1209" i="8"/>
  <c r="N1209" i="8"/>
  <c r="M1209" i="8"/>
  <c r="L1209" i="8"/>
  <c r="T1208" i="8"/>
  <c r="S1208" i="8"/>
  <c r="R1208" i="8"/>
  <c r="Q1208" i="8"/>
  <c r="P1208" i="8"/>
  <c r="O1208" i="8"/>
  <c r="N1208" i="8"/>
  <c r="M1208" i="8"/>
  <c r="L1208" i="8"/>
  <c r="T1207" i="8"/>
  <c r="S1207" i="8"/>
  <c r="R1207" i="8"/>
  <c r="Q1207" i="8"/>
  <c r="P1207" i="8"/>
  <c r="O1207" i="8"/>
  <c r="N1207" i="8"/>
  <c r="M1207" i="8"/>
  <c r="L1207" i="8"/>
  <c r="T1206" i="8"/>
  <c r="S1206" i="8"/>
  <c r="R1206" i="8"/>
  <c r="Q1206" i="8"/>
  <c r="P1206" i="8"/>
  <c r="O1206" i="8"/>
  <c r="N1206" i="8"/>
  <c r="M1206" i="8"/>
  <c r="L1206" i="8"/>
  <c r="T1205" i="8"/>
  <c r="S1205" i="8"/>
  <c r="R1205" i="8"/>
  <c r="Q1205" i="8"/>
  <c r="P1205" i="8"/>
  <c r="O1205" i="8"/>
  <c r="N1205" i="8"/>
  <c r="M1205" i="8"/>
  <c r="L1205" i="8"/>
  <c r="T1204" i="8"/>
  <c r="S1204" i="8"/>
  <c r="R1204" i="8"/>
  <c r="Q1204" i="8"/>
  <c r="P1204" i="8"/>
  <c r="O1204" i="8"/>
  <c r="N1204" i="8"/>
  <c r="M1204" i="8"/>
  <c r="L1204" i="8"/>
  <c r="T1203" i="8"/>
  <c r="S1203" i="8"/>
  <c r="R1203" i="8"/>
  <c r="Q1203" i="8"/>
  <c r="P1203" i="8"/>
  <c r="O1203" i="8"/>
  <c r="N1203" i="8"/>
  <c r="M1203" i="8"/>
  <c r="L1203" i="8"/>
  <c r="T1202" i="8"/>
  <c r="S1202" i="8"/>
  <c r="R1202" i="8"/>
  <c r="Q1202" i="8"/>
  <c r="P1202" i="8"/>
  <c r="O1202" i="8"/>
  <c r="N1202" i="8"/>
  <c r="M1202" i="8"/>
  <c r="L1202" i="8"/>
  <c r="T1201" i="8"/>
  <c r="S1201" i="8"/>
  <c r="R1201" i="8"/>
  <c r="Q1201" i="8"/>
  <c r="P1201" i="8"/>
  <c r="O1201" i="8"/>
  <c r="N1201" i="8"/>
  <c r="M1201" i="8"/>
  <c r="L1201" i="8"/>
  <c r="T1200" i="8"/>
  <c r="S1200" i="8"/>
  <c r="R1200" i="8"/>
  <c r="Q1200" i="8"/>
  <c r="P1200" i="8"/>
  <c r="O1200" i="8"/>
  <c r="N1200" i="8"/>
  <c r="M1200" i="8"/>
  <c r="L1200" i="8"/>
  <c r="T1199" i="8"/>
  <c r="S1199" i="8"/>
  <c r="R1199" i="8"/>
  <c r="Q1199" i="8"/>
  <c r="P1199" i="8"/>
  <c r="O1199" i="8"/>
  <c r="N1199" i="8"/>
  <c r="M1199" i="8"/>
  <c r="L1199" i="8"/>
  <c r="T1198" i="8"/>
  <c r="S1198" i="8"/>
  <c r="R1198" i="8"/>
  <c r="Q1198" i="8"/>
  <c r="P1198" i="8"/>
  <c r="O1198" i="8"/>
  <c r="N1198" i="8"/>
  <c r="M1198" i="8"/>
  <c r="L1198" i="8"/>
  <c r="T1197" i="8"/>
  <c r="S1197" i="8"/>
  <c r="R1197" i="8"/>
  <c r="Q1197" i="8"/>
  <c r="P1197" i="8"/>
  <c r="O1197" i="8"/>
  <c r="N1197" i="8"/>
  <c r="M1197" i="8"/>
  <c r="L1197" i="8"/>
  <c r="T1196" i="8"/>
  <c r="S1196" i="8"/>
  <c r="R1196" i="8"/>
  <c r="Q1196" i="8"/>
  <c r="P1196" i="8"/>
  <c r="O1196" i="8"/>
  <c r="N1196" i="8"/>
  <c r="M1196" i="8"/>
  <c r="L1196" i="8"/>
  <c r="T1195" i="8"/>
  <c r="S1195" i="8"/>
  <c r="R1195" i="8"/>
  <c r="Q1195" i="8"/>
  <c r="P1195" i="8"/>
  <c r="O1195" i="8"/>
  <c r="N1195" i="8"/>
  <c r="M1195" i="8"/>
  <c r="L1195" i="8"/>
  <c r="T1194" i="8"/>
  <c r="S1194" i="8"/>
  <c r="R1194" i="8"/>
  <c r="Q1194" i="8"/>
  <c r="P1194" i="8"/>
  <c r="O1194" i="8"/>
  <c r="N1194" i="8"/>
  <c r="M1194" i="8"/>
  <c r="L1194" i="8"/>
  <c r="T1193" i="8"/>
  <c r="S1193" i="8"/>
  <c r="R1193" i="8"/>
  <c r="Q1193" i="8"/>
  <c r="P1193" i="8"/>
  <c r="O1193" i="8"/>
  <c r="N1193" i="8"/>
  <c r="M1193" i="8"/>
  <c r="L1193" i="8"/>
  <c r="T1192" i="8"/>
  <c r="S1192" i="8"/>
  <c r="R1192" i="8"/>
  <c r="Q1192" i="8"/>
  <c r="P1192" i="8"/>
  <c r="O1192" i="8"/>
  <c r="N1192" i="8"/>
  <c r="M1192" i="8"/>
  <c r="L1192" i="8"/>
  <c r="T1191" i="8"/>
  <c r="S1191" i="8"/>
  <c r="R1191" i="8"/>
  <c r="Q1191" i="8"/>
  <c r="P1191" i="8"/>
  <c r="O1191" i="8"/>
  <c r="N1191" i="8"/>
  <c r="M1191" i="8"/>
  <c r="L1191" i="8"/>
  <c r="T1190" i="8"/>
  <c r="S1190" i="8"/>
  <c r="R1190" i="8"/>
  <c r="Q1190" i="8"/>
  <c r="P1190" i="8"/>
  <c r="O1190" i="8"/>
  <c r="N1190" i="8"/>
  <c r="M1190" i="8"/>
  <c r="L1190" i="8"/>
  <c r="T1189" i="8"/>
  <c r="S1189" i="8"/>
  <c r="R1189" i="8"/>
  <c r="Q1189" i="8"/>
  <c r="P1189" i="8"/>
  <c r="O1189" i="8"/>
  <c r="N1189" i="8"/>
  <c r="M1189" i="8"/>
  <c r="L1189" i="8"/>
  <c r="T1188" i="8"/>
  <c r="S1188" i="8"/>
  <c r="R1188" i="8"/>
  <c r="Q1188" i="8"/>
  <c r="P1188" i="8"/>
  <c r="O1188" i="8"/>
  <c r="N1188" i="8"/>
  <c r="M1188" i="8"/>
  <c r="L1188" i="8"/>
  <c r="T1187" i="8"/>
  <c r="S1187" i="8"/>
  <c r="R1187" i="8"/>
  <c r="Q1187" i="8"/>
  <c r="P1187" i="8"/>
  <c r="O1187" i="8"/>
  <c r="N1187" i="8"/>
  <c r="M1187" i="8"/>
  <c r="L1187" i="8"/>
  <c r="T1186" i="8"/>
  <c r="S1186" i="8"/>
  <c r="R1186" i="8"/>
  <c r="Q1186" i="8"/>
  <c r="P1186" i="8"/>
  <c r="O1186" i="8"/>
  <c r="N1186" i="8"/>
  <c r="M1186" i="8"/>
  <c r="L1186" i="8"/>
  <c r="T1185" i="8"/>
  <c r="S1185" i="8"/>
  <c r="R1185" i="8"/>
  <c r="Q1185" i="8"/>
  <c r="P1185" i="8"/>
  <c r="O1185" i="8"/>
  <c r="N1185" i="8"/>
  <c r="M1185" i="8"/>
  <c r="L1185" i="8"/>
  <c r="T1184" i="8"/>
  <c r="S1184" i="8"/>
  <c r="R1184" i="8"/>
  <c r="Q1184" i="8"/>
  <c r="P1184" i="8"/>
  <c r="O1184" i="8"/>
  <c r="N1184" i="8"/>
  <c r="M1184" i="8"/>
  <c r="L1184" i="8"/>
  <c r="T1183" i="8"/>
  <c r="S1183" i="8"/>
  <c r="R1183" i="8"/>
  <c r="Q1183" i="8"/>
  <c r="P1183" i="8"/>
  <c r="O1183" i="8"/>
  <c r="N1183" i="8"/>
  <c r="M1183" i="8"/>
  <c r="L1183" i="8"/>
  <c r="T1182" i="8"/>
  <c r="S1182" i="8"/>
  <c r="R1182" i="8"/>
  <c r="Q1182" i="8"/>
  <c r="P1182" i="8"/>
  <c r="O1182" i="8"/>
  <c r="N1182" i="8"/>
  <c r="M1182" i="8"/>
  <c r="L1182" i="8"/>
  <c r="T1181" i="8"/>
  <c r="S1181" i="8"/>
  <c r="R1181" i="8"/>
  <c r="Q1181" i="8"/>
  <c r="P1181" i="8"/>
  <c r="O1181" i="8"/>
  <c r="N1181" i="8"/>
  <c r="M1181" i="8"/>
  <c r="L1181" i="8"/>
  <c r="T1180" i="8"/>
  <c r="S1180" i="8"/>
  <c r="R1180" i="8"/>
  <c r="Q1180" i="8"/>
  <c r="P1180" i="8"/>
  <c r="O1180" i="8"/>
  <c r="N1180" i="8"/>
  <c r="M1180" i="8"/>
  <c r="L1180" i="8"/>
  <c r="T1179" i="8"/>
  <c r="S1179" i="8"/>
  <c r="R1179" i="8"/>
  <c r="Q1179" i="8"/>
  <c r="P1179" i="8"/>
  <c r="O1179" i="8"/>
  <c r="N1179" i="8"/>
  <c r="M1179" i="8"/>
  <c r="L1179" i="8"/>
  <c r="T1178" i="8"/>
  <c r="S1178" i="8"/>
  <c r="R1178" i="8"/>
  <c r="Q1178" i="8"/>
  <c r="P1178" i="8"/>
  <c r="O1178" i="8"/>
  <c r="N1178" i="8"/>
  <c r="M1178" i="8"/>
  <c r="L1178" i="8"/>
  <c r="T1177" i="8"/>
  <c r="S1177" i="8"/>
  <c r="R1177" i="8"/>
  <c r="Q1177" i="8"/>
  <c r="P1177" i="8"/>
  <c r="O1177" i="8"/>
  <c r="N1177" i="8"/>
  <c r="M1177" i="8"/>
  <c r="L1177" i="8"/>
  <c r="T1176" i="8"/>
  <c r="S1176" i="8"/>
  <c r="R1176" i="8"/>
  <c r="Q1176" i="8"/>
  <c r="P1176" i="8"/>
  <c r="O1176" i="8"/>
  <c r="N1176" i="8"/>
  <c r="M1176" i="8"/>
  <c r="L1176" i="8"/>
  <c r="T1175" i="8"/>
  <c r="S1175" i="8"/>
  <c r="R1175" i="8"/>
  <c r="Q1175" i="8"/>
  <c r="P1175" i="8"/>
  <c r="O1175" i="8"/>
  <c r="N1175" i="8"/>
  <c r="M1175" i="8"/>
  <c r="L1175" i="8"/>
  <c r="T1174" i="8"/>
  <c r="S1174" i="8"/>
  <c r="R1174" i="8"/>
  <c r="Q1174" i="8"/>
  <c r="P1174" i="8"/>
  <c r="O1174" i="8"/>
  <c r="N1174" i="8"/>
  <c r="M1174" i="8"/>
  <c r="L1174" i="8"/>
  <c r="T1173" i="8"/>
  <c r="S1173" i="8"/>
  <c r="R1173" i="8"/>
  <c r="Q1173" i="8"/>
  <c r="P1173" i="8"/>
  <c r="O1173" i="8"/>
  <c r="N1173" i="8"/>
  <c r="M1173" i="8"/>
  <c r="L1173" i="8"/>
  <c r="T1172" i="8"/>
  <c r="S1172" i="8"/>
  <c r="R1172" i="8"/>
  <c r="Q1172" i="8"/>
  <c r="P1172" i="8"/>
  <c r="O1172" i="8"/>
  <c r="N1172" i="8"/>
  <c r="M1172" i="8"/>
  <c r="L1172" i="8"/>
  <c r="T1171" i="8"/>
  <c r="S1171" i="8"/>
  <c r="R1171" i="8"/>
  <c r="Q1171" i="8"/>
  <c r="P1171" i="8"/>
  <c r="O1171" i="8"/>
  <c r="N1171" i="8"/>
  <c r="M1171" i="8"/>
  <c r="L1171" i="8"/>
  <c r="T1170" i="8"/>
  <c r="S1170" i="8"/>
  <c r="R1170" i="8"/>
  <c r="Q1170" i="8"/>
  <c r="P1170" i="8"/>
  <c r="O1170" i="8"/>
  <c r="N1170" i="8"/>
  <c r="M1170" i="8"/>
  <c r="L1170" i="8"/>
  <c r="T1169" i="8"/>
  <c r="S1169" i="8"/>
  <c r="R1169" i="8"/>
  <c r="Q1169" i="8"/>
  <c r="P1169" i="8"/>
  <c r="O1169" i="8"/>
  <c r="N1169" i="8"/>
  <c r="M1169" i="8"/>
  <c r="L1169" i="8"/>
  <c r="T1168" i="8"/>
  <c r="S1168" i="8"/>
  <c r="R1168" i="8"/>
  <c r="Q1168" i="8"/>
  <c r="P1168" i="8"/>
  <c r="O1168" i="8"/>
  <c r="N1168" i="8"/>
  <c r="M1168" i="8"/>
  <c r="L1168" i="8"/>
  <c r="T1167" i="8"/>
  <c r="S1167" i="8"/>
  <c r="R1167" i="8"/>
  <c r="Q1167" i="8"/>
  <c r="P1167" i="8"/>
  <c r="O1167" i="8"/>
  <c r="N1167" i="8"/>
  <c r="M1167" i="8"/>
  <c r="L1167" i="8"/>
  <c r="T1166" i="8"/>
  <c r="S1166" i="8"/>
  <c r="R1166" i="8"/>
  <c r="Q1166" i="8"/>
  <c r="P1166" i="8"/>
  <c r="O1166" i="8"/>
  <c r="N1166" i="8"/>
  <c r="M1166" i="8"/>
  <c r="L1166" i="8"/>
  <c r="T1165" i="8"/>
  <c r="S1165" i="8"/>
  <c r="R1165" i="8"/>
  <c r="Q1165" i="8"/>
  <c r="P1165" i="8"/>
  <c r="O1165" i="8"/>
  <c r="N1165" i="8"/>
  <c r="M1165" i="8"/>
  <c r="L1165" i="8"/>
  <c r="T1164" i="8"/>
  <c r="S1164" i="8"/>
  <c r="R1164" i="8"/>
  <c r="Q1164" i="8"/>
  <c r="P1164" i="8"/>
  <c r="O1164" i="8"/>
  <c r="N1164" i="8"/>
  <c r="M1164" i="8"/>
  <c r="L1164" i="8"/>
  <c r="T1163" i="8"/>
  <c r="S1163" i="8"/>
  <c r="R1163" i="8"/>
  <c r="Q1163" i="8"/>
  <c r="P1163" i="8"/>
  <c r="O1163" i="8"/>
  <c r="N1163" i="8"/>
  <c r="M1163" i="8"/>
  <c r="L1163" i="8"/>
  <c r="T1162" i="8"/>
  <c r="S1162" i="8"/>
  <c r="R1162" i="8"/>
  <c r="Q1162" i="8"/>
  <c r="P1162" i="8"/>
  <c r="O1162" i="8"/>
  <c r="N1162" i="8"/>
  <c r="M1162" i="8"/>
  <c r="L1162" i="8"/>
  <c r="T1161" i="8"/>
  <c r="S1161" i="8"/>
  <c r="R1161" i="8"/>
  <c r="Q1161" i="8"/>
  <c r="P1161" i="8"/>
  <c r="O1161" i="8"/>
  <c r="N1161" i="8"/>
  <c r="M1161" i="8"/>
  <c r="L1161" i="8"/>
  <c r="T1160" i="8"/>
  <c r="S1160" i="8"/>
  <c r="R1160" i="8"/>
  <c r="Q1160" i="8"/>
  <c r="P1160" i="8"/>
  <c r="O1160" i="8"/>
  <c r="N1160" i="8"/>
  <c r="M1160" i="8"/>
  <c r="L1160" i="8"/>
  <c r="T1159" i="8"/>
  <c r="S1159" i="8"/>
  <c r="R1159" i="8"/>
  <c r="Q1159" i="8"/>
  <c r="P1159" i="8"/>
  <c r="O1159" i="8"/>
  <c r="N1159" i="8"/>
  <c r="M1159" i="8"/>
  <c r="L1159" i="8"/>
  <c r="T1158" i="8"/>
  <c r="S1158" i="8"/>
  <c r="R1158" i="8"/>
  <c r="Q1158" i="8"/>
  <c r="P1158" i="8"/>
  <c r="O1158" i="8"/>
  <c r="N1158" i="8"/>
  <c r="M1158" i="8"/>
  <c r="L1158" i="8"/>
  <c r="T1157" i="8"/>
  <c r="S1157" i="8"/>
  <c r="R1157" i="8"/>
  <c r="Q1157" i="8"/>
  <c r="P1157" i="8"/>
  <c r="O1157" i="8"/>
  <c r="N1157" i="8"/>
  <c r="M1157" i="8"/>
  <c r="L1157" i="8"/>
  <c r="T1156" i="8"/>
  <c r="S1156" i="8"/>
  <c r="R1156" i="8"/>
  <c r="Q1156" i="8"/>
  <c r="P1156" i="8"/>
  <c r="O1156" i="8"/>
  <c r="N1156" i="8"/>
  <c r="M1156" i="8"/>
  <c r="L1156" i="8"/>
  <c r="T1155" i="8"/>
  <c r="S1155" i="8"/>
  <c r="R1155" i="8"/>
  <c r="Q1155" i="8"/>
  <c r="P1155" i="8"/>
  <c r="O1155" i="8"/>
  <c r="N1155" i="8"/>
  <c r="M1155" i="8"/>
  <c r="L1155" i="8"/>
  <c r="T1154" i="8"/>
  <c r="S1154" i="8"/>
  <c r="R1154" i="8"/>
  <c r="Q1154" i="8"/>
  <c r="P1154" i="8"/>
  <c r="O1154" i="8"/>
  <c r="N1154" i="8"/>
  <c r="M1154" i="8"/>
  <c r="L1154" i="8"/>
  <c r="T1153" i="8"/>
  <c r="S1153" i="8"/>
  <c r="R1153" i="8"/>
  <c r="Q1153" i="8"/>
  <c r="P1153" i="8"/>
  <c r="O1153" i="8"/>
  <c r="N1153" i="8"/>
  <c r="M1153" i="8"/>
  <c r="L1153" i="8"/>
  <c r="T1152" i="8"/>
  <c r="S1152" i="8"/>
  <c r="R1152" i="8"/>
  <c r="Q1152" i="8"/>
  <c r="P1152" i="8"/>
  <c r="O1152" i="8"/>
  <c r="N1152" i="8"/>
  <c r="M1152" i="8"/>
  <c r="L1152" i="8"/>
  <c r="T1151" i="8"/>
  <c r="S1151" i="8"/>
  <c r="R1151" i="8"/>
  <c r="Q1151" i="8"/>
  <c r="P1151" i="8"/>
  <c r="O1151" i="8"/>
  <c r="N1151" i="8"/>
  <c r="M1151" i="8"/>
  <c r="L1151" i="8"/>
  <c r="T1150" i="8"/>
  <c r="S1150" i="8"/>
  <c r="R1150" i="8"/>
  <c r="Q1150" i="8"/>
  <c r="P1150" i="8"/>
  <c r="O1150" i="8"/>
  <c r="N1150" i="8"/>
  <c r="M1150" i="8"/>
  <c r="L1150" i="8"/>
  <c r="T1149" i="8"/>
  <c r="S1149" i="8"/>
  <c r="R1149" i="8"/>
  <c r="Q1149" i="8"/>
  <c r="P1149" i="8"/>
  <c r="O1149" i="8"/>
  <c r="N1149" i="8"/>
  <c r="M1149" i="8"/>
  <c r="L1149" i="8"/>
  <c r="T1148" i="8"/>
  <c r="S1148" i="8"/>
  <c r="R1148" i="8"/>
  <c r="Q1148" i="8"/>
  <c r="P1148" i="8"/>
  <c r="O1148" i="8"/>
  <c r="N1148" i="8"/>
  <c r="M1148" i="8"/>
  <c r="L1148" i="8"/>
  <c r="T1147" i="8"/>
  <c r="S1147" i="8"/>
  <c r="R1147" i="8"/>
  <c r="Q1147" i="8"/>
  <c r="P1147" i="8"/>
  <c r="O1147" i="8"/>
  <c r="N1147" i="8"/>
  <c r="M1147" i="8"/>
  <c r="L1147" i="8"/>
  <c r="T1146" i="8"/>
  <c r="S1146" i="8"/>
  <c r="R1146" i="8"/>
  <c r="Q1146" i="8"/>
  <c r="P1146" i="8"/>
  <c r="O1146" i="8"/>
  <c r="N1146" i="8"/>
  <c r="M1146" i="8"/>
  <c r="L1146" i="8"/>
  <c r="T1145" i="8"/>
  <c r="S1145" i="8"/>
  <c r="R1145" i="8"/>
  <c r="Q1145" i="8"/>
  <c r="P1145" i="8"/>
  <c r="O1145" i="8"/>
  <c r="N1145" i="8"/>
  <c r="M1145" i="8"/>
  <c r="L1145" i="8"/>
  <c r="T1144" i="8"/>
  <c r="S1144" i="8"/>
  <c r="R1144" i="8"/>
  <c r="Q1144" i="8"/>
  <c r="P1144" i="8"/>
  <c r="O1144" i="8"/>
  <c r="N1144" i="8"/>
  <c r="M1144" i="8"/>
  <c r="L1144" i="8"/>
  <c r="T1143" i="8"/>
  <c r="S1143" i="8"/>
  <c r="R1143" i="8"/>
  <c r="Q1143" i="8"/>
  <c r="P1143" i="8"/>
  <c r="O1143" i="8"/>
  <c r="N1143" i="8"/>
  <c r="M1143" i="8"/>
  <c r="L1143" i="8"/>
  <c r="T1142" i="8"/>
  <c r="S1142" i="8"/>
  <c r="R1142" i="8"/>
  <c r="Q1142" i="8"/>
  <c r="P1142" i="8"/>
  <c r="O1142" i="8"/>
  <c r="N1142" i="8"/>
  <c r="M1142" i="8"/>
  <c r="L1142" i="8"/>
  <c r="T1141" i="8"/>
  <c r="S1141" i="8"/>
  <c r="R1141" i="8"/>
  <c r="Q1141" i="8"/>
  <c r="P1141" i="8"/>
  <c r="O1141" i="8"/>
  <c r="N1141" i="8"/>
  <c r="M1141" i="8"/>
  <c r="L1141" i="8"/>
  <c r="T1140" i="8"/>
  <c r="S1140" i="8"/>
  <c r="R1140" i="8"/>
  <c r="Q1140" i="8"/>
  <c r="P1140" i="8"/>
  <c r="O1140" i="8"/>
  <c r="N1140" i="8"/>
  <c r="M1140" i="8"/>
  <c r="L1140" i="8"/>
  <c r="T1139" i="8"/>
  <c r="S1139" i="8"/>
  <c r="R1139" i="8"/>
  <c r="Q1139" i="8"/>
  <c r="P1139" i="8"/>
  <c r="O1139" i="8"/>
  <c r="N1139" i="8"/>
  <c r="M1139" i="8"/>
  <c r="L1139" i="8"/>
  <c r="T1138" i="8"/>
  <c r="S1138" i="8"/>
  <c r="R1138" i="8"/>
  <c r="Q1138" i="8"/>
  <c r="P1138" i="8"/>
  <c r="O1138" i="8"/>
  <c r="N1138" i="8"/>
  <c r="M1138" i="8"/>
  <c r="L1138" i="8"/>
  <c r="T1137" i="8"/>
  <c r="S1137" i="8"/>
  <c r="R1137" i="8"/>
  <c r="Q1137" i="8"/>
  <c r="P1137" i="8"/>
  <c r="O1137" i="8"/>
  <c r="N1137" i="8"/>
  <c r="M1137" i="8"/>
  <c r="L1137" i="8"/>
  <c r="T1136" i="8"/>
  <c r="S1136" i="8"/>
  <c r="R1136" i="8"/>
  <c r="Q1136" i="8"/>
  <c r="P1136" i="8"/>
  <c r="O1136" i="8"/>
  <c r="N1136" i="8"/>
  <c r="M1136" i="8"/>
  <c r="L1136" i="8"/>
  <c r="T1135" i="8"/>
  <c r="S1135" i="8"/>
  <c r="R1135" i="8"/>
  <c r="Q1135" i="8"/>
  <c r="P1135" i="8"/>
  <c r="O1135" i="8"/>
  <c r="N1135" i="8"/>
  <c r="M1135" i="8"/>
  <c r="L1135" i="8"/>
  <c r="T1134" i="8"/>
  <c r="S1134" i="8"/>
  <c r="R1134" i="8"/>
  <c r="Q1134" i="8"/>
  <c r="P1134" i="8"/>
  <c r="O1134" i="8"/>
  <c r="N1134" i="8"/>
  <c r="M1134" i="8"/>
  <c r="L1134" i="8"/>
  <c r="T1133" i="8"/>
  <c r="S1133" i="8"/>
  <c r="R1133" i="8"/>
  <c r="Q1133" i="8"/>
  <c r="P1133" i="8"/>
  <c r="O1133" i="8"/>
  <c r="N1133" i="8"/>
  <c r="M1133" i="8"/>
  <c r="L1133" i="8"/>
  <c r="T1132" i="8"/>
  <c r="S1132" i="8"/>
  <c r="R1132" i="8"/>
  <c r="Q1132" i="8"/>
  <c r="P1132" i="8"/>
  <c r="O1132" i="8"/>
  <c r="N1132" i="8"/>
  <c r="M1132" i="8"/>
  <c r="L1132" i="8"/>
  <c r="T1131" i="8"/>
  <c r="S1131" i="8"/>
  <c r="R1131" i="8"/>
  <c r="Q1131" i="8"/>
  <c r="P1131" i="8"/>
  <c r="O1131" i="8"/>
  <c r="N1131" i="8"/>
  <c r="M1131" i="8"/>
  <c r="L1131" i="8"/>
  <c r="T1130" i="8"/>
  <c r="S1130" i="8"/>
  <c r="R1130" i="8"/>
  <c r="Q1130" i="8"/>
  <c r="P1130" i="8"/>
  <c r="O1130" i="8"/>
  <c r="N1130" i="8"/>
  <c r="M1130" i="8"/>
  <c r="L1130" i="8"/>
  <c r="T1129" i="8"/>
  <c r="S1129" i="8"/>
  <c r="R1129" i="8"/>
  <c r="Q1129" i="8"/>
  <c r="P1129" i="8"/>
  <c r="O1129" i="8"/>
  <c r="N1129" i="8"/>
  <c r="M1129" i="8"/>
  <c r="L1129" i="8"/>
  <c r="T1128" i="8"/>
  <c r="S1128" i="8"/>
  <c r="R1128" i="8"/>
  <c r="Q1128" i="8"/>
  <c r="P1128" i="8"/>
  <c r="O1128" i="8"/>
  <c r="N1128" i="8"/>
  <c r="M1128" i="8"/>
  <c r="L1128" i="8"/>
  <c r="T1127" i="8"/>
  <c r="S1127" i="8"/>
  <c r="R1127" i="8"/>
  <c r="Q1127" i="8"/>
  <c r="P1127" i="8"/>
  <c r="O1127" i="8"/>
  <c r="N1127" i="8"/>
  <c r="M1127" i="8"/>
  <c r="L1127" i="8"/>
  <c r="T1126" i="8"/>
  <c r="S1126" i="8"/>
  <c r="R1126" i="8"/>
  <c r="Q1126" i="8"/>
  <c r="P1126" i="8"/>
  <c r="O1126" i="8"/>
  <c r="N1126" i="8"/>
  <c r="M1126" i="8"/>
  <c r="L1126" i="8"/>
  <c r="T1125" i="8"/>
  <c r="S1125" i="8"/>
  <c r="R1125" i="8"/>
  <c r="Q1125" i="8"/>
  <c r="P1125" i="8"/>
  <c r="O1125" i="8"/>
  <c r="N1125" i="8"/>
  <c r="M1125" i="8"/>
  <c r="L1125" i="8"/>
  <c r="T1124" i="8"/>
  <c r="S1124" i="8"/>
  <c r="R1124" i="8"/>
  <c r="Q1124" i="8"/>
  <c r="P1124" i="8"/>
  <c r="O1124" i="8"/>
  <c r="N1124" i="8"/>
  <c r="M1124" i="8"/>
  <c r="L1124" i="8"/>
  <c r="T1123" i="8"/>
  <c r="S1123" i="8"/>
  <c r="R1123" i="8"/>
  <c r="Q1123" i="8"/>
  <c r="P1123" i="8"/>
  <c r="O1123" i="8"/>
  <c r="N1123" i="8"/>
  <c r="M1123" i="8"/>
  <c r="L1123" i="8"/>
  <c r="T1122" i="8"/>
  <c r="S1122" i="8"/>
  <c r="R1122" i="8"/>
  <c r="Q1122" i="8"/>
  <c r="P1122" i="8"/>
  <c r="O1122" i="8"/>
  <c r="N1122" i="8"/>
  <c r="M1122" i="8"/>
  <c r="L1122" i="8"/>
  <c r="T1121" i="8"/>
  <c r="S1121" i="8"/>
  <c r="R1121" i="8"/>
  <c r="Q1121" i="8"/>
  <c r="P1121" i="8"/>
  <c r="O1121" i="8"/>
  <c r="N1121" i="8"/>
  <c r="M1121" i="8"/>
  <c r="L1121" i="8"/>
  <c r="T1120" i="8"/>
  <c r="S1120" i="8"/>
  <c r="R1120" i="8"/>
  <c r="Q1120" i="8"/>
  <c r="P1120" i="8"/>
  <c r="O1120" i="8"/>
  <c r="N1120" i="8"/>
  <c r="M1120" i="8"/>
  <c r="L1120" i="8"/>
  <c r="T1119" i="8"/>
  <c r="S1119" i="8"/>
  <c r="R1119" i="8"/>
  <c r="Q1119" i="8"/>
  <c r="P1119" i="8"/>
  <c r="O1119" i="8"/>
  <c r="N1119" i="8"/>
  <c r="M1119" i="8"/>
  <c r="L1119" i="8"/>
  <c r="T1118" i="8"/>
  <c r="S1118" i="8"/>
  <c r="R1118" i="8"/>
  <c r="Q1118" i="8"/>
  <c r="P1118" i="8"/>
  <c r="O1118" i="8"/>
  <c r="N1118" i="8"/>
  <c r="M1118" i="8"/>
  <c r="L1118" i="8"/>
  <c r="T1117" i="8"/>
  <c r="S1117" i="8"/>
  <c r="R1117" i="8"/>
  <c r="Q1117" i="8"/>
  <c r="P1117" i="8"/>
  <c r="O1117" i="8"/>
  <c r="N1117" i="8"/>
  <c r="M1117" i="8"/>
  <c r="L1117" i="8"/>
  <c r="T1116" i="8"/>
  <c r="S1116" i="8"/>
  <c r="R1116" i="8"/>
  <c r="Q1116" i="8"/>
  <c r="P1116" i="8"/>
  <c r="O1116" i="8"/>
  <c r="N1116" i="8"/>
  <c r="M1116" i="8"/>
  <c r="L1116" i="8"/>
  <c r="T1115" i="8"/>
  <c r="S1115" i="8"/>
  <c r="R1115" i="8"/>
  <c r="Q1115" i="8"/>
  <c r="P1115" i="8"/>
  <c r="O1115" i="8"/>
  <c r="N1115" i="8"/>
  <c r="M1115" i="8"/>
  <c r="L1115" i="8"/>
  <c r="T1114" i="8"/>
  <c r="S1114" i="8"/>
  <c r="R1114" i="8"/>
  <c r="Q1114" i="8"/>
  <c r="P1114" i="8"/>
  <c r="O1114" i="8"/>
  <c r="N1114" i="8"/>
  <c r="M1114" i="8"/>
  <c r="L1114" i="8"/>
  <c r="T1113" i="8"/>
  <c r="S1113" i="8"/>
  <c r="R1113" i="8"/>
  <c r="Q1113" i="8"/>
  <c r="P1113" i="8"/>
  <c r="O1113" i="8"/>
  <c r="N1113" i="8"/>
  <c r="M1113" i="8"/>
  <c r="L1113" i="8"/>
  <c r="T1112" i="8"/>
  <c r="S1112" i="8"/>
  <c r="R1112" i="8"/>
  <c r="Q1112" i="8"/>
  <c r="P1112" i="8"/>
  <c r="O1112" i="8"/>
  <c r="N1112" i="8"/>
  <c r="M1112" i="8"/>
  <c r="L1112" i="8"/>
  <c r="T1111" i="8"/>
  <c r="S1111" i="8"/>
  <c r="R1111" i="8"/>
  <c r="Q1111" i="8"/>
  <c r="P1111" i="8"/>
  <c r="O1111" i="8"/>
  <c r="N1111" i="8"/>
  <c r="M1111" i="8"/>
  <c r="L1111" i="8"/>
  <c r="T1110" i="8"/>
  <c r="S1110" i="8"/>
  <c r="R1110" i="8"/>
  <c r="Q1110" i="8"/>
  <c r="P1110" i="8"/>
  <c r="O1110" i="8"/>
  <c r="N1110" i="8"/>
  <c r="M1110" i="8"/>
  <c r="L1110" i="8"/>
  <c r="T1109" i="8"/>
  <c r="S1109" i="8"/>
  <c r="R1109" i="8"/>
  <c r="Q1109" i="8"/>
  <c r="P1109" i="8"/>
  <c r="O1109" i="8"/>
  <c r="N1109" i="8"/>
  <c r="M1109" i="8"/>
  <c r="L1109" i="8"/>
  <c r="T1108" i="8"/>
  <c r="S1108" i="8"/>
  <c r="R1108" i="8"/>
  <c r="Q1108" i="8"/>
  <c r="P1108" i="8"/>
  <c r="O1108" i="8"/>
  <c r="N1108" i="8"/>
  <c r="M1108" i="8"/>
  <c r="L1108" i="8"/>
  <c r="T1107" i="8"/>
  <c r="S1107" i="8"/>
  <c r="R1107" i="8"/>
  <c r="Q1107" i="8"/>
  <c r="P1107" i="8"/>
  <c r="O1107" i="8"/>
  <c r="N1107" i="8"/>
  <c r="M1107" i="8"/>
  <c r="L1107" i="8"/>
  <c r="T1106" i="8"/>
  <c r="S1106" i="8"/>
  <c r="R1106" i="8"/>
  <c r="Q1106" i="8"/>
  <c r="P1106" i="8"/>
  <c r="O1106" i="8"/>
  <c r="N1106" i="8"/>
  <c r="M1106" i="8"/>
  <c r="L1106" i="8"/>
  <c r="T1105" i="8"/>
  <c r="S1105" i="8"/>
  <c r="R1105" i="8"/>
  <c r="Q1105" i="8"/>
  <c r="P1105" i="8"/>
  <c r="O1105" i="8"/>
  <c r="N1105" i="8"/>
  <c r="M1105" i="8"/>
  <c r="L1105" i="8"/>
  <c r="T1104" i="8"/>
  <c r="S1104" i="8"/>
  <c r="R1104" i="8"/>
  <c r="Q1104" i="8"/>
  <c r="P1104" i="8"/>
  <c r="O1104" i="8"/>
  <c r="N1104" i="8"/>
  <c r="M1104" i="8"/>
  <c r="L1104" i="8"/>
  <c r="T1103" i="8"/>
  <c r="S1103" i="8"/>
  <c r="R1103" i="8"/>
  <c r="Q1103" i="8"/>
  <c r="P1103" i="8"/>
  <c r="O1103" i="8"/>
  <c r="N1103" i="8"/>
  <c r="M1103" i="8"/>
  <c r="L1103" i="8"/>
  <c r="T1102" i="8"/>
  <c r="S1102" i="8"/>
  <c r="R1102" i="8"/>
  <c r="Q1102" i="8"/>
  <c r="P1102" i="8"/>
  <c r="O1102" i="8"/>
  <c r="N1102" i="8"/>
  <c r="M1102" i="8"/>
  <c r="L1102" i="8"/>
  <c r="T1101" i="8"/>
  <c r="S1101" i="8"/>
  <c r="R1101" i="8"/>
  <c r="Q1101" i="8"/>
  <c r="P1101" i="8"/>
  <c r="O1101" i="8"/>
  <c r="N1101" i="8"/>
  <c r="M1101" i="8"/>
  <c r="L1101" i="8"/>
  <c r="T1100" i="8"/>
  <c r="S1100" i="8"/>
  <c r="R1100" i="8"/>
  <c r="Q1100" i="8"/>
  <c r="P1100" i="8"/>
  <c r="O1100" i="8"/>
  <c r="N1100" i="8"/>
  <c r="M1100" i="8"/>
  <c r="L1100" i="8"/>
  <c r="T1099" i="8"/>
  <c r="S1099" i="8"/>
  <c r="R1099" i="8"/>
  <c r="Q1099" i="8"/>
  <c r="P1099" i="8"/>
  <c r="O1099" i="8"/>
  <c r="N1099" i="8"/>
  <c r="M1099" i="8"/>
  <c r="L1099" i="8"/>
  <c r="T1098" i="8"/>
  <c r="S1098" i="8"/>
  <c r="R1098" i="8"/>
  <c r="Q1098" i="8"/>
  <c r="P1098" i="8"/>
  <c r="O1098" i="8"/>
  <c r="N1098" i="8"/>
  <c r="M1098" i="8"/>
  <c r="L1098" i="8"/>
  <c r="T1097" i="8"/>
  <c r="S1097" i="8"/>
  <c r="R1097" i="8"/>
  <c r="Q1097" i="8"/>
  <c r="P1097" i="8"/>
  <c r="O1097" i="8"/>
  <c r="N1097" i="8"/>
  <c r="M1097" i="8"/>
  <c r="L1097" i="8"/>
  <c r="T1096" i="8"/>
  <c r="S1096" i="8"/>
  <c r="R1096" i="8"/>
  <c r="Q1096" i="8"/>
  <c r="P1096" i="8"/>
  <c r="O1096" i="8"/>
  <c r="N1096" i="8"/>
  <c r="M1096" i="8"/>
  <c r="L1096" i="8"/>
  <c r="T1095" i="8"/>
  <c r="S1095" i="8"/>
  <c r="R1095" i="8"/>
  <c r="Q1095" i="8"/>
  <c r="P1095" i="8"/>
  <c r="O1095" i="8"/>
  <c r="N1095" i="8"/>
  <c r="M1095" i="8"/>
  <c r="L1095" i="8"/>
  <c r="T1094" i="8"/>
  <c r="S1094" i="8"/>
  <c r="R1094" i="8"/>
  <c r="Q1094" i="8"/>
  <c r="P1094" i="8"/>
  <c r="O1094" i="8"/>
  <c r="N1094" i="8"/>
  <c r="M1094" i="8"/>
  <c r="L1094" i="8"/>
  <c r="T1093" i="8"/>
  <c r="S1093" i="8"/>
  <c r="R1093" i="8"/>
  <c r="Q1093" i="8"/>
  <c r="P1093" i="8"/>
  <c r="O1093" i="8"/>
  <c r="N1093" i="8"/>
  <c r="M1093" i="8"/>
  <c r="L1093" i="8"/>
  <c r="T1092" i="8"/>
  <c r="S1092" i="8"/>
  <c r="R1092" i="8"/>
  <c r="Q1092" i="8"/>
  <c r="P1092" i="8"/>
  <c r="O1092" i="8"/>
  <c r="N1092" i="8"/>
  <c r="M1092" i="8"/>
  <c r="L1092" i="8"/>
  <c r="T1091" i="8"/>
  <c r="S1091" i="8"/>
  <c r="R1091" i="8"/>
  <c r="Q1091" i="8"/>
  <c r="P1091" i="8"/>
  <c r="O1091" i="8"/>
  <c r="N1091" i="8"/>
  <c r="M1091" i="8"/>
  <c r="L1091" i="8"/>
  <c r="T1090" i="8"/>
  <c r="S1090" i="8"/>
  <c r="R1090" i="8"/>
  <c r="Q1090" i="8"/>
  <c r="P1090" i="8"/>
  <c r="O1090" i="8"/>
  <c r="N1090" i="8"/>
  <c r="M1090" i="8"/>
  <c r="L1090" i="8"/>
  <c r="T1089" i="8"/>
  <c r="S1089" i="8"/>
  <c r="R1089" i="8"/>
  <c r="Q1089" i="8"/>
  <c r="P1089" i="8"/>
  <c r="O1089" i="8"/>
  <c r="N1089" i="8"/>
  <c r="M1089" i="8"/>
  <c r="L1089" i="8"/>
  <c r="T1088" i="8"/>
  <c r="S1088" i="8"/>
  <c r="R1088" i="8"/>
  <c r="Q1088" i="8"/>
  <c r="P1088" i="8"/>
  <c r="O1088" i="8"/>
  <c r="N1088" i="8"/>
  <c r="M1088" i="8"/>
  <c r="L1088" i="8"/>
  <c r="T1087" i="8"/>
  <c r="S1087" i="8"/>
  <c r="R1087" i="8"/>
  <c r="Q1087" i="8"/>
  <c r="P1087" i="8"/>
  <c r="O1087" i="8"/>
  <c r="N1087" i="8"/>
  <c r="M1087" i="8"/>
  <c r="L1087" i="8"/>
  <c r="T1086" i="8"/>
  <c r="S1086" i="8"/>
  <c r="R1086" i="8"/>
  <c r="Q1086" i="8"/>
  <c r="P1086" i="8"/>
  <c r="O1086" i="8"/>
  <c r="N1086" i="8"/>
  <c r="M1086" i="8"/>
  <c r="L1086" i="8"/>
  <c r="T1085" i="8"/>
  <c r="S1085" i="8"/>
  <c r="R1085" i="8"/>
  <c r="Q1085" i="8"/>
  <c r="P1085" i="8"/>
  <c r="O1085" i="8"/>
  <c r="N1085" i="8"/>
  <c r="M1085" i="8"/>
  <c r="L1085" i="8"/>
  <c r="T1084" i="8"/>
  <c r="S1084" i="8"/>
  <c r="R1084" i="8"/>
  <c r="Q1084" i="8"/>
  <c r="P1084" i="8"/>
  <c r="O1084" i="8"/>
  <c r="N1084" i="8"/>
  <c r="M1084" i="8"/>
  <c r="L1084" i="8"/>
  <c r="T1083" i="8"/>
  <c r="S1083" i="8"/>
  <c r="R1083" i="8"/>
  <c r="Q1083" i="8"/>
  <c r="P1083" i="8"/>
  <c r="O1083" i="8"/>
  <c r="N1083" i="8"/>
  <c r="M1083" i="8"/>
  <c r="L1083" i="8"/>
  <c r="T1082" i="8"/>
  <c r="S1082" i="8"/>
  <c r="R1082" i="8"/>
  <c r="Q1082" i="8"/>
  <c r="P1082" i="8"/>
  <c r="O1082" i="8"/>
  <c r="N1082" i="8"/>
  <c r="M1082" i="8"/>
  <c r="L1082" i="8"/>
  <c r="T1081" i="8"/>
  <c r="S1081" i="8"/>
  <c r="R1081" i="8"/>
  <c r="Q1081" i="8"/>
  <c r="P1081" i="8"/>
  <c r="O1081" i="8"/>
  <c r="N1081" i="8"/>
  <c r="M1081" i="8"/>
  <c r="L1081" i="8"/>
  <c r="T1080" i="8"/>
  <c r="S1080" i="8"/>
  <c r="R1080" i="8"/>
  <c r="Q1080" i="8"/>
  <c r="P1080" i="8"/>
  <c r="O1080" i="8"/>
  <c r="N1080" i="8"/>
  <c r="M1080" i="8"/>
  <c r="L1080" i="8"/>
  <c r="T1079" i="8"/>
  <c r="S1079" i="8"/>
  <c r="R1079" i="8"/>
  <c r="Q1079" i="8"/>
  <c r="P1079" i="8"/>
  <c r="O1079" i="8"/>
  <c r="N1079" i="8"/>
  <c r="M1079" i="8"/>
  <c r="L1079" i="8"/>
  <c r="T1078" i="8"/>
  <c r="S1078" i="8"/>
  <c r="R1078" i="8"/>
  <c r="Q1078" i="8"/>
  <c r="P1078" i="8"/>
  <c r="O1078" i="8"/>
  <c r="N1078" i="8"/>
  <c r="M1078" i="8"/>
  <c r="L1078" i="8"/>
  <c r="T1077" i="8"/>
  <c r="S1077" i="8"/>
  <c r="R1077" i="8"/>
  <c r="Q1077" i="8"/>
  <c r="P1077" i="8"/>
  <c r="O1077" i="8"/>
  <c r="N1077" i="8"/>
  <c r="M1077" i="8"/>
  <c r="L1077" i="8"/>
  <c r="T1076" i="8"/>
  <c r="S1076" i="8"/>
  <c r="R1076" i="8"/>
  <c r="Q1076" i="8"/>
  <c r="P1076" i="8"/>
  <c r="O1076" i="8"/>
  <c r="N1076" i="8"/>
  <c r="M1076" i="8"/>
  <c r="L1076" i="8"/>
  <c r="T1075" i="8"/>
  <c r="S1075" i="8"/>
  <c r="R1075" i="8"/>
  <c r="Q1075" i="8"/>
  <c r="P1075" i="8"/>
  <c r="O1075" i="8"/>
  <c r="N1075" i="8"/>
  <c r="M1075" i="8"/>
  <c r="L1075" i="8"/>
  <c r="T1074" i="8"/>
  <c r="S1074" i="8"/>
  <c r="R1074" i="8"/>
  <c r="Q1074" i="8"/>
  <c r="P1074" i="8"/>
  <c r="O1074" i="8"/>
  <c r="N1074" i="8"/>
  <c r="M1074" i="8"/>
  <c r="L1074" i="8"/>
  <c r="T1073" i="8"/>
  <c r="S1073" i="8"/>
  <c r="R1073" i="8"/>
  <c r="Q1073" i="8"/>
  <c r="P1073" i="8"/>
  <c r="O1073" i="8"/>
  <c r="N1073" i="8"/>
  <c r="M1073" i="8"/>
  <c r="L1073" i="8"/>
  <c r="T1072" i="8"/>
  <c r="S1072" i="8"/>
  <c r="R1072" i="8"/>
  <c r="Q1072" i="8"/>
  <c r="P1072" i="8"/>
  <c r="O1072" i="8"/>
  <c r="N1072" i="8"/>
  <c r="M1072" i="8"/>
  <c r="L1072" i="8"/>
  <c r="T1071" i="8"/>
  <c r="S1071" i="8"/>
  <c r="R1071" i="8"/>
  <c r="Q1071" i="8"/>
  <c r="P1071" i="8"/>
  <c r="O1071" i="8"/>
  <c r="N1071" i="8"/>
  <c r="M1071" i="8"/>
  <c r="L1071" i="8"/>
  <c r="T1070" i="8"/>
  <c r="S1070" i="8"/>
  <c r="R1070" i="8"/>
  <c r="Q1070" i="8"/>
  <c r="P1070" i="8"/>
  <c r="O1070" i="8"/>
  <c r="N1070" i="8"/>
  <c r="M1070" i="8"/>
  <c r="L1070" i="8"/>
  <c r="T1069" i="8"/>
  <c r="S1069" i="8"/>
  <c r="R1069" i="8"/>
  <c r="Q1069" i="8"/>
  <c r="P1069" i="8"/>
  <c r="O1069" i="8"/>
  <c r="N1069" i="8"/>
  <c r="M1069" i="8"/>
  <c r="L1069" i="8"/>
  <c r="T1068" i="8"/>
  <c r="S1068" i="8"/>
  <c r="R1068" i="8"/>
  <c r="Q1068" i="8"/>
  <c r="P1068" i="8"/>
  <c r="O1068" i="8"/>
  <c r="N1068" i="8"/>
  <c r="M1068" i="8"/>
  <c r="L1068" i="8"/>
  <c r="T1067" i="8"/>
  <c r="S1067" i="8"/>
  <c r="R1067" i="8"/>
  <c r="Q1067" i="8"/>
  <c r="P1067" i="8"/>
  <c r="O1067" i="8"/>
  <c r="N1067" i="8"/>
  <c r="M1067" i="8"/>
  <c r="L1067" i="8"/>
  <c r="T1066" i="8"/>
  <c r="S1066" i="8"/>
  <c r="R1066" i="8"/>
  <c r="Q1066" i="8"/>
  <c r="P1066" i="8"/>
  <c r="O1066" i="8"/>
  <c r="N1066" i="8"/>
  <c r="M1066" i="8"/>
  <c r="L1066" i="8"/>
  <c r="T1065" i="8"/>
  <c r="S1065" i="8"/>
  <c r="R1065" i="8"/>
  <c r="Q1065" i="8"/>
  <c r="P1065" i="8"/>
  <c r="O1065" i="8"/>
  <c r="N1065" i="8"/>
  <c r="M1065" i="8"/>
  <c r="L1065" i="8"/>
  <c r="T1064" i="8"/>
  <c r="S1064" i="8"/>
  <c r="R1064" i="8"/>
  <c r="Q1064" i="8"/>
  <c r="P1064" i="8"/>
  <c r="O1064" i="8"/>
  <c r="N1064" i="8"/>
  <c r="M1064" i="8"/>
  <c r="L1064" i="8"/>
  <c r="T1063" i="8"/>
  <c r="S1063" i="8"/>
  <c r="R1063" i="8"/>
  <c r="Q1063" i="8"/>
  <c r="P1063" i="8"/>
  <c r="O1063" i="8"/>
  <c r="N1063" i="8"/>
  <c r="M1063" i="8"/>
  <c r="L1063" i="8"/>
  <c r="T1062" i="8"/>
  <c r="S1062" i="8"/>
  <c r="R1062" i="8"/>
  <c r="Q1062" i="8"/>
  <c r="P1062" i="8"/>
  <c r="O1062" i="8"/>
  <c r="N1062" i="8"/>
  <c r="M1062" i="8"/>
  <c r="L1062" i="8"/>
  <c r="T1061" i="8"/>
  <c r="S1061" i="8"/>
  <c r="R1061" i="8"/>
  <c r="Q1061" i="8"/>
  <c r="P1061" i="8"/>
  <c r="O1061" i="8"/>
  <c r="N1061" i="8"/>
  <c r="M1061" i="8"/>
  <c r="L1061" i="8"/>
  <c r="T1060" i="8"/>
  <c r="S1060" i="8"/>
  <c r="R1060" i="8"/>
  <c r="Q1060" i="8"/>
  <c r="P1060" i="8"/>
  <c r="O1060" i="8"/>
  <c r="N1060" i="8"/>
  <c r="M1060" i="8"/>
  <c r="L1060" i="8"/>
  <c r="T1059" i="8"/>
  <c r="S1059" i="8"/>
  <c r="R1059" i="8"/>
  <c r="Q1059" i="8"/>
  <c r="P1059" i="8"/>
  <c r="O1059" i="8"/>
  <c r="N1059" i="8"/>
  <c r="M1059" i="8"/>
  <c r="L1059" i="8"/>
  <c r="T1058" i="8"/>
  <c r="S1058" i="8"/>
  <c r="R1058" i="8"/>
  <c r="Q1058" i="8"/>
  <c r="P1058" i="8"/>
  <c r="O1058" i="8"/>
  <c r="N1058" i="8"/>
  <c r="M1058" i="8"/>
  <c r="L1058" i="8"/>
  <c r="T1057" i="8"/>
  <c r="S1057" i="8"/>
  <c r="R1057" i="8"/>
  <c r="Q1057" i="8"/>
  <c r="P1057" i="8"/>
  <c r="O1057" i="8"/>
  <c r="N1057" i="8"/>
  <c r="M1057" i="8"/>
  <c r="L1057" i="8"/>
  <c r="T1056" i="8"/>
  <c r="S1056" i="8"/>
  <c r="R1056" i="8"/>
  <c r="Q1056" i="8"/>
  <c r="P1056" i="8"/>
  <c r="O1056" i="8"/>
  <c r="N1056" i="8"/>
  <c r="M1056" i="8"/>
  <c r="L1056" i="8"/>
  <c r="T1055" i="8"/>
  <c r="S1055" i="8"/>
  <c r="R1055" i="8"/>
  <c r="Q1055" i="8"/>
  <c r="P1055" i="8"/>
  <c r="O1055" i="8"/>
  <c r="N1055" i="8"/>
  <c r="M1055" i="8"/>
  <c r="L1055" i="8"/>
  <c r="T1054" i="8"/>
  <c r="S1054" i="8"/>
  <c r="R1054" i="8"/>
  <c r="Q1054" i="8"/>
  <c r="P1054" i="8"/>
  <c r="O1054" i="8"/>
  <c r="N1054" i="8"/>
  <c r="M1054" i="8"/>
  <c r="L1054" i="8"/>
  <c r="T1053" i="8"/>
  <c r="S1053" i="8"/>
  <c r="R1053" i="8"/>
  <c r="Q1053" i="8"/>
  <c r="P1053" i="8"/>
  <c r="O1053" i="8"/>
  <c r="N1053" i="8"/>
  <c r="M1053" i="8"/>
  <c r="L1053" i="8"/>
  <c r="T1052" i="8"/>
  <c r="S1052" i="8"/>
  <c r="R1052" i="8"/>
  <c r="Q1052" i="8"/>
  <c r="P1052" i="8"/>
  <c r="O1052" i="8"/>
  <c r="N1052" i="8"/>
  <c r="M1052" i="8"/>
  <c r="L1052" i="8"/>
  <c r="T1051" i="8"/>
  <c r="S1051" i="8"/>
  <c r="R1051" i="8"/>
  <c r="Q1051" i="8"/>
  <c r="P1051" i="8"/>
  <c r="O1051" i="8"/>
  <c r="N1051" i="8"/>
  <c r="M1051" i="8"/>
  <c r="L1051" i="8"/>
  <c r="T1050" i="8"/>
  <c r="S1050" i="8"/>
  <c r="R1050" i="8"/>
  <c r="Q1050" i="8"/>
  <c r="P1050" i="8"/>
  <c r="O1050" i="8"/>
  <c r="N1050" i="8"/>
  <c r="M1050" i="8"/>
  <c r="L1050" i="8"/>
  <c r="T1049" i="8"/>
  <c r="S1049" i="8"/>
  <c r="R1049" i="8"/>
  <c r="Q1049" i="8"/>
  <c r="P1049" i="8"/>
  <c r="O1049" i="8"/>
  <c r="N1049" i="8"/>
  <c r="M1049" i="8"/>
  <c r="L1049" i="8"/>
  <c r="T1048" i="8"/>
  <c r="S1048" i="8"/>
  <c r="R1048" i="8"/>
  <c r="Q1048" i="8"/>
  <c r="P1048" i="8"/>
  <c r="O1048" i="8"/>
  <c r="N1048" i="8"/>
  <c r="M1048" i="8"/>
  <c r="L1048" i="8"/>
  <c r="T1047" i="8"/>
  <c r="S1047" i="8"/>
  <c r="R1047" i="8"/>
  <c r="Q1047" i="8"/>
  <c r="P1047" i="8"/>
  <c r="O1047" i="8"/>
  <c r="N1047" i="8"/>
  <c r="M1047" i="8"/>
  <c r="L1047" i="8"/>
  <c r="T1046" i="8"/>
  <c r="S1046" i="8"/>
  <c r="R1046" i="8"/>
  <c r="Q1046" i="8"/>
  <c r="P1046" i="8"/>
  <c r="O1046" i="8"/>
  <c r="N1046" i="8"/>
  <c r="M1046" i="8"/>
  <c r="L1046" i="8"/>
  <c r="T1045" i="8"/>
  <c r="S1045" i="8"/>
  <c r="R1045" i="8"/>
  <c r="Q1045" i="8"/>
  <c r="P1045" i="8"/>
  <c r="O1045" i="8"/>
  <c r="N1045" i="8"/>
  <c r="M1045" i="8"/>
  <c r="L1045" i="8"/>
  <c r="T1044" i="8"/>
  <c r="S1044" i="8"/>
  <c r="R1044" i="8"/>
  <c r="Q1044" i="8"/>
  <c r="P1044" i="8"/>
  <c r="O1044" i="8"/>
  <c r="N1044" i="8"/>
  <c r="M1044" i="8"/>
  <c r="L1044" i="8"/>
  <c r="T1043" i="8"/>
  <c r="S1043" i="8"/>
  <c r="R1043" i="8"/>
  <c r="Q1043" i="8"/>
  <c r="P1043" i="8"/>
  <c r="O1043" i="8"/>
  <c r="N1043" i="8"/>
  <c r="M1043" i="8"/>
  <c r="L1043" i="8"/>
  <c r="T1042" i="8"/>
  <c r="S1042" i="8"/>
  <c r="R1042" i="8"/>
  <c r="Q1042" i="8"/>
  <c r="P1042" i="8"/>
  <c r="O1042" i="8"/>
  <c r="N1042" i="8"/>
  <c r="M1042" i="8"/>
  <c r="L1042" i="8"/>
  <c r="T1041" i="8"/>
  <c r="S1041" i="8"/>
  <c r="R1041" i="8"/>
  <c r="Q1041" i="8"/>
  <c r="P1041" i="8"/>
  <c r="O1041" i="8"/>
  <c r="N1041" i="8"/>
  <c r="M1041" i="8"/>
  <c r="L1041" i="8"/>
  <c r="T1040" i="8"/>
  <c r="S1040" i="8"/>
  <c r="R1040" i="8"/>
  <c r="Q1040" i="8"/>
  <c r="P1040" i="8"/>
  <c r="O1040" i="8"/>
  <c r="N1040" i="8"/>
  <c r="M1040" i="8"/>
  <c r="L1040" i="8"/>
  <c r="T1039" i="8"/>
  <c r="S1039" i="8"/>
  <c r="R1039" i="8"/>
  <c r="Q1039" i="8"/>
  <c r="P1039" i="8"/>
  <c r="O1039" i="8"/>
  <c r="N1039" i="8"/>
  <c r="M1039" i="8"/>
  <c r="L1039" i="8"/>
  <c r="T1038" i="8"/>
  <c r="S1038" i="8"/>
  <c r="R1038" i="8"/>
  <c r="Q1038" i="8"/>
  <c r="P1038" i="8"/>
  <c r="O1038" i="8"/>
  <c r="N1038" i="8"/>
  <c r="M1038" i="8"/>
  <c r="L1038" i="8"/>
  <c r="T1037" i="8"/>
  <c r="S1037" i="8"/>
  <c r="R1037" i="8"/>
  <c r="Q1037" i="8"/>
  <c r="P1037" i="8"/>
  <c r="O1037" i="8"/>
  <c r="N1037" i="8"/>
  <c r="M1037" i="8"/>
  <c r="L1037" i="8"/>
  <c r="T1036" i="8"/>
  <c r="S1036" i="8"/>
  <c r="R1036" i="8"/>
  <c r="Q1036" i="8"/>
  <c r="P1036" i="8"/>
  <c r="O1036" i="8"/>
  <c r="N1036" i="8"/>
  <c r="M1036" i="8"/>
  <c r="L1036" i="8"/>
  <c r="T1035" i="8"/>
  <c r="S1035" i="8"/>
  <c r="R1035" i="8"/>
  <c r="Q1035" i="8"/>
  <c r="P1035" i="8"/>
  <c r="O1035" i="8"/>
  <c r="N1035" i="8"/>
  <c r="M1035" i="8"/>
  <c r="L1035" i="8"/>
  <c r="T1034" i="8"/>
  <c r="S1034" i="8"/>
  <c r="R1034" i="8"/>
  <c r="Q1034" i="8"/>
  <c r="P1034" i="8"/>
  <c r="O1034" i="8"/>
  <c r="N1034" i="8"/>
  <c r="M1034" i="8"/>
  <c r="L1034" i="8"/>
  <c r="T1033" i="8"/>
  <c r="S1033" i="8"/>
  <c r="R1033" i="8"/>
  <c r="Q1033" i="8"/>
  <c r="P1033" i="8"/>
  <c r="O1033" i="8"/>
  <c r="N1033" i="8"/>
  <c r="M1033" i="8"/>
  <c r="L1033" i="8"/>
  <c r="T1032" i="8"/>
  <c r="S1032" i="8"/>
  <c r="R1032" i="8"/>
  <c r="Q1032" i="8"/>
  <c r="P1032" i="8"/>
  <c r="O1032" i="8"/>
  <c r="N1032" i="8"/>
  <c r="M1032" i="8"/>
  <c r="L1032" i="8"/>
  <c r="T1031" i="8"/>
  <c r="S1031" i="8"/>
  <c r="R1031" i="8"/>
  <c r="Q1031" i="8"/>
  <c r="P1031" i="8"/>
  <c r="O1031" i="8"/>
  <c r="N1031" i="8"/>
  <c r="M1031" i="8"/>
  <c r="L1031" i="8"/>
  <c r="T1030" i="8"/>
  <c r="S1030" i="8"/>
  <c r="R1030" i="8"/>
  <c r="Q1030" i="8"/>
  <c r="P1030" i="8"/>
  <c r="O1030" i="8"/>
  <c r="N1030" i="8"/>
  <c r="M1030" i="8"/>
  <c r="L1030" i="8"/>
  <c r="T1029" i="8"/>
  <c r="S1029" i="8"/>
  <c r="R1029" i="8"/>
  <c r="Q1029" i="8"/>
  <c r="P1029" i="8"/>
  <c r="O1029" i="8"/>
  <c r="N1029" i="8"/>
  <c r="M1029" i="8"/>
  <c r="L1029" i="8"/>
  <c r="T1028" i="8"/>
  <c r="S1028" i="8"/>
  <c r="R1028" i="8"/>
  <c r="Q1028" i="8"/>
  <c r="P1028" i="8"/>
  <c r="O1028" i="8"/>
  <c r="N1028" i="8"/>
  <c r="M1028" i="8"/>
  <c r="L1028" i="8"/>
  <c r="T1027" i="8"/>
  <c r="S1027" i="8"/>
  <c r="R1027" i="8"/>
  <c r="Q1027" i="8"/>
  <c r="P1027" i="8"/>
  <c r="O1027" i="8"/>
  <c r="N1027" i="8"/>
  <c r="M1027" i="8"/>
  <c r="L1027" i="8"/>
  <c r="T1026" i="8"/>
  <c r="S1026" i="8"/>
  <c r="R1026" i="8"/>
  <c r="Q1026" i="8"/>
  <c r="P1026" i="8"/>
  <c r="O1026" i="8"/>
  <c r="N1026" i="8"/>
  <c r="M1026" i="8"/>
  <c r="L1026" i="8"/>
  <c r="T1025" i="8"/>
  <c r="S1025" i="8"/>
  <c r="R1025" i="8"/>
  <c r="Q1025" i="8"/>
  <c r="P1025" i="8"/>
  <c r="O1025" i="8"/>
  <c r="N1025" i="8"/>
  <c r="M1025" i="8"/>
  <c r="L1025" i="8"/>
  <c r="T1024" i="8"/>
  <c r="S1024" i="8"/>
  <c r="R1024" i="8"/>
  <c r="Q1024" i="8"/>
  <c r="P1024" i="8"/>
  <c r="O1024" i="8"/>
  <c r="N1024" i="8"/>
  <c r="M1024" i="8"/>
  <c r="L1024" i="8"/>
  <c r="T1023" i="8"/>
  <c r="S1023" i="8"/>
  <c r="R1023" i="8"/>
  <c r="Q1023" i="8"/>
  <c r="P1023" i="8"/>
  <c r="O1023" i="8"/>
  <c r="N1023" i="8"/>
  <c r="M1023" i="8"/>
  <c r="L1023" i="8"/>
  <c r="T1022" i="8"/>
  <c r="S1022" i="8"/>
  <c r="R1022" i="8"/>
  <c r="Q1022" i="8"/>
  <c r="P1022" i="8"/>
  <c r="O1022" i="8"/>
  <c r="N1022" i="8"/>
  <c r="M1022" i="8"/>
  <c r="L1022" i="8"/>
  <c r="T1021" i="8"/>
  <c r="S1021" i="8"/>
  <c r="R1021" i="8"/>
  <c r="Q1021" i="8"/>
  <c r="P1021" i="8"/>
  <c r="O1021" i="8"/>
  <c r="N1021" i="8"/>
  <c r="M1021" i="8"/>
  <c r="L1021" i="8"/>
  <c r="T1020" i="8"/>
  <c r="S1020" i="8"/>
  <c r="R1020" i="8"/>
  <c r="Q1020" i="8"/>
  <c r="P1020" i="8"/>
  <c r="O1020" i="8"/>
  <c r="N1020" i="8"/>
  <c r="M1020" i="8"/>
  <c r="L1020" i="8"/>
  <c r="T1019" i="8"/>
  <c r="S1019" i="8"/>
  <c r="R1019" i="8"/>
  <c r="Q1019" i="8"/>
  <c r="P1019" i="8"/>
  <c r="O1019" i="8"/>
  <c r="N1019" i="8"/>
  <c r="M1019" i="8"/>
  <c r="L1019" i="8"/>
  <c r="T1018" i="8"/>
  <c r="S1018" i="8"/>
  <c r="R1018" i="8"/>
  <c r="Q1018" i="8"/>
  <c r="P1018" i="8"/>
  <c r="O1018" i="8"/>
  <c r="N1018" i="8"/>
  <c r="M1018" i="8"/>
  <c r="L1018" i="8"/>
  <c r="T1017" i="8"/>
  <c r="S1017" i="8"/>
  <c r="R1017" i="8"/>
  <c r="Q1017" i="8"/>
  <c r="P1017" i="8"/>
  <c r="O1017" i="8"/>
  <c r="N1017" i="8"/>
  <c r="M1017" i="8"/>
  <c r="L1017" i="8"/>
  <c r="T1016" i="8"/>
  <c r="S1016" i="8"/>
  <c r="R1016" i="8"/>
  <c r="Q1016" i="8"/>
  <c r="P1016" i="8"/>
  <c r="O1016" i="8"/>
  <c r="N1016" i="8"/>
  <c r="M1016" i="8"/>
  <c r="L1016" i="8"/>
  <c r="T1015" i="8"/>
  <c r="S1015" i="8"/>
  <c r="R1015" i="8"/>
  <c r="Q1015" i="8"/>
  <c r="P1015" i="8"/>
  <c r="O1015" i="8"/>
  <c r="N1015" i="8"/>
  <c r="M1015" i="8"/>
  <c r="L1015" i="8"/>
  <c r="T1014" i="8"/>
  <c r="S1014" i="8"/>
  <c r="R1014" i="8"/>
  <c r="Q1014" i="8"/>
  <c r="P1014" i="8"/>
  <c r="O1014" i="8"/>
  <c r="N1014" i="8"/>
  <c r="M1014" i="8"/>
  <c r="L1014" i="8"/>
  <c r="T1013" i="8"/>
  <c r="S1013" i="8"/>
  <c r="R1013" i="8"/>
  <c r="Q1013" i="8"/>
  <c r="P1013" i="8"/>
  <c r="O1013" i="8"/>
  <c r="N1013" i="8"/>
  <c r="M1013" i="8"/>
  <c r="L1013" i="8"/>
  <c r="T1012" i="8"/>
  <c r="S1012" i="8"/>
  <c r="R1012" i="8"/>
  <c r="Q1012" i="8"/>
  <c r="P1012" i="8"/>
  <c r="O1012" i="8"/>
  <c r="N1012" i="8"/>
  <c r="M1012" i="8"/>
  <c r="L1012" i="8"/>
  <c r="T1011" i="8"/>
  <c r="S1011" i="8"/>
  <c r="R1011" i="8"/>
  <c r="Q1011" i="8"/>
  <c r="P1011" i="8"/>
  <c r="O1011" i="8"/>
  <c r="N1011" i="8"/>
  <c r="M1011" i="8"/>
  <c r="L1011" i="8"/>
  <c r="T1010" i="8"/>
  <c r="S1010" i="8"/>
  <c r="R1010" i="8"/>
  <c r="Q1010" i="8"/>
  <c r="P1010" i="8"/>
  <c r="O1010" i="8"/>
  <c r="N1010" i="8"/>
  <c r="M1010" i="8"/>
  <c r="L1010" i="8"/>
  <c r="T1009" i="8"/>
  <c r="S1009" i="8"/>
  <c r="R1009" i="8"/>
  <c r="Q1009" i="8"/>
  <c r="P1009" i="8"/>
  <c r="O1009" i="8"/>
  <c r="N1009" i="8"/>
  <c r="M1009" i="8"/>
  <c r="L1009" i="8"/>
  <c r="T1008" i="8"/>
  <c r="S1008" i="8"/>
  <c r="R1008" i="8"/>
  <c r="Q1008" i="8"/>
  <c r="P1008" i="8"/>
  <c r="O1008" i="8"/>
  <c r="N1008" i="8"/>
  <c r="M1008" i="8"/>
  <c r="L1008" i="8"/>
  <c r="T1007" i="8"/>
  <c r="S1007" i="8"/>
  <c r="R1007" i="8"/>
  <c r="Q1007" i="8"/>
  <c r="P1007" i="8"/>
  <c r="O1007" i="8"/>
  <c r="N1007" i="8"/>
  <c r="M1007" i="8"/>
  <c r="L1007" i="8"/>
  <c r="T1006" i="8"/>
  <c r="S1006" i="8"/>
  <c r="R1006" i="8"/>
  <c r="Q1006" i="8"/>
  <c r="P1006" i="8"/>
  <c r="O1006" i="8"/>
  <c r="N1006" i="8"/>
  <c r="M1006" i="8"/>
  <c r="L1006" i="8"/>
  <c r="T1005" i="8"/>
  <c r="S1005" i="8"/>
  <c r="R1005" i="8"/>
  <c r="Q1005" i="8"/>
  <c r="P1005" i="8"/>
  <c r="O1005" i="8"/>
  <c r="N1005" i="8"/>
  <c r="M1005" i="8"/>
  <c r="L1005" i="8"/>
  <c r="T1004" i="8"/>
  <c r="S1004" i="8"/>
  <c r="R1004" i="8"/>
  <c r="Q1004" i="8"/>
  <c r="P1004" i="8"/>
  <c r="O1004" i="8"/>
  <c r="N1004" i="8"/>
  <c r="M1004" i="8"/>
  <c r="L1004" i="8"/>
  <c r="T1003" i="8"/>
  <c r="S1003" i="8"/>
  <c r="R1003" i="8"/>
  <c r="Q1003" i="8"/>
  <c r="P1003" i="8"/>
  <c r="O1003" i="8"/>
  <c r="N1003" i="8"/>
  <c r="M1003" i="8"/>
  <c r="L1003" i="8"/>
  <c r="T1002" i="8"/>
  <c r="S1002" i="8"/>
  <c r="R1002" i="8"/>
  <c r="Q1002" i="8"/>
  <c r="P1002" i="8"/>
  <c r="O1002" i="8"/>
  <c r="N1002" i="8"/>
  <c r="M1002" i="8"/>
  <c r="L1002" i="8"/>
  <c r="T1001" i="8"/>
  <c r="S1001" i="8"/>
  <c r="R1001" i="8"/>
  <c r="Q1001" i="8"/>
  <c r="P1001" i="8"/>
  <c r="O1001" i="8"/>
  <c r="N1001" i="8"/>
  <c r="M1001" i="8"/>
  <c r="L1001" i="8"/>
  <c r="T1000" i="8"/>
  <c r="S1000" i="8"/>
  <c r="R1000" i="8"/>
  <c r="Q1000" i="8"/>
  <c r="P1000" i="8"/>
  <c r="O1000" i="8"/>
  <c r="N1000" i="8"/>
  <c r="M1000" i="8"/>
  <c r="L1000" i="8"/>
  <c r="T999" i="8"/>
  <c r="S999" i="8"/>
  <c r="R999" i="8"/>
  <c r="Q999" i="8"/>
  <c r="P999" i="8"/>
  <c r="O999" i="8"/>
  <c r="N999" i="8"/>
  <c r="M999" i="8"/>
  <c r="L999" i="8"/>
  <c r="T998" i="8"/>
  <c r="S998" i="8"/>
  <c r="R998" i="8"/>
  <c r="Q998" i="8"/>
  <c r="P998" i="8"/>
  <c r="O998" i="8"/>
  <c r="N998" i="8"/>
  <c r="M998" i="8"/>
  <c r="L998" i="8"/>
  <c r="T997" i="8"/>
  <c r="S997" i="8"/>
  <c r="R997" i="8"/>
  <c r="Q997" i="8"/>
  <c r="P997" i="8"/>
  <c r="O997" i="8"/>
  <c r="N997" i="8"/>
  <c r="M997" i="8"/>
  <c r="L997" i="8"/>
  <c r="T996" i="8"/>
  <c r="S996" i="8"/>
  <c r="R996" i="8"/>
  <c r="Q996" i="8"/>
  <c r="P996" i="8"/>
  <c r="O996" i="8"/>
  <c r="N996" i="8"/>
  <c r="M996" i="8"/>
  <c r="L996" i="8"/>
  <c r="T995" i="8"/>
  <c r="S995" i="8"/>
  <c r="R995" i="8"/>
  <c r="Q995" i="8"/>
  <c r="P995" i="8"/>
  <c r="O995" i="8"/>
  <c r="N995" i="8"/>
  <c r="M995" i="8"/>
  <c r="L995" i="8"/>
  <c r="T994" i="8"/>
  <c r="S994" i="8"/>
  <c r="R994" i="8"/>
  <c r="Q994" i="8"/>
  <c r="P994" i="8"/>
  <c r="O994" i="8"/>
  <c r="N994" i="8"/>
  <c r="M994" i="8"/>
  <c r="L994" i="8"/>
  <c r="T993" i="8"/>
  <c r="S993" i="8"/>
  <c r="R993" i="8"/>
  <c r="Q993" i="8"/>
  <c r="P993" i="8"/>
  <c r="O993" i="8"/>
  <c r="N993" i="8"/>
  <c r="M993" i="8"/>
  <c r="L993" i="8"/>
  <c r="T992" i="8"/>
  <c r="S992" i="8"/>
  <c r="R992" i="8"/>
  <c r="Q992" i="8"/>
  <c r="P992" i="8"/>
  <c r="O992" i="8"/>
  <c r="N992" i="8"/>
  <c r="M992" i="8"/>
  <c r="L992" i="8"/>
  <c r="T991" i="8"/>
  <c r="S991" i="8"/>
  <c r="R991" i="8"/>
  <c r="Q991" i="8"/>
  <c r="P991" i="8"/>
  <c r="O991" i="8"/>
  <c r="N991" i="8"/>
  <c r="M991" i="8"/>
  <c r="L991" i="8"/>
  <c r="T990" i="8"/>
  <c r="S990" i="8"/>
  <c r="R990" i="8"/>
  <c r="Q990" i="8"/>
  <c r="P990" i="8"/>
  <c r="O990" i="8"/>
  <c r="N990" i="8"/>
  <c r="M990" i="8"/>
  <c r="L990" i="8"/>
  <c r="T989" i="8"/>
  <c r="S989" i="8"/>
  <c r="R989" i="8"/>
  <c r="Q989" i="8"/>
  <c r="P989" i="8"/>
  <c r="O989" i="8"/>
  <c r="N989" i="8"/>
  <c r="M989" i="8"/>
  <c r="L989" i="8"/>
  <c r="T988" i="8"/>
  <c r="S988" i="8"/>
  <c r="R988" i="8"/>
  <c r="Q988" i="8"/>
  <c r="P988" i="8"/>
  <c r="O988" i="8"/>
  <c r="N988" i="8"/>
  <c r="M988" i="8"/>
  <c r="L988" i="8"/>
  <c r="T987" i="8"/>
  <c r="S987" i="8"/>
  <c r="R987" i="8"/>
  <c r="Q987" i="8"/>
  <c r="P987" i="8"/>
  <c r="O987" i="8"/>
  <c r="N987" i="8"/>
  <c r="M987" i="8"/>
  <c r="L987" i="8"/>
  <c r="T986" i="8"/>
  <c r="S986" i="8"/>
  <c r="R986" i="8"/>
  <c r="Q986" i="8"/>
  <c r="P986" i="8"/>
  <c r="O986" i="8"/>
  <c r="N986" i="8"/>
  <c r="M986" i="8"/>
  <c r="L986" i="8"/>
  <c r="T985" i="8"/>
  <c r="S985" i="8"/>
  <c r="R985" i="8"/>
  <c r="Q985" i="8"/>
  <c r="P985" i="8"/>
  <c r="O985" i="8"/>
  <c r="N985" i="8"/>
  <c r="M985" i="8"/>
  <c r="L985" i="8"/>
  <c r="T984" i="8"/>
  <c r="S984" i="8"/>
  <c r="R984" i="8"/>
  <c r="Q984" i="8"/>
  <c r="P984" i="8"/>
  <c r="O984" i="8"/>
  <c r="N984" i="8"/>
  <c r="M984" i="8"/>
  <c r="L984" i="8"/>
  <c r="T983" i="8"/>
  <c r="S983" i="8"/>
  <c r="R983" i="8"/>
  <c r="Q983" i="8"/>
  <c r="P983" i="8"/>
  <c r="O983" i="8"/>
  <c r="N983" i="8"/>
  <c r="M983" i="8"/>
  <c r="L983" i="8"/>
  <c r="T982" i="8"/>
  <c r="S982" i="8"/>
  <c r="R982" i="8"/>
  <c r="Q982" i="8"/>
  <c r="P982" i="8"/>
  <c r="O982" i="8"/>
  <c r="N982" i="8"/>
  <c r="M982" i="8"/>
  <c r="L982" i="8"/>
  <c r="T981" i="8"/>
  <c r="S981" i="8"/>
  <c r="R981" i="8"/>
  <c r="Q981" i="8"/>
  <c r="P981" i="8"/>
  <c r="O981" i="8"/>
  <c r="N981" i="8"/>
  <c r="M981" i="8"/>
  <c r="L981" i="8"/>
  <c r="T980" i="8"/>
  <c r="S980" i="8"/>
  <c r="R980" i="8"/>
  <c r="Q980" i="8"/>
  <c r="P980" i="8"/>
  <c r="O980" i="8"/>
  <c r="N980" i="8"/>
  <c r="M980" i="8"/>
  <c r="L980" i="8"/>
  <c r="T979" i="8"/>
  <c r="S979" i="8"/>
  <c r="R979" i="8"/>
  <c r="Q979" i="8"/>
  <c r="P979" i="8"/>
  <c r="O979" i="8"/>
  <c r="N979" i="8"/>
  <c r="M979" i="8"/>
  <c r="L979" i="8"/>
  <c r="T978" i="8"/>
  <c r="S978" i="8"/>
  <c r="R978" i="8"/>
  <c r="Q978" i="8"/>
  <c r="P978" i="8"/>
  <c r="O978" i="8"/>
  <c r="N978" i="8"/>
  <c r="M978" i="8"/>
  <c r="L978" i="8"/>
  <c r="T977" i="8"/>
  <c r="S977" i="8"/>
  <c r="R977" i="8"/>
  <c r="Q977" i="8"/>
  <c r="P977" i="8"/>
  <c r="O977" i="8"/>
  <c r="N977" i="8"/>
  <c r="M977" i="8"/>
  <c r="L977" i="8"/>
  <c r="T976" i="8"/>
  <c r="S976" i="8"/>
  <c r="R976" i="8"/>
  <c r="Q976" i="8"/>
  <c r="P976" i="8"/>
  <c r="O976" i="8"/>
  <c r="N976" i="8"/>
  <c r="M976" i="8"/>
  <c r="L976" i="8"/>
  <c r="T975" i="8"/>
  <c r="S975" i="8"/>
  <c r="R975" i="8"/>
  <c r="Q975" i="8"/>
  <c r="P975" i="8"/>
  <c r="O975" i="8"/>
  <c r="N975" i="8"/>
  <c r="M975" i="8"/>
  <c r="L975" i="8"/>
  <c r="T974" i="8"/>
  <c r="S974" i="8"/>
  <c r="R974" i="8"/>
  <c r="Q974" i="8"/>
  <c r="P974" i="8"/>
  <c r="O974" i="8"/>
  <c r="N974" i="8"/>
  <c r="M974" i="8"/>
  <c r="L974" i="8"/>
  <c r="T973" i="8"/>
  <c r="S973" i="8"/>
  <c r="R973" i="8"/>
  <c r="Q973" i="8"/>
  <c r="P973" i="8"/>
  <c r="O973" i="8"/>
  <c r="N973" i="8"/>
  <c r="M973" i="8"/>
  <c r="L973" i="8"/>
  <c r="T972" i="8"/>
  <c r="S972" i="8"/>
  <c r="R972" i="8"/>
  <c r="Q972" i="8"/>
  <c r="P972" i="8"/>
  <c r="O972" i="8"/>
  <c r="N972" i="8"/>
  <c r="M972" i="8"/>
  <c r="L972" i="8"/>
  <c r="T971" i="8"/>
  <c r="S971" i="8"/>
  <c r="R971" i="8"/>
  <c r="Q971" i="8"/>
  <c r="P971" i="8"/>
  <c r="O971" i="8"/>
  <c r="N971" i="8"/>
  <c r="M971" i="8"/>
  <c r="L971" i="8"/>
  <c r="T970" i="8"/>
  <c r="S970" i="8"/>
  <c r="R970" i="8"/>
  <c r="Q970" i="8"/>
  <c r="P970" i="8"/>
  <c r="O970" i="8"/>
  <c r="N970" i="8"/>
  <c r="M970" i="8"/>
  <c r="L970" i="8"/>
  <c r="T969" i="8"/>
  <c r="S969" i="8"/>
  <c r="R969" i="8"/>
  <c r="Q969" i="8"/>
  <c r="P969" i="8"/>
  <c r="O969" i="8"/>
  <c r="N969" i="8"/>
  <c r="M969" i="8"/>
  <c r="L969" i="8"/>
  <c r="T968" i="8"/>
  <c r="S968" i="8"/>
  <c r="R968" i="8"/>
  <c r="Q968" i="8"/>
  <c r="P968" i="8"/>
  <c r="O968" i="8"/>
  <c r="N968" i="8"/>
  <c r="M968" i="8"/>
  <c r="L968" i="8"/>
  <c r="T967" i="8"/>
  <c r="S967" i="8"/>
  <c r="R967" i="8"/>
  <c r="Q967" i="8"/>
  <c r="P967" i="8"/>
  <c r="O967" i="8"/>
  <c r="N967" i="8"/>
  <c r="M967" i="8"/>
  <c r="L967" i="8"/>
  <c r="T966" i="8"/>
  <c r="S966" i="8"/>
  <c r="R966" i="8"/>
  <c r="Q966" i="8"/>
  <c r="P966" i="8"/>
  <c r="O966" i="8"/>
  <c r="N966" i="8"/>
  <c r="M966" i="8"/>
  <c r="L966" i="8"/>
  <c r="T965" i="8"/>
  <c r="S965" i="8"/>
  <c r="R965" i="8"/>
  <c r="Q965" i="8"/>
  <c r="P965" i="8"/>
  <c r="O965" i="8"/>
  <c r="N965" i="8"/>
  <c r="M965" i="8"/>
  <c r="L965" i="8"/>
  <c r="T964" i="8"/>
  <c r="S964" i="8"/>
  <c r="R964" i="8"/>
  <c r="Q964" i="8"/>
  <c r="P964" i="8"/>
  <c r="O964" i="8"/>
  <c r="N964" i="8"/>
  <c r="M964" i="8"/>
  <c r="L964" i="8"/>
  <c r="T963" i="8"/>
  <c r="S963" i="8"/>
  <c r="R963" i="8"/>
  <c r="Q963" i="8"/>
  <c r="P963" i="8"/>
  <c r="O963" i="8"/>
  <c r="N963" i="8"/>
  <c r="M963" i="8"/>
  <c r="L963" i="8"/>
  <c r="T962" i="8"/>
  <c r="S962" i="8"/>
  <c r="R962" i="8"/>
  <c r="Q962" i="8"/>
  <c r="P962" i="8"/>
  <c r="O962" i="8"/>
  <c r="N962" i="8"/>
  <c r="M962" i="8"/>
  <c r="L962" i="8"/>
  <c r="T961" i="8"/>
  <c r="S961" i="8"/>
  <c r="R961" i="8"/>
  <c r="Q961" i="8"/>
  <c r="P961" i="8"/>
  <c r="O961" i="8"/>
  <c r="N961" i="8"/>
  <c r="M961" i="8"/>
  <c r="L961" i="8"/>
  <c r="T960" i="8"/>
  <c r="S960" i="8"/>
  <c r="R960" i="8"/>
  <c r="Q960" i="8"/>
  <c r="P960" i="8"/>
  <c r="O960" i="8"/>
  <c r="N960" i="8"/>
  <c r="M960" i="8"/>
  <c r="L960" i="8"/>
  <c r="T959" i="8"/>
  <c r="S959" i="8"/>
  <c r="R959" i="8"/>
  <c r="Q959" i="8"/>
  <c r="P959" i="8"/>
  <c r="O959" i="8"/>
  <c r="N959" i="8"/>
  <c r="M959" i="8"/>
  <c r="L959" i="8"/>
  <c r="T958" i="8"/>
  <c r="S958" i="8"/>
  <c r="R958" i="8"/>
  <c r="Q958" i="8"/>
  <c r="P958" i="8"/>
  <c r="O958" i="8"/>
  <c r="N958" i="8"/>
  <c r="M958" i="8"/>
  <c r="L958" i="8"/>
  <c r="T957" i="8"/>
  <c r="S957" i="8"/>
  <c r="R957" i="8"/>
  <c r="Q957" i="8"/>
  <c r="P957" i="8"/>
  <c r="O957" i="8"/>
  <c r="N957" i="8"/>
  <c r="M957" i="8"/>
  <c r="L957" i="8"/>
  <c r="T956" i="8"/>
  <c r="S956" i="8"/>
  <c r="R956" i="8"/>
  <c r="Q956" i="8"/>
  <c r="P956" i="8"/>
  <c r="O956" i="8"/>
  <c r="N956" i="8"/>
  <c r="M956" i="8"/>
  <c r="L956" i="8"/>
  <c r="T955" i="8"/>
  <c r="S955" i="8"/>
  <c r="R955" i="8"/>
  <c r="Q955" i="8"/>
  <c r="P955" i="8"/>
  <c r="O955" i="8"/>
  <c r="N955" i="8"/>
  <c r="M955" i="8"/>
  <c r="L955" i="8"/>
  <c r="T954" i="8"/>
  <c r="S954" i="8"/>
  <c r="R954" i="8"/>
  <c r="Q954" i="8"/>
  <c r="P954" i="8"/>
  <c r="O954" i="8"/>
  <c r="N954" i="8"/>
  <c r="M954" i="8"/>
  <c r="L954" i="8"/>
  <c r="T953" i="8"/>
  <c r="S953" i="8"/>
  <c r="R953" i="8"/>
  <c r="Q953" i="8"/>
  <c r="P953" i="8"/>
  <c r="O953" i="8"/>
  <c r="N953" i="8"/>
  <c r="M953" i="8"/>
  <c r="L953" i="8"/>
  <c r="T952" i="8"/>
  <c r="S952" i="8"/>
  <c r="R952" i="8"/>
  <c r="Q952" i="8"/>
  <c r="P952" i="8"/>
  <c r="O952" i="8"/>
  <c r="N952" i="8"/>
  <c r="M952" i="8"/>
  <c r="L952" i="8"/>
  <c r="T951" i="8"/>
  <c r="S951" i="8"/>
  <c r="R951" i="8"/>
  <c r="Q951" i="8"/>
  <c r="P951" i="8"/>
  <c r="O951" i="8"/>
  <c r="N951" i="8"/>
  <c r="M951" i="8"/>
  <c r="L951" i="8"/>
  <c r="T950" i="8"/>
  <c r="S950" i="8"/>
  <c r="R950" i="8"/>
  <c r="Q950" i="8"/>
  <c r="P950" i="8"/>
  <c r="O950" i="8"/>
  <c r="N950" i="8"/>
  <c r="M950" i="8"/>
  <c r="L950" i="8"/>
  <c r="T949" i="8"/>
  <c r="S949" i="8"/>
  <c r="R949" i="8"/>
  <c r="Q949" i="8"/>
  <c r="P949" i="8"/>
  <c r="O949" i="8"/>
  <c r="N949" i="8"/>
  <c r="M949" i="8"/>
  <c r="L949" i="8"/>
  <c r="T948" i="8"/>
  <c r="S948" i="8"/>
  <c r="R948" i="8"/>
  <c r="Q948" i="8"/>
  <c r="P948" i="8"/>
  <c r="O948" i="8"/>
  <c r="N948" i="8"/>
  <c r="M948" i="8"/>
  <c r="L948" i="8"/>
  <c r="T947" i="8"/>
  <c r="S947" i="8"/>
  <c r="R947" i="8"/>
  <c r="Q947" i="8"/>
  <c r="P947" i="8"/>
  <c r="O947" i="8"/>
  <c r="N947" i="8"/>
  <c r="M947" i="8"/>
  <c r="L947" i="8"/>
  <c r="T946" i="8"/>
  <c r="S946" i="8"/>
  <c r="R946" i="8"/>
  <c r="Q946" i="8"/>
  <c r="P946" i="8"/>
  <c r="O946" i="8"/>
  <c r="N946" i="8"/>
  <c r="M946" i="8"/>
  <c r="L946" i="8"/>
  <c r="T945" i="8"/>
  <c r="S945" i="8"/>
  <c r="R945" i="8"/>
  <c r="Q945" i="8"/>
  <c r="P945" i="8"/>
  <c r="O945" i="8"/>
  <c r="N945" i="8"/>
  <c r="M945" i="8"/>
  <c r="L945" i="8"/>
  <c r="T944" i="8"/>
  <c r="S944" i="8"/>
  <c r="R944" i="8"/>
  <c r="Q944" i="8"/>
  <c r="P944" i="8"/>
  <c r="O944" i="8"/>
  <c r="N944" i="8"/>
  <c r="M944" i="8"/>
  <c r="L944" i="8"/>
  <c r="T943" i="8"/>
  <c r="S943" i="8"/>
  <c r="R943" i="8"/>
  <c r="Q943" i="8"/>
  <c r="P943" i="8"/>
  <c r="O943" i="8"/>
  <c r="N943" i="8"/>
  <c r="M943" i="8"/>
  <c r="L943" i="8"/>
  <c r="T942" i="8"/>
  <c r="S942" i="8"/>
  <c r="R942" i="8"/>
  <c r="Q942" i="8"/>
  <c r="P942" i="8"/>
  <c r="O942" i="8"/>
  <c r="N942" i="8"/>
  <c r="M942" i="8"/>
  <c r="L942" i="8"/>
  <c r="T941" i="8"/>
  <c r="S941" i="8"/>
  <c r="R941" i="8"/>
  <c r="Q941" i="8"/>
  <c r="P941" i="8"/>
  <c r="O941" i="8"/>
  <c r="N941" i="8"/>
  <c r="M941" i="8"/>
  <c r="L941" i="8"/>
  <c r="T940" i="8"/>
  <c r="S940" i="8"/>
  <c r="R940" i="8"/>
  <c r="Q940" i="8"/>
  <c r="P940" i="8"/>
  <c r="O940" i="8"/>
  <c r="N940" i="8"/>
  <c r="M940" i="8"/>
  <c r="L940" i="8"/>
  <c r="T939" i="8"/>
  <c r="S939" i="8"/>
  <c r="R939" i="8"/>
  <c r="Q939" i="8"/>
  <c r="P939" i="8"/>
  <c r="O939" i="8"/>
  <c r="N939" i="8"/>
  <c r="M939" i="8"/>
  <c r="L939" i="8"/>
  <c r="T938" i="8"/>
  <c r="S938" i="8"/>
  <c r="R938" i="8"/>
  <c r="Q938" i="8"/>
  <c r="P938" i="8"/>
  <c r="O938" i="8"/>
  <c r="N938" i="8"/>
  <c r="M938" i="8"/>
  <c r="L938" i="8"/>
  <c r="T937" i="8"/>
  <c r="S937" i="8"/>
  <c r="R937" i="8"/>
  <c r="Q937" i="8"/>
  <c r="P937" i="8"/>
  <c r="O937" i="8"/>
  <c r="N937" i="8"/>
  <c r="M937" i="8"/>
  <c r="L937" i="8"/>
  <c r="T936" i="8"/>
  <c r="S936" i="8"/>
  <c r="R936" i="8"/>
  <c r="Q936" i="8"/>
  <c r="P936" i="8"/>
  <c r="O936" i="8"/>
  <c r="N936" i="8"/>
  <c r="M936" i="8"/>
  <c r="L936" i="8"/>
  <c r="T935" i="8"/>
  <c r="S935" i="8"/>
  <c r="R935" i="8"/>
  <c r="Q935" i="8"/>
  <c r="P935" i="8"/>
  <c r="O935" i="8"/>
  <c r="N935" i="8"/>
  <c r="M935" i="8"/>
  <c r="L935" i="8"/>
  <c r="T934" i="8"/>
  <c r="S934" i="8"/>
  <c r="R934" i="8"/>
  <c r="Q934" i="8"/>
  <c r="P934" i="8"/>
  <c r="O934" i="8"/>
  <c r="N934" i="8"/>
  <c r="M934" i="8"/>
  <c r="L934" i="8"/>
  <c r="T933" i="8"/>
  <c r="S933" i="8"/>
  <c r="R933" i="8"/>
  <c r="Q933" i="8"/>
  <c r="P933" i="8"/>
  <c r="O933" i="8"/>
  <c r="N933" i="8"/>
  <c r="M933" i="8"/>
  <c r="L933" i="8"/>
  <c r="T932" i="8"/>
  <c r="S932" i="8"/>
  <c r="R932" i="8"/>
  <c r="Q932" i="8"/>
  <c r="P932" i="8"/>
  <c r="O932" i="8"/>
  <c r="N932" i="8"/>
  <c r="M932" i="8"/>
  <c r="L932" i="8"/>
  <c r="T931" i="8"/>
  <c r="S931" i="8"/>
  <c r="R931" i="8"/>
  <c r="Q931" i="8"/>
  <c r="P931" i="8"/>
  <c r="O931" i="8"/>
  <c r="N931" i="8"/>
  <c r="M931" i="8"/>
  <c r="L931" i="8"/>
  <c r="T930" i="8"/>
  <c r="S930" i="8"/>
  <c r="R930" i="8"/>
  <c r="Q930" i="8"/>
  <c r="P930" i="8"/>
  <c r="O930" i="8"/>
  <c r="N930" i="8"/>
  <c r="M930" i="8"/>
  <c r="L930" i="8"/>
  <c r="T929" i="8"/>
  <c r="S929" i="8"/>
  <c r="R929" i="8"/>
  <c r="Q929" i="8"/>
  <c r="P929" i="8"/>
  <c r="O929" i="8"/>
  <c r="N929" i="8"/>
  <c r="M929" i="8"/>
  <c r="L929" i="8"/>
  <c r="T928" i="8"/>
  <c r="S928" i="8"/>
  <c r="R928" i="8"/>
  <c r="Q928" i="8"/>
  <c r="P928" i="8"/>
  <c r="O928" i="8"/>
  <c r="N928" i="8"/>
  <c r="M928" i="8"/>
  <c r="L928" i="8"/>
  <c r="T927" i="8"/>
  <c r="S927" i="8"/>
  <c r="R927" i="8"/>
  <c r="Q927" i="8"/>
  <c r="P927" i="8"/>
  <c r="O927" i="8"/>
  <c r="N927" i="8"/>
  <c r="M927" i="8"/>
  <c r="L927" i="8"/>
  <c r="T926" i="8"/>
  <c r="S926" i="8"/>
  <c r="R926" i="8"/>
  <c r="Q926" i="8"/>
  <c r="P926" i="8"/>
  <c r="O926" i="8"/>
  <c r="N926" i="8"/>
  <c r="M926" i="8"/>
  <c r="L926" i="8"/>
  <c r="T925" i="8"/>
  <c r="S925" i="8"/>
  <c r="R925" i="8"/>
  <c r="Q925" i="8"/>
  <c r="P925" i="8"/>
  <c r="O925" i="8"/>
  <c r="N925" i="8"/>
  <c r="M925" i="8"/>
  <c r="L925" i="8"/>
  <c r="T924" i="8"/>
  <c r="S924" i="8"/>
  <c r="R924" i="8"/>
  <c r="Q924" i="8"/>
  <c r="P924" i="8"/>
  <c r="O924" i="8"/>
  <c r="N924" i="8"/>
  <c r="M924" i="8"/>
  <c r="L924" i="8"/>
  <c r="T923" i="8"/>
  <c r="S923" i="8"/>
  <c r="R923" i="8"/>
  <c r="Q923" i="8"/>
  <c r="P923" i="8"/>
  <c r="O923" i="8"/>
  <c r="N923" i="8"/>
  <c r="M923" i="8"/>
  <c r="L923" i="8"/>
  <c r="T922" i="8"/>
  <c r="S922" i="8"/>
  <c r="R922" i="8"/>
  <c r="Q922" i="8"/>
  <c r="P922" i="8"/>
  <c r="O922" i="8"/>
  <c r="N922" i="8"/>
  <c r="M922" i="8"/>
  <c r="L922" i="8"/>
  <c r="T921" i="8"/>
  <c r="S921" i="8"/>
  <c r="R921" i="8"/>
  <c r="Q921" i="8"/>
  <c r="P921" i="8"/>
  <c r="O921" i="8"/>
  <c r="N921" i="8"/>
  <c r="M921" i="8"/>
  <c r="L921" i="8"/>
  <c r="T920" i="8"/>
  <c r="S920" i="8"/>
  <c r="R920" i="8"/>
  <c r="Q920" i="8"/>
  <c r="P920" i="8"/>
  <c r="O920" i="8"/>
  <c r="N920" i="8"/>
  <c r="M920" i="8"/>
  <c r="L920" i="8"/>
  <c r="T919" i="8"/>
  <c r="S919" i="8"/>
  <c r="R919" i="8"/>
  <c r="Q919" i="8"/>
  <c r="P919" i="8"/>
  <c r="O919" i="8"/>
  <c r="N919" i="8"/>
  <c r="M919" i="8"/>
  <c r="L919" i="8"/>
  <c r="T918" i="8"/>
  <c r="S918" i="8"/>
  <c r="R918" i="8"/>
  <c r="Q918" i="8"/>
  <c r="P918" i="8"/>
  <c r="O918" i="8"/>
  <c r="N918" i="8"/>
  <c r="M918" i="8"/>
  <c r="L918" i="8"/>
  <c r="T917" i="8"/>
  <c r="S917" i="8"/>
  <c r="R917" i="8"/>
  <c r="Q917" i="8"/>
  <c r="P917" i="8"/>
  <c r="O917" i="8"/>
  <c r="N917" i="8"/>
  <c r="M917" i="8"/>
  <c r="L917" i="8"/>
  <c r="T916" i="8"/>
  <c r="S916" i="8"/>
  <c r="R916" i="8"/>
  <c r="Q916" i="8"/>
  <c r="P916" i="8"/>
  <c r="O916" i="8"/>
  <c r="N916" i="8"/>
  <c r="M916" i="8"/>
  <c r="L916" i="8"/>
  <c r="T915" i="8"/>
  <c r="S915" i="8"/>
  <c r="R915" i="8"/>
  <c r="Q915" i="8"/>
  <c r="P915" i="8"/>
  <c r="O915" i="8"/>
  <c r="N915" i="8"/>
  <c r="M915" i="8"/>
  <c r="L915" i="8"/>
  <c r="T914" i="8"/>
  <c r="S914" i="8"/>
  <c r="R914" i="8"/>
  <c r="Q914" i="8"/>
  <c r="P914" i="8"/>
  <c r="O914" i="8"/>
  <c r="N914" i="8"/>
  <c r="M914" i="8"/>
  <c r="L914" i="8"/>
  <c r="T913" i="8"/>
  <c r="S913" i="8"/>
  <c r="R913" i="8"/>
  <c r="Q913" i="8"/>
  <c r="P913" i="8"/>
  <c r="O913" i="8"/>
  <c r="N913" i="8"/>
  <c r="M913" i="8"/>
  <c r="L913" i="8"/>
  <c r="T912" i="8"/>
  <c r="S912" i="8"/>
  <c r="R912" i="8"/>
  <c r="Q912" i="8"/>
  <c r="P912" i="8"/>
  <c r="O912" i="8"/>
  <c r="N912" i="8"/>
  <c r="M912" i="8"/>
  <c r="L912" i="8"/>
  <c r="T911" i="8"/>
  <c r="S911" i="8"/>
  <c r="R911" i="8"/>
  <c r="Q911" i="8"/>
  <c r="P911" i="8"/>
  <c r="O911" i="8"/>
  <c r="N911" i="8"/>
  <c r="M911" i="8"/>
  <c r="L911" i="8"/>
  <c r="T910" i="8"/>
  <c r="S910" i="8"/>
  <c r="R910" i="8"/>
  <c r="Q910" i="8"/>
  <c r="P910" i="8"/>
  <c r="O910" i="8"/>
  <c r="N910" i="8"/>
  <c r="M910" i="8"/>
  <c r="L910" i="8"/>
  <c r="T909" i="8"/>
  <c r="S909" i="8"/>
  <c r="R909" i="8"/>
  <c r="Q909" i="8"/>
  <c r="P909" i="8"/>
  <c r="O909" i="8"/>
  <c r="N909" i="8"/>
  <c r="M909" i="8"/>
  <c r="L909" i="8"/>
  <c r="T908" i="8"/>
  <c r="S908" i="8"/>
  <c r="R908" i="8"/>
  <c r="Q908" i="8"/>
  <c r="P908" i="8"/>
  <c r="O908" i="8"/>
  <c r="N908" i="8"/>
  <c r="M908" i="8"/>
  <c r="L908" i="8"/>
  <c r="T907" i="8"/>
  <c r="S907" i="8"/>
  <c r="R907" i="8"/>
  <c r="Q907" i="8"/>
  <c r="P907" i="8"/>
  <c r="O907" i="8"/>
  <c r="N907" i="8"/>
  <c r="M907" i="8"/>
  <c r="L907" i="8"/>
  <c r="T906" i="8"/>
  <c r="S906" i="8"/>
  <c r="R906" i="8"/>
  <c r="Q906" i="8"/>
  <c r="P906" i="8"/>
  <c r="O906" i="8"/>
  <c r="N906" i="8"/>
  <c r="M906" i="8"/>
  <c r="L906" i="8"/>
  <c r="T905" i="8"/>
  <c r="S905" i="8"/>
  <c r="R905" i="8"/>
  <c r="Q905" i="8"/>
  <c r="P905" i="8"/>
  <c r="O905" i="8"/>
  <c r="N905" i="8"/>
  <c r="M905" i="8"/>
  <c r="L905" i="8"/>
  <c r="T904" i="8"/>
  <c r="S904" i="8"/>
  <c r="R904" i="8"/>
  <c r="Q904" i="8"/>
  <c r="P904" i="8"/>
  <c r="O904" i="8"/>
  <c r="N904" i="8"/>
  <c r="M904" i="8"/>
  <c r="L904" i="8"/>
  <c r="T903" i="8"/>
  <c r="S903" i="8"/>
  <c r="R903" i="8"/>
  <c r="Q903" i="8"/>
  <c r="P903" i="8"/>
  <c r="O903" i="8"/>
  <c r="N903" i="8"/>
  <c r="M903" i="8"/>
  <c r="L903" i="8"/>
  <c r="T902" i="8"/>
  <c r="S902" i="8"/>
  <c r="R902" i="8"/>
  <c r="Q902" i="8"/>
  <c r="P902" i="8"/>
  <c r="O902" i="8"/>
  <c r="N902" i="8"/>
  <c r="M902" i="8"/>
  <c r="L902" i="8"/>
  <c r="T901" i="8"/>
  <c r="S901" i="8"/>
  <c r="R901" i="8"/>
  <c r="Q901" i="8"/>
  <c r="P901" i="8"/>
  <c r="O901" i="8"/>
  <c r="N901" i="8"/>
  <c r="M901" i="8"/>
  <c r="L901" i="8"/>
  <c r="T900" i="8"/>
  <c r="S900" i="8"/>
  <c r="R900" i="8"/>
  <c r="Q900" i="8"/>
  <c r="P900" i="8"/>
  <c r="O900" i="8"/>
  <c r="N900" i="8"/>
  <c r="M900" i="8"/>
  <c r="L900" i="8"/>
  <c r="T899" i="8"/>
  <c r="S899" i="8"/>
  <c r="R899" i="8"/>
  <c r="Q899" i="8"/>
  <c r="P899" i="8"/>
  <c r="O899" i="8"/>
  <c r="N899" i="8"/>
  <c r="M899" i="8"/>
  <c r="L899" i="8"/>
  <c r="T898" i="8"/>
  <c r="S898" i="8"/>
  <c r="R898" i="8"/>
  <c r="Q898" i="8"/>
  <c r="P898" i="8"/>
  <c r="O898" i="8"/>
  <c r="N898" i="8"/>
  <c r="M898" i="8"/>
  <c r="L898" i="8"/>
  <c r="T897" i="8"/>
  <c r="S897" i="8"/>
  <c r="R897" i="8"/>
  <c r="Q897" i="8"/>
  <c r="P897" i="8"/>
  <c r="O897" i="8"/>
  <c r="N897" i="8"/>
  <c r="M897" i="8"/>
  <c r="L897" i="8"/>
  <c r="T896" i="8"/>
  <c r="S896" i="8"/>
  <c r="R896" i="8"/>
  <c r="Q896" i="8"/>
  <c r="P896" i="8"/>
  <c r="O896" i="8"/>
  <c r="N896" i="8"/>
  <c r="M896" i="8"/>
  <c r="L896" i="8"/>
  <c r="T895" i="8"/>
  <c r="S895" i="8"/>
  <c r="R895" i="8"/>
  <c r="Q895" i="8"/>
  <c r="P895" i="8"/>
  <c r="O895" i="8"/>
  <c r="N895" i="8"/>
  <c r="M895" i="8"/>
  <c r="L895" i="8"/>
  <c r="T894" i="8"/>
  <c r="S894" i="8"/>
  <c r="R894" i="8"/>
  <c r="Q894" i="8"/>
  <c r="P894" i="8"/>
  <c r="O894" i="8"/>
  <c r="N894" i="8"/>
  <c r="M894" i="8"/>
  <c r="L894" i="8"/>
  <c r="T893" i="8"/>
  <c r="S893" i="8"/>
  <c r="R893" i="8"/>
  <c r="Q893" i="8"/>
  <c r="P893" i="8"/>
  <c r="O893" i="8"/>
  <c r="N893" i="8"/>
  <c r="M893" i="8"/>
  <c r="L893" i="8"/>
  <c r="T892" i="8"/>
  <c r="S892" i="8"/>
  <c r="R892" i="8"/>
  <c r="Q892" i="8"/>
  <c r="P892" i="8"/>
  <c r="O892" i="8"/>
  <c r="N892" i="8"/>
  <c r="M892" i="8"/>
  <c r="L892" i="8"/>
  <c r="T891" i="8"/>
  <c r="S891" i="8"/>
  <c r="R891" i="8"/>
  <c r="Q891" i="8"/>
  <c r="P891" i="8"/>
  <c r="O891" i="8"/>
  <c r="N891" i="8"/>
  <c r="M891" i="8"/>
  <c r="L891" i="8"/>
  <c r="T890" i="8"/>
  <c r="S890" i="8"/>
  <c r="R890" i="8"/>
  <c r="Q890" i="8"/>
  <c r="P890" i="8"/>
  <c r="O890" i="8"/>
  <c r="N890" i="8"/>
  <c r="M890" i="8"/>
  <c r="L890" i="8"/>
  <c r="T889" i="8"/>
  <c r="S889" i="8"/>
  <c r="R889" i="8"/>
  <c r="Q889" i="8"/>
  <c r="P889" i="8"/>
  <c r="O889" i="8"/>
  <c r="N889" i="8"/>
  <c r="M889" i="8"/>
  <c r="L889" i="8"/>
  <c r="T888" i="8"/>
  <c r="S888" i="8"/>
  <c r="R888" i="8"/>
  <c r="Q888" i="8"/>
  <c r="P888" i="8"/>
  <c r="O888" i="8"/>
  <c r="N888" i="8"/>
  <c r="M888" i="8"/>
  <c r="L888" i="8"/>
  <c r="T887" i="8"/>
  <c r="S887" i="8"/>
  <c r="R887" i="8"/>
  <c r="Q887" i="8"/>
  <c r="P887" i="8"/>
  <c r="O887" i="8"/>
  <c r="N887" i="8"/>
  <c r="M887" i="8"/>
  <c r="L887" i="8"/>
  <c r="T886" i="8"/>
  <c r="S886" i="8"/>
  <c r="R886" i="8"/>
  <c r="Q886" i="8"/>
  <c r="P886" i="8"/>
  <c r="O886" i="8"/>
  <c r="N886" i="8"/>
  <c r="M886" i="8"/>
  <c r="L886" i="8"/>
  <c r="T885" i="8"/>
  <c r="S885" i="8"/>
  <c r="R885" i="8"/>
  <c r="Q885" i="8"/>
  <c r="P885" i="8"/>
  <c r="O885" i="8"/>
  <c r="N885" i="8"/>
  <c r="M885" i="8"/>
  <c r="L885" i="8"/>
  <c r="T884" i="8"/>
  <c r="S884" i="8"/>
  <c r="R884" i="8"/>
  <c r="Q884" i="8"/>
  <c r="P884" i="8"/>
  <c r="O884" i="8"/>
  <c r="N884" i="8"/>
  <c r="M884" i="8"/>
  <c r="L884" i="8"/>
  <c r="T883" i="8"/>
  <c r="S883" i="8"/>
  <c r="R883" i="8"/>
  <c r="Q883" i="8"/>
  <c r="P883" i="8"/>
  <c r="O883" i="8"/>
  <c r="N883" i="8"/>
  <c r="M883" i="8"/>
  <c r="L883" i="8"/>
  <c r="T882" i="8"/>
  <c r="S882" i="8"/>
  <c r="R882" i="8"/>
  <c r="Q882" i="8"/>
  <c r="P882" i="8"/>
  <c r="O882" i="8"/>
  <c r="N882" i="8"/>
  <c r="M882" i="8"/>
  <c r="L882" i="8"/>
  <c r="T881" i="8"/>
  <c r="S881" i="8"/>
  <c r="R881" i="8"/>
  <c r="Q881" i="8"/>
  <c r="P881" i="8"/>
  <c r="O881" i="8"/>
  <c r="N881" i="8"/>
  <c r="M881" i="8"/>
  <c r="L881" i="8"/>
  <c r="T880" i="8"/>
  <c r="S880" i="8"/>
  <c r="R880" i="8"/>
  <c r="Q880" i="8"/>
  <c r="P880" i="8"/>
  <c r="O880" i="8"/>
  <c r="N880" i="8"/>
  <c r="M880" i="8"/>
  <c r="L880" i="8"/>
  <c r="T879" i="8"/>
  <c r="S879" i="8"/>
  <c r="R879" i="8"/>
  <c r="Q879" i="8"/>
  <c r="P879" i="8"/>
  <c r="O879" i="8"/>
  <c r="N879" i="8"/>
  <c r="M879" i="8"/>
  <c r="L879" i="8"/>
  <c r="T878" i="8"/>
  <c r="S878" i="8"/>
  <c r="R878" i="8"/>
  <c r="Q878" i="8"/>
  <c r="P878" i="8"/>
  <c r="O878" i="8"/>
  <c r="N878" i="8"/>
  <c r="M878" i="8"/>
  <c r="L878" i="8"/>
  <c r="T877" i="8"/>
  <c r="S877" i="8"/>
  <c r="R877" i="8"/>
  <c r="Q877" i="8"/>
  <c r="P877" i="8"/>
  <c r="O877" i="8"/>
  <c r="N877" i="8"/>
  <c r="M877" i="8"/>
  <c r="L877" i="8"/>
  <c r="T876" i="8"/>
  <c r="S876" i="8"/>
  <c r="R876" i="8"/>
  <c r="Q876" i="8"/>
  <c r="P876" i="8"/>
  <c r="O876" i="8"/>
  <c r="N876" i="8"/>
  <c r="M876" i="8"/>
  <c r="L876" i="8"/>
  <c r="T875" i="8"/>
  <c r="S875" i="8"/>
  <c r="R875" i="8"/>
  <c r="Q875" i="8"/>
  <c r="P875" i="8"/>
  <c r="O875" i="8"/>
  <c r="N875" i="8"/>
  <c r="M875" i="8"/>
  <c r="L875" i="8"/>
  <c r="T874" i="8"/>
  <c r="S874" i="8"/>
  <c r="R874" i="8"/>
  <c r="Q874" i="8"/>
  <c r="P874" i="8"/>
  <c r="O874" i="8"/>
  <c r="N874" i="8"/>
  <c r="M874" i="8"/>
  <c r="L874" i="8"/>
  <c r="T873" i="8"/>
  <c r="S873" i="8"/>
  <c r="R873" i="8"/>
  <c r="Q873" i="8"/>
  <c r="P873" i="8"/>
  <c r="O873" i="8"/>
  <c r="N873" i="8"/>
  <c r="M873" i="8"/>
  <c r="L873" i="8"/>
  <c r="T872" i="8"/>
  <c r="S872" i="8"/>
  <c r="R872" i="8"/>
  <c r="Q872" i="8"/>
  <c r="P872" i="8"/>
  <c r="O872" i="8"/>
  <c r="N872" i="8"/>
  <c r="M872" i="8"/>
  <c r="L872" i="8"/>
  <c r="T871" i="8"/>
  <c r="S871" i="8"/>
  <c r="R871" i="8"/>
  <c r="Q871" i="8"/>
  <c r="P871" i="8"/>
  <c r="O871" i="8"/>
  <c r="N871" i="8"/>
  <c r="M871" i="8"/>
  <c r="L871" i="8"/>
  <c r="T870" i="8"/>
  <c r="S870" i="8"/>
  <c r="R870" i="8"/>
  <c r="Q870" i="8"/>
  <c r="P870" i="8"/>
  <c r="O870" i="8"/>
  <c r="N870" i="8"/>
  <c r="M870" i="8"/>
  <c r="L870" i="8"/>
  <c r="T869" i="8"/>
  <c r="S869" i="8"/>
  <c r="R869" i="8"/>
  <c r="Q869" i="8"/>
  <c r="P869" i="8"/>
  <c r="O869" i="8"/>
  <c r="N869" i="8"/>
  <c r="M869" i="8"/>
  <c r="L869" i="8"/>
  <c r="T868" i="8"/>
  <c r="S868" i="8"/>
  <c r="R868" i="8"/>
  <c r="Q868" i="8"/>
  <c r="P868" i="8"/>
  <c r="O868" i="8"/>
  <c r="N868" i="8"/>
  <c r="M868" i="8"/>
  <c r="L868" i="8"/>
  <c r="T867" i="8"/>
  <c r="S867" i="8"/>
  <c r="R867" i="8"/>
  <c r="Q867" i="8"/>
  <c r="P867" i="8"/>
  <c r="O867" i="8"/>
  <c r="N867" i="8"/>
  <c r="M867" i="8"/>
  <c r="L867" i="8"/>
  <c r="T866" i="8"/>
  <c r="S866" i="8"/>
  <c r="R866" i="8"/>
  <c r="Q866" i="8"/>
  <c r="P866" i="8"/>
  <c r="O866" i="8"/>
  <c r="N866" i="8"/>
  <c r="M866" i="8"/>
  <c r="L866" i="8"/>
  <c r="T865" i="8"/>
  <c r="S865" i="8"/>
  <c r="R865" i="8"/>
  <c r="Q865" i="8"/>
  <c r="P865" i="8"/>
  <c r="O865" i="8"/>
  <c r="N865" i="8"/>
  <c r="M865" i="8"/>
  <c r="L865" i="8"/>
  <c r="T864" i="8"/>
  <c r="S864" i="8"/>
  <c r="R864" i="8"/>
  <c r="Q864" i="8"/>
  <c r="P864" i="8"/>
  <c r="O864" i="8"/>
  <c r="N864" i="8"/>
  <c r="M864" i="8"/>
  <c r="L864" i="8"/>
  <c r="T863" i="8"/>
  <c r="S863" i="8"/>
  <c r="R863" i="8"/>
  <c r="Q863" i="8"/>
  <c r="P863" i="8"/>
  <c r="O863" i="8"/>
  <c r="N863" i="8"/>
  <c r="M863" i="8"/>
  <c r="L863" i="8"/>
  <c r="T862" i="8"/>
  <c r="S862" i="8"/>
  <c r="R862" i="8"/>
  <c r="Q862" i="8"/>
  <c r="P862" i="8"/>
  <c r="O862" i="8"/>
  <c r="N862" i="8"/>
  <c r="M862" i="8"/>
  <c r="L862" i="8"/>
  <c r="T861" i="8"/>
  <c r="S861" i="8"/>
  <c r="R861" i="8"/>
  <c r="Q861" i="8"/>
  <c r="P861" i="8"/>
  <c r="O861" i="8"/>
  <c r="N861" i="8"/>
  <c r="M861" i="8"/>
  <c r="L861" i="8"/>
  <c r="T860" i="8"/>
  <c r="S860" i="8"/>
  <c r="R860" i="8"/>
  <c r="Q860" i="8"/>
  <c r="P860" i="8"/>
  <c r="O860" i="8"/>
  <c r="N860" i="8"/>
  <c r="M860" i="8"/>
  <c r="L860" i="8"/>
  <c r="T859" i="8"/>
  <c r="S859" i="8"/>
  <c r="R859" i="8"/>
  <c r="Q859" i="8"/>
  <c r="P859" i="8"/>
  <c r="O859" i="8"/>
  <c r="N859" i="8"/>
  <c r="M859" i="8"/>
  <c r="L859" i="8"/>
  <c r="T858" i="8"/>
  <c r="S858" i="8"/>
  <c r="R858" i="8"/>
  <c r="Q858" i="8"/>
  <c r="P858" i="8"/>
  <c r="O858" i="8"/>
  <c r="N858" i="8"/>
  <c r="M858" i="8"/>
  <c r="L858" i="8"/>
  <c r="T857" i="8"/>
  <c r="S857" i="8"/>
  <c r="R857" i="8"/>
  <c r="Q857" i="8"/>
  <c r="P857" i="8"/>
  <c r="O857" i="8"/>
  <c r="N857" i="8"/>
  <c r="M857" i="8"/>
  <c r="L857" i="8"/>
  <c r="T856" i="8"/>
  <c r="S856" i="8"/>
  <c r="R856" i="8"/>
  <c r="Q856" i="8"/>
  <c r="P856" i="8"/>
  <c r="O856" i="8"/>
  <c r="N856" i="8"/>
  <c r="M856" i="8"/>
  <c r="L856" i="8"/>
  <c r="T855" i="8"/>
  <c r="S855" i="8"/>
  <c r="R855" i="8"/>
  <c r="Q855" i="8"/>
  <c r="P855" i="8"/>
  <c r="O855" i="8"/>
  <c r="N855" i="8"/>
  <c r="M855" i="8"/>
  <c r="L855" i="8"/>
  <c r="T854" i="8"/>
  <c r="S854" i="8"/>
  <c r="R854" i="8"/>
  <c r="Q854" i="8"/>
  <c r="P854" i="8"/>
  <c r="O854" i="8"/>
  <c r="N854" i="8"/>
  <c r="M854" i="8"/>
  <c r="L854" i="8"/>
  <c r="T853" i="8"/>
  <c r="S853" i="8"/>
  <c r="R853" i="8"/>
  <c r="Q853" i="8"/>
  <c r="P853" i="8"/>
  <c r="O853" i="8"/>
  <c r="N853" i="8"/>
  <c r="M853" i="8"/>
  <c r="L853" i="8"/>
  <c r="T852" i="8"/>
  <c r="S852" i="8"/>
  <c r="R852" i="8"/>
  <c r="Q852" i="8"/>
  <c r="P852" i="8"/>
  <c r="O852" i="8"/>
  <c r="N852" i="8"/>
  <c r="M852" i="8"/>
  <c r="L852" i="8"/>
  <c r="U852" i="8" s="1"/>
  <c r="T851" i="8"/>
  <c r="S851" i="8"/>
  <c r="R851" i="8"/>
  <c r="Q851" i="8"/>
  <c r="P851" i="8"/>
  <c r="O851" i="8"/>
  <c r="N851" i="8"/>
  <c r="M851" i="8"/>
  <c r="L851" i="8"/>
  <c r="T850" i="8"/>
  <c r="S850" i="8"/>
  <c r="R850" i="8"/>
  <c r="Q850" i="8"/>
  <c r="P850" i="8"/>
  <c r="O850" i="8"/>
  <c r="N850" i="8"/>
  <c r="M850" i="8"/>
  <c r="L850" i="8"/>
  <c r="U850" i="8" s="1"/>
  <c r="T849" i="8"/>
  <c r="S849" i="8"/>
  <c r="R849" i="8"/>
  <c r="Q849" i="8"/>
  <c r="P849" i="8"/>
  <c r="O849" i="8"/>
  <c r="N849" i="8"/>
  <c r="M849" i="8"/>
  <c r="L849" i="8"/>
  <c r="T848" i="8"/>
  <c r="S848" i="8"/>
  <c r="R848" i="8"/>
  <c r="Q848" i="8"/>
  <c r="P848" i="8"/>
  <c r="O848" i="8"/>
  <c r="N848" i="8"/>
  <c r="M848" i="8"/>
  <c r="L848" i="8"/>
  <c r="U848" i="8" s="1"/>
  <c r="T847" i="8"/>
  <c r="S847" i="8"/>
  <c r="R847" i="8"/>
  <c r="Q847" i="8"/>
  <c r="P847" i="8"/>
  <c r="O847" i="8"/>
  <c r="N847" i="8"/>
  <c r="M847" i="8"/>
  <c r="L847" i="8"/>
  <c r="T846" i="8"/>
  <c r="S846" i="8"/>
  <c r="R846" i="8"/>
  <c r="Q846" i="8"/>
  <c r="P846" i="8"/>
  <c r="O846" i="8"/>
  <c r="N846" i="8"/>
  <c r="M846" i="8"/>
  <c r="L846" i="8"/>
  <c r="U846" i="8" s="1"/>
  <c r="T845" i="8"/>
  <c r="S845" i="8"/>
  <c r="R845" i="8"/>
  <c r="Q845" i="8"/>
  <c r="P845" i="8"/>
  <c r="O845" i="8"/>
  <c r="N845" i="8"/>
  <c r="M845" i="8"/>
  <c r="L845" i="8"/>
  <c r="T844" i="8"/>
  <c r="S844" i="8"/>
  <c r="R844" i="8"/>
  <c r="Q844" i="8"/>
  <c r="P844" i="8"/>
  <c r="O844" i="8"/>
  <c r="N844" i="8"/>
  <c r="M844" i="8"/>
  <c r="L844" i="8"/>
  <c r="U844" i="8" s="1"/>
  <c r="T843" i="8"/>
  <c r="S843" i="8"/>
  <c r="R843" i="8"/>
  <c r="Q843" i="8"/>
  <c r="P843" i="8"/>
  <c r="O843" i="8"/>
  <c r="N843" i="8"/>
  <c r="M843" i="8"/>
  <c r="L843" i="8"/>
  <c r="T842" i="8"/>
  <c r="S842" i="8"/>
  <c r="R842" i="8"/>
  <c r="Q842" i="8"/>
  <c r="P842" i="8"/>
  <c r="O842" i="8"/>
  <c r="N842" i="8"/>
  <c r="M842" i="8"/>
  <c r="L842" i="8"/>
  <c r="U842" i="8" s="1"/>
  <c r="T841" i="8"/>
  <c r="S841" i="8"/>
  <c r="R841" i="8"/>
  <c r="Q841" i="8"/>
  <c r="P841" i="8"/>
  <c r="O841" i="8"/>
  <c r="N841" i="8"/>
  <c r="M841" i="8"/>
  <c r="L841" i="8"/>
  <c r="T840" i="8"/>
  <c r="S840" i="8"/>
  <c r="R840" i="8"/>
  <c r="Q840" i="8"/>
  <c r="P840" i="8"/>
  <c r="O840" i="8"/>
  <c r="N840" i="8"/>
  <c r="M840" i="8"/>
  <c r="L840" i="8"/>
  <c r="U840" i="8" s="1"/>
  <c r="T839" i="8"/>
  <c r="S839" i="8"/>
  <c r="R839" i="8"/>
  <c r="Q839" i="8"/>
  <c r="P839" i="8"/>
  <c r="O839" i="8"/>
  <c r="N839" i="8"/>
  <c r="M839" i="8"/>
  <c r="L839" i="8"/>
  <c r="T838" i="8"/>
  <c r="S838" i="8"/>
  <c r="R838" i="8"/>
  <c r="Q838" i="8"/>
  <c r="P838" i="8"/>
  <c r="O838" i="8"/>
  <c r="N838" i="8"/>
  <c r="M838" i="8"/>
  <c r="L838" i="8"/>
  <c r="U838" i="8" s="1"/>
  <c r="T837" i="8"/>
  <c r="S837" i="8"/>
  <c r="R837" i="8"/>
  <c r="Q837" i="8"/>
  <c r="P837" i="8"/>
  <c r="O837" i="8"/>
  <c r="N837" i="8"/>
  <c r="M837" i="8"/>
  <c r="L837" i="8"/>
  <c r="T836" i="8"/>
  <c r="S836" i="8"/>
  <c r="R836" i="8"/>
  <c r="Q836" i="8"/>
  <c r="P836" i="8"/>
  <c r="O836" i="8"/>
  <c r="N836" i="8"/>
  <c r="M836" i="8"/>
  <c r="L836" i="8"/>
  <c r="U836" i="8" s="1"/>
  <c r="T835" i="8"/>
  <c r="S835" i="8"/>
  <c r="R835" i="8"/>
  <c r="Q835" i="8"/>
  <c r="P835" i="8"/>
  <c r="O835" i="8"/>
  <c r="N835" i="8"/>
  <c r="M835" i="8"/>
  <c r="L835" i="8"/>
  <c r="T834" i="8"/>
  <c r="S834" i="8"/>
  <c r="R834" i="8"/>
  <c r="Q834" i="8"/>
  <c r="P834" i="8"/>
  <c r="O834" i="8"/>
  <c r="N834" i="8"/>
  <c r="M834" i="8"/>
  <c r="L834" i="8"/>
  <c r="U834" i="8" s="1"/>
  <c r="T833" i="8"/>
  <c r="S833" i="8"/>
  <c r="R833" i="8"/>
  <c r="Q833" i="8"/>
  <c r="P833" i="8"/>
  <c r="O833" i="8"/>
  <c r="N833" i="8"/>
  <c r="M833" i="8"/>
  <c r="L833" i="8"/>
  <c r="T832" i="8"/>
  <c r="S832" i="8"/>
  <c r="R832" i="8"/>
  <c r="Q832" i="8"/>
  <c r="P832" i="8"/>
  <c r="O832" i="8"/>
  <c r="N832" i="8"/>
  <c r="M832" i="8"/>
  <c r="L832" i="8"/>
  <c r="U832" i="8" s="1"/>
  <c r="T831" i="8"/>
  <c r="S831" i="8"/>
  <c r="R831" i="8"/>
  <c r="Q831" i="8"/>
  <c r="P831" i="8"/>
  <c r="O831" i="8"/>
  <c r="N831" i="8"/>
  <c r="M831" i="8"/>
  <c r="L831" i="8"/>
  <c r="T830" i="8"/>
  <c r="S830" i="8"/>
  <c r="R830" i="8"/>
  <c r="Q830" i="8"/>
  <c r="P830" i="8"/>
  <c r="O830" i="8"/>
  <c r="N830" i="8"/>
  <c r="M830" i="8"/>
  <c r="L830" i="8"/>
  <c r="U830" i="8" s="1"/>
  <c r="T829" i="8"/>
  <c r="S829" i="8"/>
  <c r="R829" i="8"/>
  <c r="Q829" i="8"/>
  <c r="P829" i="8"/>
  <c r="O829" i="8"/>
  <c r="N829" i="8"/>
  <c r="M829" i="8"/>
  <c r="L829" i="8"/>
  <c r="T828" i="8"/>
  <c r="S828" i="8"/>
  <c r="R828" i="8"/>
  <c r="Q828" i="8"/>
  <c r="P828" i="8"/>
  <c r="O828" i="8"/>
  <c r="N828" i="8"/>
  <c r="M828" i="8"/>
  <c r="L828" i="8"/>
  <c r="U828" i="8" s="1"/>
  <c r="T827" i="8"/>
  <c r="S827" i="8"/>
  <c r="R827" i="8"/>
  <c r="Q827" i="8"/>
  <c r="P827" i="8"/>
  <c r="O827" i="8"/>
  <c r="N827" i="8"/>
  <c r="M827" i="8"/>
  <c r="L827" i="8"/>
  <c r="T826" i="8"/>
  <c r="S826" i="8"/>
  <c r="R826" i="8"/>
  <c r="Q826" i="8"/>
  <c r="P826" i="8"/>
  <c r="O826" i="8"/>
  <c r="N826" i="8"/>
  <c r="M826" i="8"/>
  <c r="L826" i="8"/>
  <c r="U826" i="8" s="1"/>
  <c r="T825" i="8"/>
  <c r="S825" i="8"/>
  <c r="R825" i="8"/>
  <c r="Q825" i="8"/>
  <c r="P825" i="8"/>
  <c r="O825" i="8"/>
  <c r="N825" i="8"/>
  <c r="M825" i="8"/>
  <c r="L825" i="8"/>
  <c r="T824" i="8"/>
  <c r="S824" i="8"/>
  <c r="R824" i="8"/>
  <c r="Q824" i="8"/>
  <c r="P824" i="8"/>
  <c r="O824" i="8"/>
  <c r="N824" i="8"/>
  <c r="M824" i="8"/>
  <c r="L824" i="8"/>
  <c r="U824" i="8" s="1"/>
  <c r="T823" i="8"/>
  <c r="S823" i="8"/>
  <c r="R823" i="8"/>
  <c r="Q823" i="8"/>
  <c r="P823" i="8"/>
  <c r="O823" i="8"/>
  <c r="N823" i="8"/>
  <c r="M823" i="8"/>
  <c r="L823" i="8"/>
  <c r="T822" i="8"/>
  <c r="S822" i="8"/>
  <c r="R822" i="8"/>
  <c r="Q822" i="8"/>
  <c r="P822" i="8"/>
  <c r="O822" i="8"/>
  <c r="N822" i="8"/>
  <c r="M822" i="8"/>
  <c r="L822" i="8"/>
  <c r="U822" i="8" s="1"/>
  <c r="T821" i="8"/>
  <c r="S821" i="8"/>
  <c r="R821" i="8"/>
  <c r="Q821" i="8"/>
  <c r="P821" i="8"/>
  <c r="O821" i="8"/>
  <c r="N821" i="8"/>
  <c r="M821" i="8"/>
  <c r="L821" i="8"/>
  <c r="T820" i="8"/>
  <c r="S820" i="8"/>
  <c r="R820" i="8"/>
  <c r="Q820" i="8"/>
  <c r="P820" i="8"/>
  <c r="O820" i="8"/>
  <c r="N820" i="8"/>
  <c r="M820" i="8"/>
  <c r="L820" i="8"/>
  <c r="U820" i="8" s="1"/>
  <c r="T819" i="8"/>
  <c r="S819" i="8"/>
  <c r="R819" i="8"/>
  <c r="Q819" i="8"/>
  <c r="P819" i="8"/>
  <c r="O819" i="8"/>
  <c r="N819" i="8"/>
  <c r="M819" i="8"/>
  <c r="L819" i="8"/>
  <c r="T818" i="8"/>
  <c r="S818" i="8"/>
  <c r="R818" i="8"/>
  <c r="Q818" i="8"/>
  <c r="P818" i="8"/>
  <c r="O818" i="8"/>
  <c r="N818" i="8"/>
  <c r="M818" i="8"/>
  <c r="L818" i="8"/>
  <c r="U818" i="8" s="1"/>
  <c r="T817" i="8"/>
  <c r="S817" i="8"/>
  <c r="R817" i="8"/>
  <c r="Q817" i="8"/>
  <c r="P817" i="8"/>
  <c r="O817" i="8"/>
  <c r="N817" i="8"/>
  <c r="M817" i="8"/>
  <c r="L817" i="8"/>
  <c r="T816" i="8"/>
  <c r="S816" i="8"/>
  <c r="R816" i="8"/>
  <c r="Q816" i="8"/>
  <c r="P816" i="8"/>
  <c r="O816" i="8"/>
  <c r="N816" i="8"/>
  <c r="M816" i="8"/>
  <c r="L816" i="8"/>
  <c r="U816" i="8" s="1"/>
  <c r="T815" i="8"/>
  <c r="S815" i="8"/>
  <c r="R815" i="8"/>
  <c r="Q815" i="8"/>
  <c r="P815" i="8"/>
  <c r="O815" i="8"/>
  <c r="N815" i="8"/>
  <c r="M815" i="8"/>
  <c r="L815" i="8"/>
  <c r="T814" i="8"/>
  <c r="S814" i="8"/>
  <c r="R814" i="8"/>
  <c r="Q814" i="8"/>
  <c r="P814" i="8"/>
  <c r="O814" i="8"/>
  <c r="N814" i="8"/>
  <c r="M814" i="8"/>
  <c r="L814" i="8"/>
  <c r="U814" i="8" s="1"/>
  <c r="T813" i="8"/>
  <c r="S813" i="8"/>
  <c r="R813" i="8"/>
  <c r="Q813" i="8"/>
  <c r="P813" i="8"/>
  <c r="O813" i="8"/>
  <c r="N813" i="8"/>
  <c r="M813" i="8"/>
  <c r="L813" i="8"/>
  <c r="T812" i="8"/>
  <c r="S812" i="8"/>
  <c r="R812" i="8"/>
  <c r="Q812" i="8"/>
  <c r="P812" i="8"/>
  <c r="O812" i="8"/>
  <c r="N812" i="8"/>
  <c r="M812" i="8"/>
  <c r="L812" i="8"/>
  <c r="U812" i="8" s="1"/>
  <c r="T811" i="8"/>
  <c r="S811" i="8"/>
  <c r="R811" i="8"/>
  <c r="Q811" i="8"/>
  <c r="P811" i="8"/>
  <c r="O811" i="8"/>
  <c r="N811" i="8"/>
  <c r="M811" i="8"/>
  <c r="L811" i="8"/>
  <c r="T810" i="8"/>
  <c r="S810" i="8"/>
  <c r="R810" i="8"/>
  <c r="Q810" i="8"/>
  <c r="P810" i="8"/>
  <c r="O810" i="8"/>
  <c r="N810" i="8"/>
  <c r="M810" i="8"/>
  <c r="L810" i="8"/>
  <c r="U810" i="8" s="1"/>
  <c r="T809" i="8"/>
  <c r="S809" i="8"/>
  <c r="R809" i="8"/>
  <c r="Q809" i="8"/>
  <c r="P809" i="8"/>
  <c r="O809" i="8"/>
  <c r="N809" i="8"/>
  <c r="M809" i="8"/>
  <c r="L809" i="8"/>
  <c r="T808" i="8"/>
  <c r="S808" i="8"/>
  <c r="R808" i="8"/>
  <c r="Q808" i="8"/>
  <c r="P808" i="8"/>
  <c r="O808" i="8"/>
  <c r="N808" i="8"/>
  <c r="M808" i="8"/>
  <c r="L808" i="8"/>
  <c r="U808" i="8" s="1"/>
  <c r="T807" i="8"/>
  <c r="S807" i="8"/>
  <c r="R807" i="8"/>
  <c r="Q807" i="8"/>
  <c r="P807" i="8"/>
  <c r="O807" i="8"/>
  <c r="N807" i="8"/>
  <c r="M807" i="8"/>
  <c r="L807" i="8"/>
  <c r="T806" i="8"/>
  <c r="S806" i="8"/>
  <c r="R806" i="8"/>
  <c r="Q806" i="8"/>
  <c r="P806" i="8"/>
  <c r="O806" i="8"/>
  <c r="N806" i="8"/>
  <c r="M806" i="8"/>
  <c r="L806" i="8"/>
  <c r="U806" i="8" s="1"/>
  <c r="T805" i="8"/>
  <c r="S805" i="8"/>
  <c r="R805" i="8"/>
  <c r="Q805" i="8"/>
  <c r="P805" i="8"/>
  <c r="O805" i="8"/>
  <c r="N805" i="8"/>
  <c r="M805" i="8"/>
  <c r="L805" i="8"/>
  <c r="T804" i="8"/>
  <c r="S804" i="8"/>
  <c r="R804" i="8"/>
  <c r="Q804" i="8"/>
  <c r="P804" i="8"/>
  <c r="O804" i="8"/>
  <c r="N804" i="8"/>
  <c r="M804" i="8"/>
  <c r="L804" i="8"/>
  <c r="U804" i="8" s="1"/>
  <c r="T803" i="8"/>
  <c r="S803" i="8"/>
  <c r="R803" i="8"/>
  <c r="Q803" i="8"/>
  <c r="P803" i="8"/>
  <c r="O803" i="8"/>
  <c r="N803" i="8"/>
  <c r="M803" i="8"/>
  <c r="L803" i="8"/>
  <c r="T802" i="8"/>
  <c r="S802" i="8"/>
  <c r="R802" i="8"/>
  <c r="Q802" i="8"/>
  <c r="P802" i="8"/>
  <c r="O802" i="8"/>
  <c r="N802" i="8"/>
  <c r="M802" i="8"/>
  <c r="L802" i="8"/>
  <c r="U802" i="8" s="1"/>
  <c r="T801" i="8"/>
  <c r="S801" i="8"/>
  <c r="R801" i="8"/>
  <c r="Q801" i="8"/>
  <c r="P801" i="8"/>
  <c r="O801" i="8"/>
  <c r="N801" i="8"/>
  <c r="M801" i="8"/>
  <c r="L801" i="8"/>
  <c r="T800" i="8"/>
  <c r="S800" i="8"/>
  <c r="R800" i="8"/>
  <c r="Q800" i="8"/>
  <c r="P800" i="8"/>
  <c r="O800" i="8"/>
  <c r="N800" i="8"/>
  <c r="M800" i="8"/>
  <c r="L800" i="8"/>
  <c r="U800" i="8" s="1"/>
  <c r="T799" i="8"/>
  <c r="S799" i="8"/>
  <c r="R799" i="8"/>
  <c r="Q799" i="8"/>
  <c r="P799" i="8"/>
  <c r="O799" i="8"/>
  <c r="N799" i="8"/>
  <c r="M799" i="8"/>
  <c r="L799" i="8"/>
  <c r="T798" i="8"/>
  <c r="S798" i="8"/>
  <c r="R798" i="8"/>
  <c r="Q798" i="8"/>
  <c r="P798" i="8"/>
  <c r="O798" i="8"/>
  <c r="N798" i="8"/>
  <c r="M798" i="8"/>
  <c r="L798" i="8"/>
  <c r="U798" i="8" s="1"/>
  <c r="T797" i="8"/>
  <c r="S797" i="8"/>
  <c r="R797" i="8"/>
  <c r="Q797" i="8"/>
  <c r="P797" i="8"/>
  <c r="O797" i="8"/>
  <c r="N797" i="8"/>
  <c r="M797" i="8"/>
  <c r="L797" i="8"/>
  <c r="T796" i="8"/>
  <c r="S796" i="8"/>
  <c r="R796" i="8"/>
  <c r="Q796" i="8"/>
  <c r="P796" i="8"/>
  <c r="O796" i="8"/>
  <c r="N796" i="8"/>
  <c r="M796" i="8"/>
  <c r="L796" i="8"/>
  <c r="U796" i="8" s="1"/>
  <c r="T795" i="8"/>
  <c r="S795" i="8"/>
  <c r="R795" i="8"/>
  <c r="Q795" i="8"/>
  <c r="P795" i="8"/>
  <c r="O795" i="8"/>
  <c r="N795" i="8"/>
  <c r="M795" i="8"/>
  <c r="L795" i="8"/>
  <c r="T794" i="8"/>
  <c r="S794" i="8"/>
  <c r="R794" i="8"/>
  <c r="Q794" i="8"/>
  <c r="P794" i="8"/>
  <c r="O794" i="8"/>
  <c r="N794" i="8"/>
  <c r="M794" i="8"/>
  <c r="L794" i="8"/>
  <c r="U794" i="8" s="1"/>
  <c r="T793" i="8"/>
  <c r="S793" i="8"/>
  <c r="R793" i="8"/>
  <c r="Q793" i="8"/>
  <c r="P793" i="8"/>
  <c r="O793" i="8"/>
  <c r="N793" i="8"/>
  <c r="M793" i="8"/>
  <c r="L793" i="8"/>
  <c r="T792" i="8"/>
  <c r="S792" i="8"/>
  <c r="R792" i="8"/>
  <c r="Q792" i="8"/>
  <c r="P792" i="8"/>
  <c r="O792" i="8"/>
  <c r="N792" i="8"/>
  <c r="M792" i="8"/>
  <c r="L792" i="8"/>
  <c r="U792" i="8" s="1"/>
  <c r="T791" i="8"/>
  <c r="S791" i="8"/>
  <c r="R791" i="8"/>
  <c r="Q791" i="8"/>
  <c r="P791" i="8"/>
  <c r="O791" i="8"/>
  <c r="N791" i="8"/>
  <c r="M791" i="8"/>
  <c r="L791" i="8"/>
  <c r="T790" i="8"/>
  <c r="S790" i="8"/>
  <c r="R790" i="8"/>
  <c r="Q790" i="8"/>
  <c r="P790" i="8"/>
  <c r="O790" i="8"/>
  <c r="N790" i="8"/>
  <c r="M790" i="8"/>
  <c r="L790" i="8"/>
  <c r="U790" i="8" s="1"/>
  <c r="T789" i="8"/>
  <c r="S789" i="8"/>
  <c r="R789" i="8"/>
  <c r="Q789" i="8"/>
  <c r="P789" i="8"/>
  <c r="O789" i="8"/>
  <c r="N789" i="8"/>
  <c r="M789" i="8"/>
  <c r="L789" i="8"/>
  <c r="T788" i="8"/>
  <c r="S788" i="8"/>
  <c r="R788" i="8"/>
  <c r="Q788" i="8"/>
  <c r="P788" i="8"/>
  <c r="O788" i="8"/>
  <c r="N788" i="8"/>
  <c r="M788" i="8"/>
  <c r="L788" i="8"/>
  <c r="U788" i="8" s="1"/>
  <c r="T787" i="8"/>
  <c r="S787" i="8"/>
  <c r="R787" i="8"/>
  <c r="Q787" i="8"/>
  <c r="P787" i="8"/>
  <c r="O787" i="8"/>
  <c r="N787" i="8"/>
  <c r="M787" i="8"/>
  <c r="L787" i="8"/>
  <c r="T786" i="8"/>
  <c r="S786" i="8"/>
  <c r="R786" i="8"/>
  <c r="Q786" i="8"/>
  <c r="P786" i="8"/>
  <c r="O786" i="8"/>
  <c r="N786" i="8"/>
  <c r="M786" i="8"/>
  <c r="L786" i="8"/>
  <c r="U786" i="8" s="1"/>
  <c r="T785" i="8"/>
  <c r="S785" i="8"/>
  <c r="R785" i="8"/>
  <c r="Q785" i="8"/>
  <c r="P785" i="8"/>
  <c r="O785" i="8"/>
  <c r="N785" i="8"/>
  <c r="M785" i="8"/>
  <c r="L785" i="8"/>
  <c r="T784" i="8"/>
  <c r="S784" i="8"/>
  <c r="R784" i="8"/>
  <c r="Q784" i="8"/>
  <c r="P784" i="8"/>
  <c r="O784" i="8"/>
  <c r="N784" i="8"/>
  <c r="M784" i="8"/>
  <c r="L784" i="8"/>
  <c r="U784" i="8" s="1"/>
  <c r="T783" i="8"/>
  <c r="S783" i="8"/>
  <c r="R783" i="8"/>
  <c r="Q783" i="8"/>
  <c r="P783" i="8"/>
  <c r="O783" i="8"/>
  <c r="N783" i="8"/>
  <c r="M783" i="8"/>
  <c r="L783" i="8"/>
  <c r="T782" i="8"/>
  <c r="S782" i="8"/>
  <c r="R782" i="8"/>
  <c r="Q782" i="8"/>
  <c r="P782" i="8"/>
  <c r="O782" i="8"/>
  <c r="N782" i="8"/>
  <c r="M782" i="8"/>
  <c r="L782" i="8"/>
  <c r="U782" i="8" s="1"/>
  <c r="T781" i="8"/>
  <c r="S781" i="8"/>
  <c r="R781" i="8"/>
  <c r="Q781" i="8"/>
  <c r="P781" i="8"/>
  <c r="O781" i="8"/>
  <c r="N781" i="8"/>
  <c r="M781" i="8"/>
  <c r="L781" i="8"/>
  <c r="T780" i="8"/>
  <c r="S780" i="8"/>
  <c r="R780" i="8"/>
  <c r="Q780" i="8"/>
  <c r="P780" i="8"/>
  <c r="O780" i="8"/>
  <c r="N780" i="8"/>
  <c r="M780" i="8"/>
  <c r="L780" i="8"/>
  <c r="U780" i="8" s="1"/>
  <c r="T779" i="8"/>
  <c r="S779" i="8"/>
  <c r="R779" i="8"/>
  <c r="Q779" i="8"/>
  <c r="P779" i="8"/>
  <c r="O779" i="8"/>
  <c r="N779" i="8"/>
  <c r="M779" i="8"/>
  <c r="L779" i="8"/>
  <c r="T778" i="8"/>
  <c r="S778" i="8"/>
  <c r="R778" i="8"/>
  <c r="Q778" i="8"/>
  <c r="P778" i="8"/>
  <c r="O778" i="8"/>
  <c r="N778" i="8"/>
  <c r="M778" i="8"/>
  <c r="L778" i="8"/>
  <c r="U778" i="8" s="1"/>
  <c r="T777" i="8"/>
  <c r="S777" i="8"/>
  <c r="R777" i="8"/>
  <c r="Q777" i="8"/>
  <c r="P777" i="8"/>
  <c r="O777" i="8"/>
  <c r="N777" i="8"/>
  <c r="M777" i="8"/>
  <c r="L777" i="8"/>
  <c r="T776" i="8"/>
  <c r="S776" i="8"/>
  <c r="R776" i="8"/>
  <c r="Q776" i="8"/>
  <c r="P776" i="8"/>
  <c r="O776" i="8"/>
  <c r="N776" i="8"/>
  <c r="M776" i="8"/>
  <c r="L776" i="8"/>
  <c r="U776" i="8" s="1"/>
  <c r="T775" i="8"/>
  <c r="S775" i="8"/>
  <c r="R775" i="8"/>
  <c r="Q775" i="8"/>
  <c r="P775" i="8"/>
  <c r="O775" i="8"/>
  <c r="N775" i="8"/>
  <c r="M775" i="8"/>
  <c r="L775" i="8"/>
  <c r="T774" i="8"/>
  <c r="S774" i="8"/>
  <c r="R774" i="8"/>
  <c r="Q774" i="8"/>
  <c r="P774" i="8"/>
  <c r="O774" i="8"/>
  <c r="N774" i="8"/>
  <c r="M774" i="8"/>
  <c r="L774" i="8"/>
  <c r="U774" i="8" s="1"/>
  <c r="T773" i="8"/>
  <c r="S773" i="8"/>
  <c r="R773" i="8"/>
  <c r="Q773" i="8"/>
  <c r="P773" i="8"/>
  <c r="O773" i="8"/>
  <c r="N773" i="8"/>
  <c r="M773" i="8"/>
  <c r="L773" i="8"/>
  <c r="T772" i="8"/>
  <c r="S772" i="8"/>
  <c r="R772" i="8"/>
  <c r="Q772" i="8"/>
  <c r="P772" i="8"/>
  <c r="O772" i="8"/>
  <c r="N772" i="8"/>
  <c r="M772" i="8"/>
  <c r="L772" i="8"/>
  <c r="U772" i="8" s="1"/>
  <c r="T771" i="8"/>
  <c r="S771" i="8"/>
  <c r="R771" i="8"/>
  <c r="Q771" i="8"/>
  <c r="P771" i="8"/>
  <c r="O771" i="8"/>
  <c r="N771" i="8"/>
  <c r="M771" i="8"/>
  <c r="L771" i="8"/>
  <c r="T770" i="8"/>
  <c r="S770" i="8"/>
  <c r="R770" i="8"/>
  <c r="Q770" i="8"/>
  <c r="P770" i="8"/>
  <c r="O770" i="8"/>
  <c r="N770" i="8"/>
  <c r="M770" i="8"/>
  <c r="L770" i="8"/>
  <c r="U770" i="8" s="1"/>
  <c r="T769" i="8"/>
  <c r="S769" i="8"/>
  <c r="R769" i="8"/>
  <c r="Q769" i="8"/>
  <c r="P769" i="8"/>
  <c r="O769" i="8"/>
  <c r="N769" i="8"/>
  <c r="M769" i="8"/>
  <c r="L769" i="8"/>
  <c r="T768" i="8"/>
  <c r="S768" i="8"/>
  <c r="R768" i="8"/>
  <c r="Q768" i="8"/>
  <c r="P768" i="8"/>
  <c r="O768" i="8"/>
  <c r="N768" i="8"/>
  <c r="M768" i="8"/>
  <c r="L768" i="8"/>
  <c r="U768" i="8" s="1"/>
  <c r="T767" i="8"/>
  <c r="S767" i="8"/>
  <c r="R767" i="8"/>
  <c r="Q767" i="8"/>
  <c r="P767" i="8"/>
  <c r="O767" i="8"/>
  <c r="N767" i="8"/>
  <c r="M767" i="8"/>
  <c r="L767" i="8"/>
  <c r="T766" i="8"/>
  <c r="S766" i="8"/>
  <c r="R766" i="8"/>
  <c r="Q766" i="8"/>
  <c r="P766" i="8"/>
  <c r="O766" i="8"/>
  <c r="N766" i="8"/>
  <c r="M766" i="8"/>
  <c r="L766" i="8"/>
  <c r="U766" i="8" s="1"/>
  <c r="T765" i="8"/>
  <c r="S765" i="8"/>
  <c r="R765" i="8"/>
  <c r="Q765" i="8"/>
  <c r="P765" i="8"/>
  <c r="O765" i="8"/>
  <c r="N765" i="8"/>
  <c r="M765" i="8"/>
  <c r="L765" i="8"/>
  <c r="T764" i="8"/>
  <c r="S764" i="8"/>
  <c r="R764" i="8"/>
  <c r="Q764" i="8"/>
  <c r="P764" i="8"/>
  <c r="O764" i="8"/>
  <c r="N764" i="8"/>
  <c r="M764" i="8"/>
  <c r="L764" i="8"/>
  <c r="U764" i="8" s="1"/>
  <c r="T763" i="8"/>
  <c r="S763" i="8"/>
  <c r="R763" i="8"/>
  <c r="Q763" i="8"/>
  <c r="P763" i="8"/>
  <c r="O763" i="8"/>
  <c r="N763" i="8"/>
  <c r="M763" i="8"/>
  <c r="L763" i="8"/>
  <c r="T762" i="8"/>
  <c r="S762" i="8"/>
  <c r="R762" i="8"/>
  <c r="Q762" i="8"/>
  <c r="P762" i="8"/>
  <c r="O762" i="8"/>
  <c r="N762" i="8"/>
  <c r="M762" i="8"/>
  <c r="L762" i="8"/>
  <c r="U762" i="8" s="1"/>
  <c r="T761" i="8"/>
  <c r="S761" i="8"/>
  <c r="R761" i="8"/>
  <c r="Q761" i="8"/>
  <c r="P761" i="8"/>
  <c r="O761" i="8"/>
  <c r="N761" i="8"/>
  <c r="M761" i="8"/>
  <c r="L761" i="8"/>
  <c r="T760" i="8"/>
  <c r="S760" i="8"/>
  <c r="R760" i="8"/>
  <c r="Q760" i="8"/>
  <c r="P760" i="8"/>
  <c r="O760" i="8"/>
  <c r="N760" i="8"/>
  <c r="M760" i="8"/>
  <c r="L760" i="8"/>
  <c r="U760" i="8" s="1"/>
  <c r="T759" i="8"/>
  <c r="S759" i="8"/>
  <c r="R759" i="8"/>
  <c r="Q759" i="8"/>
  <c r="P759" i="8"/>
  <c r="O759" i="8"/>
  <c r="N759" i="8"/>
  <c r="M759" i="8"/>
  <c r="L759" i="8"/>
  <c r="T758" i="8"/>
  <c r="S758" i="8"/>
  <c r="R758" i="8"/>
  <c r="Q758" i="8"/>
  <c r="P758" i="8"/>
  <c r="O758" i="8"/>
  <c r="N758" i="8"/>
  <c r="M758" i="8"/>
  <c r="L758" i="8"/>
  <c r="U758" i="8" s="1"/>
  <c r="T757" i="8"/>
  <c r="S757" i="8"/>
  <c r="R757" i="8"/>
  <c r="Q757" i="8"/>
  <c r="P757" i="8"/>
  <c r="O757" i="8"/>
  <c r="N757" i="8"/>
  <c r="M757" i="8"/>
  <c r="L757" i="8"/>
  <c r="T756" i="8"/>
  <c r="S756" i="8"/>
  <c r="R756" i="8"/>
  <c r="Q756" i="8"/>
  <c r="P756" i="8"/>
  <c r="O756" i="8"/>
  <c r="N756" i="8"/>
  <c r="M756" i="8"/>
  <c r="L756" i="8"/>
  <c r="U756" i="8" s="1"/>
  <c r="T755" i="8"/>
  <c r="S755" i="8"/>
  <c r="R755" i="8"/>
  <c r="Q755" i="8"/>
  <c r="P755" i="8"/>
  <c r="O755" i="8"/>
  <c r="N755" i="8"/>
  <c r="M755" i="8"/>
  <c r="L755" i="8"/>
  <c r="T754" i="8"/>
  <c r="S754" i="8"/>
  <c r="R754" i="8"/>
  <c r="Q754" i="8"/>
  <c r="P754" i="8"/>
  <c r="O754" i="8"/>
  <c r="N754" i="8"/>
  <c r="M754" i="8"/>
  <c r="L754" i="8"/>
  <c r="U754" i="8" s="1"/>
  <c r="T753" i="8"/>
  <c r="S753" i="8"/>
  <c r="R753" i="8"/>
  <c r="Q753" i="8"/>
  <c r="P753" i="8"/>
  <c r="O753" i="8"/>
  <c r="N753" i="8"/>
  <c r="M753" i="8"/>
  <c r="L753" i="8"/>
  <c r="T752" i="8"/>
  <c r="S752" i="8"/>
  <c r="R752" i="8"/>
  <c r="Q752" i="8"/>
  <c r="P752" i="8"/>
  <c r="O752" i="8"/>
  <c r="N752" i="8"/>
  <c r="M752" i="8"/>
  <c r="L752" i="8"/>
  <c r="U752" i="8" s="1"/>
  <c r="T751" i="8"/>
  <c r="S751" i="8"/>
  <c r="R751" i="8"/>
  <c r="Q751" i="8"/>
  <c r="P751" i="8"/>
  <c r="O751" i="8"/>
  <c r="N751" i="8"/>
  <c r="M751" i="8"/>
  <c r="L751" i="8"/>
  <c r="T750" i="8"/>
  <c r="S750" i="8"/>
  <c r="R750" i="8"/>
  <c r="Q750" i="8"/>
  <c r="P750" i="8"/>
  <c r="O750" i="8"/>
  <c r="N750" i="8"/>
  <c r="M750" i="8"/>
  <c r="L750" i="8"/>
  <c r="U750" i="8" s="1"/>
  <c r="T749" i="8"/>
  <c r="S749" i="8"/>
  <c r="R749" i="8"/>
  <c r="Q749" i="8"/>
  <c r="P749" i="8"/>
  <c r="O749" i="8"/>
  <c r="N749" i="8"/>
  <c r="M749" i="8"/>
  <c r="L749" i="8"/>
  <c r="T748" i="8"/>
  <c r="S748" i="8"/>
  <c r="R748" i="8"/>
  <c r="Q748" i="8"/>
  <c r="P748" i="8"/>
  <c r="O748" i="8"/>
  <c r="N748" i="8"/>
  <c r="M748" i="8"/>
  <c r="L748" i="8"/>
  <c r="U748" i="8" s="1"/>
  <c r="T747" i="8"/>
  <c r="S747" i="8"/>
  <c r="R747" i="8"/>
  <c r="Q747" i="8"/>
  <c r="P747" i="8"/>
  <c r="O747" i="8"/>
  <c r="N747" i="8"/>
  <c r="M747" i="8"/>
  <c r="L747" i="8"/>
  <c r="T746" i="8"/>
  <c r="S746" i="8"/>
  <c r="R746" i="8"/>
  <c r="Q746" i="8"/>
  <c r="P746" i="8"/>
  <c r="O746" i="8"/>
  <c r="N746" i="8"/>
  <c r="M746" i="8"/>
  <c r="L746" i="8"/>
  <c r="U746" i="8" s="1"/>
  <c r="T745" i="8"/>
  <c r="S745" i="8"/>
  <c r="R745" i="8"/>
  <c r="Q745" i="8"/>
  <c r="P745" i="8"/>
  <c r="O745" i="8"/>
  <c r="N745" i="8"/>
  <c r="M745" i="8"/>
  <c r="L745" i="8"/>
  <c r="T744" i="8"/>
  <c r="S744" i="8"/>
  <c r="R744" i="8"/>
  <c r="Q744" i="8"/>
  <c r="P744" i="8"/>
  <c r="O744" i="8"/>
  <c r="N744" i="8"/>
  <c r="M744" i="8"/>
  <c r="L744" i="8"/>
  <c r="U744" i="8" s="1"/>
  <c r="T743" i="8"/>
  <c r="S743" i="8"/>
  <c r="R743" i="8"/>
  <c r="Q743" i="8"/>
  <c r="P743" i="8"/>
  <c r="O743" i="8"/>
  <c r="N743" i="8"/>
  <c r="M743" i="8"/>
  <c r="L743" i="8"/>
  <c r="T742" i="8"/>
  <c r="S742" i="8"/>
  <c r="R742" i="8"/>
  <c r="Q742" i="8"/>
  <c r="P742" i="8"/>
  <c r="O742" i="8"/>
  <c r="N742" i="8"/>
  <c r="M742" i="8"/>
  <c r="L742" i="8"/>
  <c r="U742" i="8" s="1"/>
  <c r="T741" i="8"/>
  <c r="S741" i="8"/>
  <c r="R741" i="8"/>
  <c r="Q741" i="8"/>
  <c r="P741" i="8"/>
  <c r="O741" i="8"/>
  <c r="N741" i="8"/>
  <c r="M741" i="8"/>
  <c r="L741" i="8"/>
  <c r="T740" i="8"/>
  <c r="S740" i="8"/>
  <c r="R740" i="8"/>
  <c r="Q740" i="8"/>
  <c r="P740" i="8"/>
  <c r="O740" i="8"/>
  <c r="N740" i="8"/>
  <c r="M740" i="8"/>
  <c r="L740" i="8"/>
  <c r="U740" i="8" s="1"/>
  <c r="T739" i="8"/>
  <c r="S739" i="8"/>
  <c r="R739" i="8"/>
  <c r="Q739" i="8"/>
  <c r="P739" i="8"/>
  <c r="O739" i="8"/>
  <c r="N739" i="8"/>
  <c r="M739" i="8"/>
  <c r="L739" i="8"/>
  <c r="T738" i="8"/>
  <c r="S738" i="8"/>
  <c r="R738" i="8"/>
  <c r="Q738" i="8"/>
  <c r="P738" i="8"/>
  <c r="O738" i="8"/>
  <c r="N738" i="8"/>
  <c r="M738" i="8"/>
  <c r="L738" i="8"/>
  <c r="U738" i="8" s="1"/>
  <c r="T737" i="8"/>
  <c r="S737" i="8"/>
  <c r="R737" i="8"/>
  <c r="Q737" i="8"/>
  <c r="P737" i="8"/>
  <c r="O737" i="8"/>
  <c r="N737" i="8"/>
  <c r="M737" i="8"/>
  <c r="L737" i="8"/>
  <c r="T736" i="8"/>
  <c r="S736" i="8"/>
  <c r="R736" i="8"/>
  <c r="Q736" i="8"/>
  <c r="P736" i="8"/>
  <c r="O736" i="8"/>
  <c r="N736" i="8"/>
  <c r="M736" i="8"/>
  <c r="L736" i="8"/>
  <c r="U736" i="8" s="1"/>
  <c r="T735" i="8"/>
  <c r="S735" i="8"/>
  <c r="R735" i="8"/>
  <c r="Q735" i="8"/>
  <c r="P735" i="8"/>
  <c r="O735" i="8"/>
  <c r="N735" i="8"/>
  <c r="M735" i="8"/>
  <c r="L735" i="8"/>
  <c r="T734" i="8"/>
  <c r="S734" i="8"/>
  <c r="R734" i="8"/>
  <c r="Q734" i="8"/>
  <c r="P734" i="8"/>
  <c r="O734" i="8"/>
  <c r="N734" i="8"/>
  <c r="M734" i="8"/>
  <c r="L734" i="8"/>
  <c r="U734" i="8" s="1"/>
  <c r="T733" i="8"/>
  <c r="S733" i="8"/>
  <c r="R733" i="8"/>
  <c r="Q733" i="8"/>
  <c r="P733" i="8"/>
  <c r="O733" i="8"/>
  <c r="N733" i="8"/>
  <c r="M733" i="8"/>
  <c r="L733" i="8"/>
  <c r="T732" i="8"/>
  <c r="S732" i="8"/>
  <c r="R732" i="8"/>
  <c r="Q732" i="8"/>
  <c r="P732" i="8"/>
  <c r="O732" i="8"/>
  <c r="N732" i="8"/>
  <c r="M732" i="8"/>
  <c r="L732" i="8"/>
  <c r="U732" i="8" s="1"/>
  <c r="T731" i="8"/>
  <c r="S731" i="8"/>
  <c r="R731" i="8"/>
  <c r="Q731" i="8"/>
  <c r="P731" i="8"/>
  <c r="O731" i="8"/>
  <c r="N731" i="8"/>
  <c r="M731" i="8"/>
  <c r="L731" i="8"/>
  <c r="T730" i="8"/>
  <c r="S730" i="8"/>
  <c r="R730" i="8"/>
  <c r="Q730" i="8"/>
  <c r="P730" i="8"/>
  <c r="O730" i="8"/>
  <c r="N730" i="8"/>
  <c r="M730" i="8"/>
  <c r="L730" i="8"/>
  <c r="U730" i="8" s="1"/>
  <c r="T729" i="8"/>
  <c r="S729" i="8"/>
  <c r="R729" i="8"/>
  <c r="Q729" i="8"/>
  <c r="P729" i="8"/>
  <c r="O729" i="8"/>
  <c r="N729" i="8"/>
  <c r="M729" i="8"/>
  <c r="L729" i="8"/>
  <c r="T728" i="8"/>
  <c r="S728" i="8"/>
  <c r="R728" i="8"/>
  <c r="Q728" i="8"/>
  <c r="P728" i="8"/>
  <c r="O728" i="8"/>
  <c r="N728" i="8"/>
  <c r="M728" i="8"/>
  <c r="L728" i="8"/>
  <c r="U728" i="8" s="1"/>
  <c r="T727" i="8"/>
  <c r="S727" i="8"/>
  <c r="R727" i="8"/>
  <c r="Q727" i="8"/>
  <c r="P727" i="8"/>
  <c r="O727" i="8"/>
  <c r="N727" i="8"/>
  <c r="M727" i="8"/>
  <c r="L727" i="8"/>
  <c r="T726" i="8"/>
  <c r="S726" i="8"/>
  <c r="R726" i="8"/>
  <c r="Q726" i="8"/>
  <c r="P726" i="8"/>
  <c r="O726" i="8"/>
  <c r="N726" i="8"/>
  <c r="M726" i="8"/>
  <c r="L726" i="8"/>
  <c r="U726" i="8" s="1"/>
  <c r="T725" i="8"/>
  <c r="S725" i="8"/>
  <c r="R725" i="8"/>
  <c r="Q725" i="8"/>
  <c r="P725" i="8"/>
  <c r="O725" i="8"/>
  <c r="N725" i="8"/>
  <c r="M725" i="8"/>
  <c r="L725" i="8"/>
  <c r="T724" i="8"/>
  <c r="S724" i="8"/>
  <c r="R724" i="8"/>
  <c r="Q724" i="8"/>
  <c r="P724" i="8"/>
  <c r="O724" i="8"/>
  <c r="N724" i="8"/>
  <c r="M724" i="8"/>
  <c r="L724" i="8"/>
  <c r="U724" i="8" s="1"/>
  <c r="T723" i="8"/>
  <c r="S723" i="8"/>
  <c r="R723" i="8"/>
  <c r="Q723" i="8"/>
  <c r="P723" i="8"/>
  <c r="O723" i="8"/>
  <c r="N723" i="8"/>
  <c r="M723" i="8"/>
  <c r="L723" i="8"/>
  <c r="T722" i="8"/>
  <c r="S722" i="8"/>
  <c r="R722" i="8"/>
  <c r="Q722" i="8"/>
  <c r="P722" i="8"/>
  <c r="O722" i="8"/>
  <c r="N722" i="8"/>
  <c r="M722" i="8"/>
  <c r="L722" i="8"/>
  <c r="U722" i="8" s="1"/>
  <c r="T721" i="8"/>
  <c r="S721" i="8"/>
  <c r="R721" i="8"/>
  <c r="Q721" i="8"/>
  <c r="P721" i="8"/>
  <c r="O721" i="8"/>
  <c r="N721" i="8"/>
  <c r="M721" i="8"/>
  <c r="L721" i="8"/>
  <c r="T720" i="8"/>
  <c r="S720" i="8"/>
  <c r="R720" i="8"/>
  <c r="Q720" i="8"/>
  <c r="P720" i="8"/>
  <c r="O720" i="8"/>
  <c r="N720" i="8"/>
  <c r="M720" i="8"/>
  <c r="L720" i="8"/>
  <c r="U720" i="8" s="1"/>
  <c r="T719" i="8"/>
  <c r="S719" i="8"/>
  <c r="R719" i="8"/>
  <c r="Q719" i="8"/>
  <c r="P719" i="8"/>
  <c r="O719" i="8"/>
  <c r="N719" i="8"/>
  <c r="M719" i="8"/>
  <c r="L719" i="8"/>
  <c r="T718" i="8"/>
  <c r="S718" i="8"/>
  <c r="R718" i="8"/>
  <c r="Q718" i="8"/>
  <c r="P718" i="8"/>
  <c r="O718" i="8"/>
  <c r="N718" i="8"/>
  <c r="M718" i="8"/>
  <c r="L718" i="8"/>
  <c r="U718" i="8" s="1"/>
  <c r="T717" i="8"/>
  <c r="S717" i="8"/>
  <c r="R717" i="8"/>
  <c r="Q717" i="8"/>
  <c r="P717" i="8"/>
  <c r="O717" i="8"/>
  <c r="N717" i="8"/>
  <c r="M717" i="8"/>
  <c r="L717" i="8"/>
  <c r="T716" i="8"/>
  <c r="S716" i="8"/>
  <c r="R716" i="8"/>
  <c r="Q716" i="8"/>
  <c r="P716" i="8"/>
  <c r="O716" i="8"/>
  <c r="N716" i="8"/>
  <c r="M716" i="8"/>
  <c r="L716" i="8"/>
  <c r="U716" i="8" s="1"/>
  <c r="T715" i="8"/>
  <c r="S715" i="8"/>
  <c r="R715" i="8"/>
  <c r="Q715" i="8"/>
  <c r="P715" i="8"/>
  <c r="O715" i="8"/>
  <c r="N715" i="8"/>
  <c r="M715" i="8"/>
  <c r="L715" i="8"/>
  <c r="T714" i="8"/>
  <c r="S714" i="8"/>
  <c r="R714" i="8"/>
  <c r="Q714" i="8"/>
  <c r="P714" i="8"/>
  <c r="O714" i="8"/>
  <c r="N714" i="8"/>
  <c r="M714" i="8"/>
  <c r="L714" i="8"/>
  <c r="U714" i="8" s="1"/>
  <c r="T713" i="8"/>
  <c r="S713" i="8"/>
  <c r="R713" i="8"/>
  <c r="Q713" i="8"/>
  <c r="P713" i="8"/>
  <c r="O713" i="8"/>
  <c r="N713" i="8"/>
  <c r="M713" i="8"/>
  <c r="L713" i="8"/>
  <c r="T712" i="8"/>
  <c r="S712" i="8"/>
  <c r="R712" i="8"/>
  <c r="Q712" i="8"/>
  <c r="P712" i="8"/>
  <c r="O712" i="8"/>
  <c r="N712" i="8"/>
  <c r="M712" i="8"/>
  <c r="L712" i="8"/>
  <c r="U712" i="8" s="1"/>
  <c r="T711" i="8"/>
  <c r="S711" i="8"/>
  <c r="R711" i="8"/>
  <c r="Q711" i="8"/>
  <c r="P711" i="8"/>
  <c r="O711" i="8"/>
  <c r="N711" i="8"/>
  <c r="M711" i="8"/>
  <c r="L711" i="8"/>
  <c r="T710" i="8"/>
  <c r="S710" i="8"/>
  <c r="R710" i="8"/>
  <c r="Q710" i="8"/>
  <c r="P710" i="8"/>
  <c r="O710" i="8"/>
  <c r="N710" i="8"/>
  <c r="M710" i="8"/>
  <c r="L710" i="8"/>
  <c r="U710" i="8" s="1"/>
  <c r="T709" i="8"/>
  <c r="S709" i="8"/>
  <c r="R709" i="8"/>
  <c r="Q709" i="8"/>
  <c r="P709" i="8"/>
  <c r="O709" i="8"/>
  <c r="N709" i="8"/>
  <c r="M709" i="8"/>
  <c r="L709" i="8"/>
  <c r="T708" i="8"/>
  <c r="S708" i="8"/>
  <c r="R708" i="8"/>
  <c r="Q708" i="8"/>
  <c r="P708" i="8"/>
  <c r="O708" i="8"/>
  <c r="N708" i="8"/>
  <c r="M708" i="8"/>
  <c r="L708" i="8"/>
  <c r="U708" i="8" s="1"/>
  <c r="T707" i="8"/>
  <c r="S707" i="8"/>
  <c r="R707" i="8"/>
  <c r="Q707" i="8"/>
  <c r="P707" i="8"/>
  <c r="O707" i="8"/>
  <c r="N707" i="8"/>
  <c r="M707" i="8"/>
  <c r="L707" i="8"/>
  <c r="T706" i="8"/>
  <c r="S706" i="8"/>
  <c r="R706" i="8"/>
  <c r="Q706" i="8"/>
  <c r="P706" i="8"/>
  <c r="O706" i="8"/>
  <c r="N706" i="8"/>
  <c r="M706" i="8"/>
  <c r="L706" i="8"/>
  <c r="U706" i="8" s="1"/>
  <c r="T705" i="8"/>
  <c r="S705" i="8"/>
  <c r="R705" i="8"/>
  <c r="Q705" i="8"/>
  <c r="P705" i="8"/>
  <c r="O705" i="8"/>
  <c r="N705" i="8"/>
  <c r="M705" i="8"/>
  <c r="L705" i="8"/>
  <c r="T704" i="8"/>
  <c r="S704" i="8"/>
  <c r="R704" i="8"/>
  <c r="Q704" i="8"/>
  <c r="P704" i="8"/>
  <c r="O704" i="8"/>
  <c r="N704" i="8"/>
  <c r="M704" i="8"/>
  <c r="L704" i="8"/>
  <c r="U704" i="8" s="1"/>
  <c r="T703" i="8"/>
  <c r="S703" i="8"/>
  <c r="R703" i="8"/>
  <c r="Q703" i="8"/>
  <c r="P703" i="8"/>
  <c r="O703" i="8"/>
  <c r="N703" i="8"/>
  <c r="M703" i="8"/>
  <c r="L703" i="8"/>
  <c r="T702" i="8"/>
  <c r="S702" i="8"/>
  <c r="R702" i="8"/>
  <c r="Q702" i="8"/>
  <c r="P702" i="8"/>
  <c r="O702" i="8"/>
  <c r="N702" i="8"/>
  <c r="M702" i="8"/>
  <c r="L702" i="8"/>
  <c r="U702" i="8" s="1"/>
  <c r="T701" i="8"/>
  <c r="S701" i="8"/>
  <c r="R701" i="8"/>
  <c r="Q701" i="8"/>
  <c r="P701" i="8"/>
  <c r="O701" i="8"/>
  <c r="N701" i="8"/>
  <c r="M701" i="8"/>
  <c r="L701" i="8"/>
  <c r="T700" i="8"/>
  <c r="S700" i="8"/>
  <c r="R700" i="8"/>
  <c r="Q700" i="8"/>
  <c r="P700" i="8"/>
  <c r="O700" i="8"/>
  <c r="N700" i="8"/>
  <c r="M700" i="8"/>
  <c r="L700" i="8"/>
  <c r="U700" i="8" s="1"/>
  <c r="T699" i="8"/>
  <c r="S699" i="8"/>
  <c r="R699" i="8"/>
  <c r="Q699" i="8"/>
  <c r="P699" i="8"/>
  <c r="O699" i="8"/>
  <c r="N699" i="8"/>
  <c r="M699" i="8"/>
  <c r="L699" i="8"/>
  <c r="T698" i="8"/>
  <c r="S698" i="8"/>
  <c r="R698" i="8"/>
  <c r="Q698" i="8"/>
  <c r="P698" i="8"/>
  <c r="O698" i="8"/>
  <c r="N698" i="8"/>
  <c r="M698" i="8"/>
  <c r="L698" i="8"/>
  <c r="U698" i="8" s="1"/>
  <c r="T697" i="8"/>
  <c r="S697" i="8"/>
  <c r="R697" i="8"/>
  <c r="Q697" i="8"/>
  <c r="P697" i="8"/>
  <c r="O697" i="8"/>
  <c r="N697" i="8"/>
  <c r="M697" i="8"/>
  <c r="L697" i="8"/>
  <c r="T696" i="8"/>
  <c r="S696" i="8"/>
  <c r="R696" i="8"/>
  <c r="Q696" i="8"/>
  <c r="P696" i="8"/>
  <c r="O696" i="8"/>
  <c r="N696" i="8"/>
  <c r="M696" i="8"/>
  <c r="L696" i="8"/>
  <c r="U696" i="8" s="1"/>
  <c r="T695" i="8"/>
  <c r="S695" i="8"/>
  <c r="R695" i="8"/>
  <c r="Q695" i="8"/>
  <c r="P695" i="8"/>
  <c r="O695" i="8"/>
  <c r="N695" i="8"/>
  <c r="M695" i="8"/>
  <c r="L695" i="8"/>
  <c r="T694" i="8"/>
  <c r="S694" i="8"/>
  <c r="R694" i="8"/>
  <c r="Q694" i="8"/>
  <c r="P694" i="8"/>
  <c r="O694" i="8"/>
  <c r="N694" i="8"/>
  <c r="M694" i="8"/>
  <c r="L694" i="8"/>
  <c r="U694" i="8" s="1"/>
  <c r="T693" i="8"/>
  <c r="S693" i="8"/>
  <c r="R693" i="8"/>
  <c r="Q693" i="8"/>
  <c r="P693" i="8"/>
  <c r="O693" i="8"/>
  <c r="N693" i="8"/>
  <c r="M693" i="8"/>
  <c r="L693" i="8"/>
  <c r="T692" i="8"/>
  <c r="S692" i="8"/>
  <c r="R692" i="8"/>
  <c r="Q692" i="8"/>
  <c r="P692" i="8"/>
  <c r="O692" i="8"/>
  <c r="N692" i="8"/>
  <c r="M692" i="8"/>
  <c r="L692" i="8"/>
  <c r="U692" i="8" s="1"/>
  <c r="T691" i="8"/>
  <c r="S691" i="8"/>
  <c r="R691" i="8"/>
  <c r="Q691" i="8"/>
  <c r="P691" i="8"/>
  <c r="O691" i="8"/>
  <c r="N691" i="8"/>
  <c r="M691" i="8"/>
  <c r="L691" i="8"/>
  <c r="T690" i="8"/>
  <c r="S690" i="8"/>
  <c r="R690" i="8"/>
  <c r="Q690" i="8"/>
  <c r="P690" i="8"/>
  <c r="O690" i="8"/>
  <c r="N690" i="8"/>
  <c r="M690" i="8"/>
  <c r="L690" i="8"/>
  <c r="U690" i="8" s="1"/>
  <c r="T689" i="8"/>
  <c r="S689" i="8"/>
  <c r="R689" i="8"/>
  <c r="Q689" i="8"/>
  <c r="P689" i="8"/>
  <c r="O689" i="8"/>
  <c r="N689" i="8"/>
  <c r="M689" i="8"/>
  <c r="L689" i="8"/>
  <c r="T688" i="8"/>
  <c r="S688" i="8"/>
  <c r="R688" i="8"/>
  <c r="Q688" i="8"/>
  <c r="P688" i="8"/>
  <c r="O688" i="8"/>
  <c r="N688" i="8"/>
  <c r="M688" i="8"/>
  <c r="L688" i="8"/>
  <c r="U688" i="8" s="1"/>
  <c r="T687" i="8"/>
  <c r="S687" i="8"/>
  <c r="R687" i="8"/>
  <c r="Q687" i="8"/>
  <c r="P687" i="8"/>
  <c r="O687" i="8"/>
  <c r="N687" i="8"/>
  <c r="M687" i="8"/>
  <c r="L687" i="8"/>
  <c r="T686" i="8"/>
  <c r="S686" i="8"/>
  <c r="R686" i="8"/>
  <c r="Q686" i="8"/>
  <c r="P686" i="8"/>
  <c r="O686" i="8"/>
  <c r="N686" i="8"/>
  <c r="M686" i="8"/>
  <c r="L686" i="8"/>
  <c r="U686" i="8" s="1"/>
  <c r="T685" i="8"/>
  <c r="S685" i="8"/>
  <c r="R685" i="8"/>
  <c r="Q685" i="8"/>
  <c r="P685" i="8"/>
  <c r="O685" i="8"/>
  <c r="N685" i="8"/>
  <c r="M685" i="8"/>
  <c r="L685" i="8"/>
  <c r="T684" i="8"/>
  <c r="S684" i="8"/>
  <c r="R684" i="8"/>
  <c r="Q684" i="8"/>
  <c r="P684" i="8"/>
  <c r="O684" i="8"/>
  <c r="N684" i="8"/>
  <c r="M684" i="8"/>
  <c r="L684" i="8"/>
  <c r="U684" i="8" s="1"/>
  <c r="T683" i="8"/>
  <c r="S683" i="8"/>
  <c r="R683" i="8"/>
  <c r="Q683" i="8"/>
  <c r="P683" i="8"/>
  <c r="O683" i="8"/>
  <c r="N683" i="8"/>
  <c r="M683" i="8"/>
  <c r="L683" i="8"/>
  <c r="T682" i="8"/>
  <c r="S682" i="8"/>
  <c r="R682" i="8"/>
  <c r="Q682" i="8"/>
  <c r="P682" i="8"/>
  <c r="O682" i="8"/>
  <c r="N682" i="8"/>
  <c r="M682" i="8"/>
  <c r="L682" i="8"/>
  <c r="U682" i="8" s="1"/>
  <c r="T681" i="8"/>
  <c r="S681" i="8"/>
  <c r="R681" i="8"/>
  <c r="Q681" i="8"/>
  <c r="P681" i="8"/>
  <c r="O681" i="8"/>
  <c r="N681" i="8"/>
  <c r="M681" i="8"/>
  <c r="L681" i="8"/>
  <c r="T680" i="8"/>
  <c r="S680" i="8"/>
  <c r="R680" i="8"/>
  <c r="Q680" i="8"/>
  <c r="P680" i="8"/>
  <c r="O680" i="8"/>
  <c r="N680" i="8"/>
  <c r="M680" i="8"/>
  <c r="L680" i="8"/>
  <c r="U680" i="8" s="1"/>
  <c r="T679" i="8"/>
  <c r="S679" i="8"/>
  <c r="R679" i="8"/>
  <c r="Q679" i="8"/>
  <c r="P679" i="8"/>
  <c r="O679" i="8"/>
  <c r="N679" i="8"/>
  <c r="M679" i="8"/>
  <c r="L679" i="8"/>
  <c r="T678" i="8"/>
  <c r="S678" i="8"/>
  <c r="R678" i="8"/>
  <c r="Q678" i="8"/>
  <c r="P678" i="8"/>
  <c r="O678" i="8"/>
  <c r="N678" i="8"/>
  <c r="M678" i="8"/>
  <c r="L678" i="8"/>
  <c r="U678" i="8" s="1"/>
  <c r="T677" i="8"/>
  <c r="S677" i="8"/>
  <c r="R677" i="8"/>
  <c r="Q677" i="8"/>
  <c r="P677" i="8"/>
  <c r="O677" i="8"/>
  <c r="N677" i="8"/>
  <c r="M677" i="8"/>
  <c r="L677" i="8"/>
  <c r="T676" i="8"/>
  <c r="S676" i="8"/>
  <c r="R676" i="8"/>
  <c r="Q676" i="8"/>
  <c r="P676" i="8"/>
  <c r="O676" i="8"/>
  <c r="N676" i="8"/>
  <c r="M676" i="8"/>
  <c r="L676" i="8"/>
  <c r="U676" i="8" s="1"/>
  <c r="T675" i="8"/>
  <c r="S675" i="8"/>
  <c r="R675" i="8"/>
  <c r="Q675" i="8"/>
  <c r="P675" i="8"/>
  <c r="O675" i="8"/>
  <c r="N675" i="8"/>
  <c r="M675" i="8"/>
  <c r="L675" i="8"/>
  <c r="T674" i="8"/>
  <c r="S674" i="8"/>
  <c r="R674" i="8"/>
  <c r="Q674" i="8"/>
  <c r="P674" i="8"/>
  <c r="O674" i="8"/>
  <c r="N674" i="8"/>
  <c r="M674" i="8"/>
  <c r="L674" i="8"/>
  <c r="U674" i="8" s="1"/>
  <c r="T673" i="8"/>
  <c r="S673" i="8"/>
  <c r="R673" i="8"/>
  <c r="Q673" i="8"/>
  <c r="P673" i="8"/>
  <c r="O673" i="8"/>
  <c r="N673" i="8"/>
  <c r="M673" i="8"/>
  <c r="L673" i="8"/>
  <c r="T672" i="8"/>
  <c r="S672" i="8"/>
  <c r="R672" i="8"/>
  <c r="Q672" i="8"/>
  <c r="P672" i="8"/>
  <c r="O672" i="8"/>
  <c r="N672" i="8"/>
  <c r="M672" i="8"/>
  <c r="L672" i="8"/>
  <c r="U672" i="8" s="1"/>
  <c r="T671" i="8"/>
  <c r="S671" i="8"/>
  <c r="R671" i="8"/>
  <c r="Q671" i="8"/>
  <c r="P671" i="8"/>
  <c r="O671" i="8"/>
  <c r="N671" i="8"/>
  <c r="M671" i="8"/>
  <c r="L671" i="8"/>
  <c r="T670" i="8"/>
  <c r="S670" i="8"/>
  <c r="R670" i="8"/>
  <c r="Q670" i="8"/>
  <c r="P670" i="8"/>
  <c r="O670" i="8"/>
  <c r="N670" i="8"/>
  <c r="M670" i="8"/>
  <c r="L670" i="8"/>
  <c r="U670" i="8" s="1"/>
  <c r="T669" i="8"/>
  <c r="S669" i="8"/>
  <c r="R669" i="8"/>
  <c r="Q669" i="8"/>
  <c r="P669" i="8"/>
  <c r="O669" i="8"/>
  <c r="N669" i="8"/>
  <c r="M669" i="8"/>
  <c r="L669" i="8"/>
  <c r="T668" i="8"/>
  <c r="S668" i="8"/>
  <c r="R668" i="8"/>
  <c r="Q668" i="8"/>
  <c r="P668" i="8"/>
  <c r="O668" i="8"/>
  <c r="N668" i="8"/>
  <c r="M668" i="8"/>
  <c r="L668" i="8"/>
  <c r="U668" i="8" s="1"/>
  <c r="T667" i="8"/>
  <c r="S667" i="8"/>
  <c r="R667" i="8"/>
  <c r="Q667" i="8"/>
  <c r="P667" i="8"/>
  <c r="O667" i="8"/>
  <c r="N667" i="8"/>
  <c r="M667" i="8"/>
  <c r="L667" i="8"/>
  <c r="T666" i="8"/>
  <c r="S666" i="8"/>
  <c r="R666" i="8"/>
  <c r="Q666" i="8"/>
  <c r="P666" i="8"/>
  <c r="O666" i="8"/>
  <c r="N666" i="8"/>
  <c r="M666" i="8"/>
  <c r="L666" i="8"/>
  <c r="U666" i="8" s="1"/>
  <c r="T665" i="8"/>
  <c r="S665" i="8"/>
  <c r="R665" i="8"/>
  <c r="Q665" i="8"/>
  <c r="P665" i="8"/>
  <c r="O665" i="8"/>
  <c r="N665" i="8"/>
  <c r="M665" i="8"/>
  <c r="L665" i="8"/>
  <c r="T664" i="8"/>
  <c r="S664" i="8"/>
  <c r="R664" i="8"/>
  <c r="Q664" i="8"/>
  <c r="P664" i="8"/>
  <c r="O664" i="8"/>
  <c r="N664" i="8"/>
  <c r="M664" i="8"/>
  <c r="L664" i="8"/>
  <c r="U664" i="8" s="1"/>
  <c r="T663" i="8"/>
  <c r="S663" i="8"/>
  <c r="R663" i="8"/>
  <c r="Q663" i="8"/>
  <c r="P663" i="8"/>
  <c r="O663" i="8"/>
  <c r="N663" i="8"/>
  <c r="M663" i="8"/>
  <c r="L663" i="8"/>
  <c r="T662" i="8"/>
  <c r="S662" i="8"/>
  <c r="R662" i="8"/>
  <c r="Q662" i="8"/>
  <c r="P662" i="8"/>
  <c r="O662" i="8"/>
  <c r="N662" i="8"/>
  <c r="M662" i="8"/>
  <c r="L662" i="8"/>
  <c r="U662" i="8" s="1"/>
  <c r="T661" i="8"/>
  <c r="S661" i="8"/>
  <c r="R661" i="8"/>
  <c r="Q661" i="8"/>
  <c r="P661" i="8"/>
  <c r="O661" i="8"/>
  <c r="N661" i="8"/>
  <c r="M661" i="8"/>
  <c r="L661" i="8"/>
  <c r="T660" i="8"/>
  <c r="S660" i="8"/>
  <c r="R660" i="8"/>
  <c r="Q660" i="8"/>
  <c r="P660" i="8"/>
  <c r="O660" i="8"/>
  <c r="N660" i="8"/>
  <c r="M660" i="8"/>
  <c r="L660" i="8"/>
  <c r="U660" i="8" s="1"/>
  <c r="T659" i="8"/>
  <c r="S659" i="8"/>
  <c r="R659" i="8"/>
  <c r="Q659" i="8"/>
  <c r="P659" i="8"/>
  <c r="O659" i="8"/>
  <c r="N659" i="8"/>
  <c r="M659" i="8"/>
  <c r="L659" i="8"/>
  <c r="T658" i="8"/>
  <c r="S658" i="8"/>
  <c r="R658" i="8"/>
  <c r="Q658" i="8"/>
  <c r="P658" i="8"/>
  <c r="O658" i="8"/>
  <c r="N658" i="8"/>
  <c r="M658" i="8"/>
  <c r="L658" i="8"/>
  <c r="U658" i="8" s="1"/>
  <c r="T657" i="8"/>
  <c r="S657" i="8"/>
  <c r="R657" i="8"/>
  <c r="Q657" i="8"/>
  <c r="P657" i="8"/>
  <c r="O657" i="8"/>
  <c r="N657" i="8"/>
  <c r="M657" i="8"/>
  <c r="L657" i="8"/>
  <c r="T656" i="8"/>
  <c r="S656" i="8"/>
  <c r="R656" i="8"/>
  <c r="Q656" i="8"/>
  <c r="P656" i="8"/>
  <c r="O656" i="8"/>
  <c r="N656" i="8"/>
  <c r="M656" i="8"/>
  <c r="L656" i="8"/>
  <c r="U656" i="8" s="1"/>
  <c r="T655" i="8"/>
  <c r="S655" i="8"/>
  <c r="R655" i="8"/>
  <c r="Q655" i="8"/>
  <c r="P655" i="8"/>
  <c r="O655" i="8"/>
  <c r="N655" i="8"/>
  <c r="M655" i="8"/>
  <c r="L655" i="8"/>
  <c r="T654" i="8"/>
  <c r="S654" i="8"/>
  <c r="R654" i="8"/>
  <c r="Q654" i="8"/>
  <c r="P654" i="8"/>
  <c r="O654" i="8"/>
  <c r="N654" i="8"/>
  <c r="M654" i="8"/>
  <c r="L654" i="8"/>
  <c r="U654" i="8" s="1"/>
  <c r="T653" i="8"/>
  <c r="S653" i="8"/>
  <c r="R653" i="8"/>
  <c r="Q653" i="8"/>
  <c r="P653" i="8"/>
  <c r="O653" i="8"/>
  <c r="N653" i="8"/>
  <c r="M653" i="8"/>
  <c r="L653" i="8"/>
  <c r="T652" i="8"/>
  <c r="S652" i="8"/>
  <c r="R652" i="8"/>
  <c r="Q652" i="8"/>
  <c r="P652" i="8"/>
  <c r="O652" i="8"/>
  <c r="N652" i="8"/>
  <c r="M652" i="8"/>
  <c r="L652" i="8"/>
  <c r="U652" i="8" s="1"/>
  <c r="T651" i="8"/>
  <c r="S651" i="8"/>
  <c r="R651" i="8"/>
  <c r="Q651" i="8"/>
  <c r="P651" i="8"/>
  <c r="O651" i="8"/>
  <c r="N651" i="8"/>
  <c r="M651" i="8"/>
  <c r="L651" i="8"/>
  <c r="T650" i="8"/>
  <c r="S650" i="8"/>
  <c r="R650" i="8"/>
  <c r="Q650" i="8"/>
  <c r="P650" i="8"/>
  <c r="O650" i="8"/>
  <c r="N650" i="8"/>
  <c r="M650" i="8"/>
  <c r="L650" i="8"/>
  <c r="U650" i="8" s="1"/>
  <c r="T649" i="8"/>
  <c r="S649" i="8"/>
  <c r="R649" i="8"/>
  <c r="Q649" i="8"/>
  <c r="P649" i="8"/>
  <c r="O649" i="8"/>
  <c r="N649" i="8"/>
  <c r="M649" i="8"/>
  <c r="L649" i="8"/>
  <c r="T648" i="8"/>
  <c r="S648" i="8"/>
  <c r="R648" i="8"/>
  <c r="Q648" i="8"/>
  <c r="P648" i="8"/>
  <c r="O648" i="8"/>
  <c r="N648" i="8"/>
  <c r="M648" i="8"/>
  <c r="L648" i="8"/>
  <c r="U648" i="8" s="1"/>
  <c r="T647" i="8"/>
  <c r="S647" i="8"/>
  <c r="R647" i="8"/>
  <c r="Q647" i="8"/>
  <c r="P647" i="8"/>
  <c r="O647" i="8"/>
  <c r="N647" i="8"/>
  <c r="M647" i="8"/>
  <c r="L647" i="8"/>
  <c r="T646" i="8"/>
  <c r="S646" i="8"/>
  <c r="R646" i="8"/>
  <c r="Q646" i="8"/>
  <c r="P646" i="8"/>
  <c r="O646" i="8"/>
  <c r="N646" i="8"/>
  <c r="M646" i="8"/>
  <c r="L646" i="8"/>
  <c r="U646" i="8" s="1"/>
  <c r="T645" i="8"/>
  <c r="S645" i="8"/>
  <c r="R645" i="8"/>
  <c r="Q645" i="8"/>
  <c r="P645" i="8"/>
  <c r="O645" i="8"/>
  <c r="N645" i="8"/>
  <c r="M645" i="8"/>
  <c r="L645" i="8"/>
  <c r="T644" i="8"/>
  <c r="S644" i="8"/>
  <c r="R644" i="8"/>
  <c r="Q644" i="8"/>
  <c r="P644" i="8"/>
  <c r="O644" i="8"/>
  <c r="N644" i="8"/>
  <c r="M644" i="8"/>
  <c r="L644" i="8"/>
  <c r="U644" i="8" s="1"/>
  <c r="T643" i="8"/>
  <c r="S643" i="8"/>
  <c r="R643" i="8"/>
  <c r="Q643" i="8"/>
  <c r="P643" i="8"/>
  <c r="O643" i="8"/>
  <c r="N643" i="8"/>
  <c r="M643" i="8"/>
  <c r="L643" i="8"/>
  <c r="T642" i="8"/>
  <c r="S642" i="8"/>
  <c r="R642" i="8"/>
  <c r="Q642" i="8"/>
  <c r="P642" i="8"/>
  <c r="O642" i="8"/>
  <c r="N642" i="8"/>
  <c r="M642" i="8"/>
  <c r="L642" i="8"/>
  <c r="U642" i="8" s="1"/>
  <c r="T641" i="8"/>
  <c r="S641" i="8"/>
  <c r="R641" i="8"/>
  <c r="Q641" i="8"/>
  <c r="P641" i="8"/>
  <c r="O641" i="8"/>
  <c r="N641" i="8"/>
  <c r="M641" i="8"/>
  <c r="L641" i="8"/>
  <c r="T640" i="8"/>
  <c r="S640" i="8"/>
  <c r="R640" i="8"/>
  <c r="Q640" i="8"/>
  <c r="P640" i="8"/>
  <c r="O640" i="8"/>
  <c r="N640" i="8"/>
  <c r="M640" i="8"/>
  <c r="L640" i="8"/>
  <c r="U640" i="8" s="1"/>
  <c r="T639" i="8"/>
  <c r="S639" i="8"/>
  <c r="R639" i="8"/>
  <c r="Q639" i="8"/>
  <c r="P639" i="8"/>
  <c r="O639" i="8"/>
  <c r="N639" i="8"/>
  <c r="M639" i="8"/>
  <c r="L639" i="8"/>
  <c r="T638" i="8"/>
  <c r="S638" i="8"/>
  <c r="R638" i="8"/>
  <c r="Q638" i="8"/>
  <c r="P638" i="8"/>
  <c r="O638" i="8"/>
  <c r="N638" i="8"/>
  <c r="M638" i="8"/>
  <c r="L638" i="8"/>
  <c r="U638" i="8" s="1"/>
  <c r="T637" i="8"/>
  <c r="S637" i="8"/>
  <c r="R637" i="8"/>
  <c r="Q637" i="8"/>
  <c r="P637" i="8"/>
  <c r="O637" i="8"/>
  <c r="N637" i="8"/>
  <c r="M637" i="8"/>
  <c r="L637" i="8"/>
  <c r="T636" i="8"/>
  <c r="S636" i="8"/>
  <c r="R636" i="8"/>
  <c r="Q636" i="8"/>
  <c r="P636" i="8"/>
  <c r="O636" i="8"/>
  <c r="N636" i="8"/>
  <c r="M636" i="8"/>
  <c r="L636" i="8"/>
  <c r="U636" i="8" s="1"/>
  <c r="T635" i="8"/>
  <c r="S635" i="8"/>
  <c r="R635" i="8"/>
  <c r="Q635" i="8"/>
  <c r="P635" i="8"/>
  <c r="O635" i="8"/>
  <c r="N635" i="8"/>
  <c r="M635" i="8"/>
  <c r="L635" i="8"/>
  <c r="T634" i="8"/>
  <c r="S634" i="8"/>
  <c r="R634" i="8"/>
  <c r="Q634" i="8"/>
  <c r="P634" i="8"/>
  <c r="O634" i="8"/>
  <c r="N634" i="8"/>
  <c r="M634" i="8"/>
  <c r="L634" i="8"/>
  <c r="U634" i="8" s="1"/>
  <c r="T633" i="8"/>
  <c r="S633" i="8"/>
  <c r="R633" i="8"/>
  <c r="Q633" i="8"/>
  <c r="P633" i="8"/>
  <c r="O633" i="8"/>
  <c r="N633" i="8"/>
  <c r="M633" i="8"/>
  <c r="L633" i="8"/>
  <c r="T632" i="8"/>
  <c r="S632" i="8"/>
  <c r="R632" i="8"/>
  <c r="Q632" i="8"/>
  <c r="P632" i="8"/>
  <c r="O632" i="8"/>
  <c r="N632" i="8"/>
  <c r="M632" i="8"/>
  <c r="L632" i="8"/>
  <c r="U632" i="8" s="1"/>
  <c r="T631" i="8"/>
  <c r="S631" i="8"/>
  <c r="R631" i="8"/>
  <c r="Q631" i="8"/>
  <c r="P631" i="8"/>
  <c r="O631" i="8"/>
  <c r="N631" i="8"/>
  <c r="M631" i="8"/>
  <c r="L631" i="8"/>
  <c r="T630" i="8"/>
  <c r="S630" i="8"/>
  <c r="R630" i="8"/>
  <c r="Q630" i="8"/>
  <c r="P630" i="8"/>
  <c r="O630" i="8"/>
  <c r="N630" i="8"/>
  <c r="M630" i="8"/>
  <c r="L630" i="8"/>
  <c r="U630" i="8" s="1"/>
  <c r="T629" i="8"/>
  <c r="S629" i="8"/>
  <c r="R629" i="8"/>
  <c r="Q629" i="8"/>
  <c r="P629" i="8"/>
  <c r="O629" i="8"/>
  <c r="N629" i="8"/>
  <c r="M629" i="8"/>
  <c r="L629" i="8"/>
  <c r="T628" i="8"/>
  <c r="S628" i="8"/>
  <c r="R628" i="8"/>
  <c r="Q628" i="8"/>
  <c r="P628" i="8"/>
  <c r="O628" i="8"/>
  <c r="N628" i="8"/>
  <c r="M628" i="8"/>
  <c r="L628" i="8"/>
  <c r="U628" i="8" s="1"/>
  <c r="T627" i="8"/>
  <c r="S627" i="8"/>
  <c r="R627" i="8"/>
  <c r="Q627" i="8"/>
  <c r="P627" i="8"/>
  <c r="O627" i="8"/>
  <c r="N627" i="8"/>
  <c r="M627" i="8"/>
  <c r="L627" i="8"/>
  <c r="T626" i="8"/>
  <c r="S626" i="8"/>
  <c r="R626" i="8"/>
  <c r="Q626" i="8"/>
  <c r="P626" i="8"/>
  <c r="O626" i="8"/>
  <c r="N626" i="8"/>
  <c r="M626" i="8"/>
  <c r="L626" i="8"/>
  <c r="U626" i="8" s="1"/>
  <c r="T625" i="8"/>
  <c r="S625" i="8"/>
  <c r="R625" i="8"/>
  <c r="Q625" i="8"/>
  <c r="P625" i="8"/>
  <c r="O625" i="8"/>
  <c r="N625" i="8"/>
  <c r="M625" i="8"/>
  <c r="L625" i="8"/>
  <c r="T624" i="8"/>
  <c r="S624" i="8"/>
  <c r="R624" i="8"/>
  <c r="Q624" i="8"/>
  <c r="P624" i="8"/>
  <c r="O624" i="8"/>
  <c r="N624" i="8"/>
  <c r="M624" i="8"/>
  <c r="L624" i="8"/>
  <c r="U624" i="8" s="1"/>
  <c r="T623" i="8"/>
  <c r="S623" i="8"/>
  <c r="R623" i="8"/>
  <c r="Q623" i="8"/>
  <c r="P623" i="8"/>
  <c r="O623" i="8"/>
  <c r="N623" i="8"/>
  <c r="M623" i="8"/>
  <c r="L623" i="8"/>
  <c r="T622" i="8"/>
  <c r="S622" i="8"/>
  <c r="R622" i="8"/>
  <c r="Q622" i="8"/>
  <c r="P622" i="8"/>
  <c r="O622" i="8"/>
  <c r="N622" i="8"/>
  <c r="M622" i="8"/>
  <c r="L622" i="8"/>
  <c r="U622" i="8" s="1"/>
  <c r="T621" i="8"/>
  <c r="S621" i="8"/>
  <c r="R621" i="8"/>
  <c r="Q621" i="8"/>
  <c r="P621" i="8"/>
  <c r="O621" i="8"/>
  <c r="N621" i="8"/>
  <c r="M621" i="8"/>
  <c r="L621" i="8"/>
  <c r="T620" i="8"/>
  <c r="S620" i="8"/>
  <c r="R620" i="8"/>
  <c r="Q620" i="8"/>
  <c r="P620" i="8"/>
  <c r="O620" i="8"/>
  <c r="N620" i="8"/>
  <c r="M620" i="8"/>
  <c r="L620" i="8"/>
  <c r="U620" i="8" s="1"/>
  <c r="T619" i="8"/>
  <c r="S619" i="8"/>
  <c r="R619" i="8"/>
  <c r="Q619" i="8"/>
  <c r="P619" i="8"/>
  <c r="O619" i="8"/>
  <c r="N619" i="8"/>
  <c r="M619" i="8"/>
  <c r="L619" i="8"/>
  <c r="T618" i="8"/>
  <c r="S618" i="8"/>
  <c r="R618" i="8"/>
  <c r="Q618" i="8"/>
  <c r="P618" i="8"/>
  <c r="O618" i="8"/>
  <c r="N618" i="8"/>
  <c r="M618" i="8"/>
  <c r="L618" i="8"/>
  <c r="U618" i="8" s="1"/>
  <c r="T617" i="8"/>
  <c r="S617" i="8"/>
  <c r="R617" i="8"/>
  <c r="Q617" i="8"/>
  <c r="P617" i="8"/>
  <c r="O617" i="8"/>
  <c r="N617" i="8"/>
  <c r="M617" i="8"/>
  <c r="L617" i="8"/>
  <c r="T616" i="8"/>
  <c r="S616" i="8"/>
  <c r="R616" i="8"/>
  <c r="Q616" i="8"/>
  <c r="P616" i="8"/>
  <c r="O616" i="8"/>
  <c r="N616" i="8"/>
  <c r="M616" i="8"/>
  <c r="L616" i="8"/>
  <c r="U616" i="8" s="1"/>
  <c r="T615" i="8"/>
  <c r="S615" i="8"/>
  <c r="R615" i="8"/>
  <c r="Q615" i="8"/>
  <c r="P615" i="8"/>
  <c r="O615" i="8"/>
  <c r="N615" i="8"/>
  <c r="M615" i="8"/>
  <c r="L615" i="8"/>
  <c r="T614" i="8"/>
  <c r="S614" i="8"/>
  <c r="R614" i="8"/>
  <c r="Q614" i="8"/>
  <c r="P614" i="8"/>
  <c r="O614" i="8"/>
  <c r="N614" i="8"/>
  <c r="M614" i="8"/>
  <c r="L614" i="8"/>
  <c r="U614" i="8" s="1"/>
  <c r="T613" i="8"/>
  <c r="S613" i="8"/>
  <c r="R613" i="8"/>
  <c r="Q613" i="8"/>
  <c r="P613" i="8"/>
  <c r="O613" i="8"/>
  <c r="N613" i="8"/>
  <c r="M613" i="8"/>
  <c r="L613" i="8"/>
  <c r="T612" i="8"/>
  <c r="S612" i="8"/>
  <c r="R612" i="8"/>
  <c r="Q612" i="8"/>
  <c r="P612" i="8"/>
  <c r="O612" i="8"/>
  <c r="N612" i="8"/>
  <c r="M612" i="8"/>
  <c r="L612" i="8"/>
  <c r="U612" i="8" s="1"/>
  <c r="T611" i="8"/>
  <c r="S611" i="8"/>
  <c r="R611" i="8"/>
  <c r="Q611" i="8"/>
  <c r="P611" i="8"/>
  <c r="O611" i="8"/>
  <c r="N611" i="8"/>
  <c r="M611" i="8"/>
  <c r="L611" i="8"/>
  <c r="T610" i="8"/>
  <c r="S610" i="8"/>
  <c r="R610" i="8"/>
  <c r="Q610" i="8"/>
  <c r="P610" i="8"/>
  <c r="O610" i="8"/>
  <c r="N610" i="8"/>
  <c r="M610" i="8"/>
  <c r="L610" i="8"/>
  <c r="U610" i="8" s="1"/>
  <c r="T609" i="8"/>
  <c r="S609" i="8"/>
  <c r="R609" i="8"/>
  <c r="Q609" i="8"/>
  <c r="P609" i="8"/>
  <c r="O609" i="8"/>
  <c r="N609" i="8"/>
  <c r="M609" i="8"/>
  <c r="L609" i="8"/>
  <c r="T608" i="8"/>
  <c r="S608" i="8"/>
  <c r="R608" i="8"/>
  <c r="Q608" i="8"/>
  <c r="P608" i="8"/>
  <c r="O608" i="8"/>
  <c r="N608" i="8"/>
  <c r="M608" i="8"/>
  <c r="L608" i="8"/>
  <c r="U608" i="8" s="1"/>
  <c r="T607" i="8"/>
  <c r="S607" i="8"/>
  <c r="R607" i="8"/>
  <c r="Q607" i="8"/>
  <c r="P607" i="8"/>
  <c r="O607" i="8"/>
  <c r="N607" i="8"/>
  <c r="M607" i="8"/>
  <c r="L607" i="8"/>
  <c r="T606" i="8"/>
  <c r="S606" i="8"/>
  <c r="R606" i="8"/>
  <c r="Q606" i="8"/>
  <c r="P606" i="8"/>
  <c r="O606" i="8"/>
  <c r="N606" i="8"/>
  <c r="M606" i="8"/>
  <c r="L606" i="8"/>
  <c r="U606" i="8" s="1"/>
  <c r="T605" i="8"/>
  <c r="S605" i="8"/>
  <c r="R605" i="8"/>
  <c r="Q605" i="8"/>
  <c r="P605" i="8"/>
  <c r="O605" i="8"/>
  <c r="N605" i="8"/>
  <c r="M605" i="8"/>
  <c r="L605" i="8"/>
  <c r="T604" i="8"/>
  <c r="S604" i="8"/>
  <c r="R604" i="8"/>
  <c r="Q604" i="8"/>
  <c r="P604" i="8"/>
  <c r="O604" i="8"/>
  <c r="N604" i="8"/>
  <c r="M604" i="8"/>
  <c r="L604" i="8"/>
  <c r="U604" i="8" s="1"/>
  <c r="T603" i="8"/>
  <c r="S603" i="8"/>
  <c r="R603" i="8"/>
  <c r="Q603" i="8"/>
  <c r="P603" i="8"/>
  <c r="O603" i="8"/>
  <c r="N603" i="8"/>
  <c r="M603" i="8"/>
  <c r="L603" i="8"/>
  <c r="T602" i="8"/>
  <c r="S602" i="8"/>
  <c r="R602" i="8"/>
  <c r="Q602" i="8"/>
  <c r="P602" i="8"/>
  <c r="O602" i="8"/>
  <c r="N602" i="8"/>
  <c r="M602" i="8"/>
  <c r="L602" i="8"/>
  <c r="U602" i="8" s="1"/>
  <c r="T601" i="8"/>
  <c r="S601" i="8"/>
  <c r="R601" i="8"/>
  <c r="Q601" i="8"/>
  <c r="P601" i="8"/>
  <c r="O601" i="8"/>
  <c r="N601" i="8"/>
  <c r="M601" i="8"/>
  <c r="L601" i="8"/>
  <c r="T600" i="8"/>
  <c r="S600" i="8"/>
  <c r="R600" i="8"/>
  <c r="Q600" i="8"/>
  <c r="P600" i="8"/>
  <c r="O600" i="8"/>
  <c r="N600" i="8"/>
  <c r="M600" i="8"/>
  <c r="L600" i="8"/>
  <c r="U600" i="8" s="1"/>
  <c r="T599" i="8"/>
  <c r="S599" i="8"/>
  <c r="R599" i="8"/>
  <c r="Q599" i="8"/>
  <c r="P599" i="8"/>
  <c r="O599" i="8"/>
  <c r="N599" i="8"/>
  <c r="M599" i="8"/>
  <c r="L599" i="8"/>
  <c r="T598" i="8"/>
  <c r="S598" i="8"/>
  <c r="R598" i="8"/>
  <c r="Q598" i="8"/>
  <c r="P598" i="8"/>
  <c r="O598" i="8"/>
  <c r="N598" i="8"/>
  <c r="M598" i="8"/>
  <c r="L598" i="8"/>
  <c r="U598" i="8" s="1"/>
  <c r="T597" i="8"/>
  <c r="S597" i="8"/>
  <c r="R597" i="8"/>
  <c r="Q597" i="8"/>
  <c r="P597" i="8"/>
  <c r="O597" i="8"/>
  <c r="N597" i="8"/>
  <c r="M597" i="8"/>
  <c r="L597" i="8"/>
  <c r="T596" i="8"/>
  <c r="S596" i="8"/>
  <c r="R596" i="8"/>
  <c r="Q596" i="8"/>
  <c r="P596" i="8"/>
  <c r="O596" i="8"/>
  <c r="N596" i="8"/>
  <c r="M596" i="8"/>
  <c r="L596" i="8"/>
  <c r="U596" i="8" s="1"/>
  <c r="T595" i="8"/>
  <c r="S595" i="8"/>
  <c r="R595" i="8"/>
  <c r="Q595" i="8"/>
  <c r="P595" i="8"/>
  <c r="O595" i="8"/>
  <c r="N595" i="8"/>
  <c r="M595" i="8"/>
  <c r="L595" i="8"/>
  <c r="T594" i="8"/>
  <c r="S594" i="8"/>
  <c r="R594" i="8"/>
  <c r="Q594" i="8"/>
  <c r="P594" i="8"/>
  <c r="O594" i="8"/>
  <c r="N594" i="8"/>
  <c r="M594" i="8"/>
  <c r="L594" i="8"/>
  <c r="U594" i="8" s="1"/>
  <c r="T593" i="8"/>
  <c r="S593" i="8"/>
  <c r="R593" i="8"/>
  <c r="Q593" i="8"/>
  <c r="P593" i="8"/>
  <c r="O593" i="8"/>
  <c r="N593" i="8"/>
  <c r="M593" i="8"/>
  <c r="L593" i="8"/>
  <c r="T592" i="8"/>
  <c r="S592" i="8"/>
  <c r="R592" i="8"/>
  <c r="Q592" i="8"/>
  <c r="P592" i="8"/>
  <c r="O592" i="8"/>
  <c r="N592" i="8"/>
  <c r="M592" i="8"/>
  <c r="L592" i="8"/>
  <c r="U592" i="8" s="1"/>
  <c r="T591" i="8"/>
  <c r="S591" i="8"/>
  <c r="R591" i="8"/>
  <c r="Q591" i="8"/>
  <c r="P591" i="8"/>
  <c r="O591" i="8"/>
  <c r="N591" i="8"/>
  <c r="M591" i="8"/>
  <c r="L591" i="8"/>
  <c r="T590" i="8"/>
  <c r="S590" i="8"/>
  <c r="R590" i="8"/>
  <c r="Q590" i="8"/>
  <c r="P590" i="8"/>
  <c r="O590" i="8"/>
  <c r="N590" i="8"/>
  <c r="M590" i="8"/>
  <c r="L590" i="8"/>
  <c r="U590" i="8" s="1"/>
  <c r="T589" i="8"/>
  <c r="S589" i="8"/>
  <c r="R589" i="8"/>
  <c r="Q589" i="8"/>
  <c r="P589" i="8"/>
  <c r="O589" i="8"/>
  <c r="N589" i="8"/>
  <c r="M589" i="8"/>
  <c r="L589" i="8"/>
  <c r="T588" i="8"/>
  <c r="S588" i="8"/>
  <c r="R588" i="8"/>
  <c r="Q588" i="8"/>
  <c r="P588" i="8"/>
  <c r="O588" i="8"/>
  <c r="N588" i="8"/>
  <c r="M588" i="8"/>
  <c r="L588" i="8"/>
  <c r="U588" i="8" s="1"/>
  <c r="T587" i="8"/>
  <c r="S587" i="8"/>
  <c r="R587" i="8"/>
  <c r="Q587" i="8"/>
  <c r="P587" i="8"/>
  <c r="O587" i="8"/>
  <c r="N587" i="8"/>
  <c r="M587" i="8"/>
  <c r="L587" i="8"/>
  <c r="T586" i="8"/>
  <c r="S586" i="8"/>
  <c r="R586" i="8"/>
  <c r="Q586" i="8"/>
  <c r="P586" i="8"/>
  <c r="O586" i="8"/>
  <c r="N586" i="8"/>
  <c r="M586" i="8"/>
  <c r="L586" i="8"/>
  <c r="U586" i="8" s="1"/>
  <c r="T585" i="8"/>
  <c r="S585" i="8"/>
  <c r="R585" i="8"/>
  <c r="Q585" i="8"/>
  <c r="P585" i="8"/>
  <c r="O585" i="8"/>
  <c r="N585" i="8"/>
  <c r="M585" i="8"/>
  <c r="L585" i="8"/>
  <c r="T584" i="8"/>
  <c r="S584" i="8"/>
  <c r="R584" i="8"/>
  <c r="Q584" i="8"/>
  <c r="P584" i="8"/>
  <c r="O584" i="8"/>
  <c r="N584" i="8"/>
  <c r="M584" i="8"/>
  <c r="L584" i="8"/>
  <c r="U584" i="8" s="1"/>
  <c r="T583" i="8"/>
  <c r="S583" i="8"/>
  <c r="R583" i="8"/>
  <c r="Q583" i="8"/>
  <c r="P583" i="8"/>
  <c r="O583" i="8"/>
  <c r="N583" i="8"/>
  <c r="M583" i="8"/>
  <c r="L583" i="8"/>
  <c r="T582" i="8"/>
  <c r="S582" i="8"/>
  <c r="R582" i="8"/>
  <c r="Q582" i="8"/>
  <c r="P582" i="8"/>
  <c r="O582" i="8"/>
  <c r="N582" i="8"/>
  <c r="M582" i="8"/>
  <c r="L582" i="8"/>
  <c r="U582" i="8" s="1"/>
  <c r="T581" i="8"/>
  <c r="S581" i="8"/>
  <c r="R581" i="8"/>
  <c r="Q581" i="8"/>
  <c r="P581" i="8"/>
  <c r="O581" i="8"/>
  <c r="N581" i="8"/>
  <c r="M581" i="8"/>
  <c r="L581" i="8"/>
  <c r="T580" i="8"/>
  <c r="S580" i="8"/>
  <c r="R580" i="8"/>
  <c r="Q580" i="8"/>
  <c r="P580" i="8"/>
  <c r="O580" i="8"/>
  <c r="N580" i="8"/>
  <c r="M580" i="8"/>
  <c r="L580" i="8"/>
  <c r="U580" i="8" s="1"/>
  <c r="T579" i="8"/>
  <c r="S579" i="8"/>
  <c r="R579" i="8"/>
  <c r="Q579" i="8"/>
  <c r="P579" i="8"/>
  <c r="O579" i="8"/>
  <c r="N579" i="8"/>
  <c r="M579" i="8"/>
  <c r="L579" i="8"/>
  <c r="T578" i="8"/>
  <c r="S578" i="8"/>
  <c r="R578" i="8"/>
  <c r="Q578" i="8"/>
  <c r="P578" i="8"/>
  <c r="O578" i="8"/>
  <c r="N578" i="8"/>
  <c r="M578" i="8"/>
  <c r="L578" i="8"/>
  <c r="U578" i="8" s="1"/>
  <c r="T577" i="8"/>
  <c r="S577" i="8"/>
  <c r="R577" i="8"/>
  <c r="Q577" i="8"/>
  <c r="P577" i="8"/>
  <c r="O577" i="8"/>
  <c r="N577" i="8"/>
  <c r="M577" i="8"/>
  <c r="L577" i="8"/>
  <c r="T576" i="8"/>
  <c r="S576" i="8"/>
  <c r="R576" i="8"/>
  <c r="Q576" i="8"/>
  <c r="P576" i="8"/>
  <c r="O576" i="8"/>
  <c r="N576" i="8"/>
  <c r="M576" i="8"/>
  <c r="L576" i="8"/>
  <c r="U576" i="8" s="1"/>
  <c r="T575" i="8"/>
  <c r="S575" i="8"/>
  <c r="R575" i="8"/>
  <c r="Q575" i="8"/>
  <c r="P575" i="8"/>
  <c r="O575" i="8"/>
  <c r="N575" i="8"/>
  <c r="M575" i="8"/>
  <c r="L575" i="8"/>
  <c r="T574" i="8"/>
  <c r="S574" i="8"/>
  <c r="R574" i="8"/>
  <c r="Q574" i="8"/>
  <c r="P574" i="8"/>
  <c r="O574" i="8"/>
  <c r="N574" i="8"/>
  <c r="M574" i="8"/>
  <c r="L574" i="8"/>
  <c r="U574" i="8" s="1"/>
  <c r="T573" i="8"/>
  <c r="S573" i="8"/>
  <c r="R573" i="8"/>
  <c r="Q573" i="8"/>
  <c r="P573" i="8"/>
  <c r="O573" i="8"/>
  <c r="N573" i="8"/>
  <c r="M573" i="8"/>
  <c r="L573" i="8"/>
  <c r="T572" i="8"/>
  <c r="S572" i="8"/>
  <c r="R572" i="8"/>
  <c r="Q572" i="8"/>
  <c r="P572" i="8"/>
  <c r="O572" i="8"/>
  <c r="N572" i="8"/>
  <c r="M572" i="8"/>
  <c r="L572" i="8"/>
  <c r="U572" i="8" s="1"/>
  <c r="T571" i="8"/>
  <c r="S571" i="8"/>
  <c r="R571" i="8"/>
  <c r="Q571" i="8"/>
  <c r="P571" i="8"/>
  <c r="O571" i="8"/>
  <c r="N571" i="8"/>
  <c r="M571" i="8"/>
  <c r="L571" i="8"/>
  <c r="T570" i="8"/>
  <c r="S570" i="8"/>
  <c r="R570" i="8"/>
  <c r="Q570" i="8"/>
  <c r="P570" i="8"/>
  <c r="O570" i="8"/>
  <c r="N570" i="8"/>
  <c r="M570" i="8"/>
  <c r="L570" i="8"/>
  <c r="U570" i="8" s="1"/>
  <c r="T569" i="8"/>
  <c r="S569" i="8"/>
  <c r="R569" i="8"/>
  <c r="Q569" i="8"/>
  <c r="P569" i="8"/>
  <c r="O569" i="8"/>
  <c r="N569" i="8"/>
  <c r="M569" i="8"/>
  <c r="L569" i="8"/>
  <c r="T568" i="8"/>
  <c r="S568" i="8"/>
  <c r="R568" i="8"/>
  <c r="Q568" i="8"/>
  <c r="P568" i="8"/>
  <c r="O568" i="8"/>
  <c r="N568" i="8"/>
  <c r="M568" i="8"/>
  <c r="L568" i="8"/>
  <c r="U568" i="8" s="1"/>
  <c r="T567" i="8"/>
  <c r="S567" i="8"/>
  <c r="R567" i="8"/>
  <c r="Q567" i="8"/>
  <c r="P567" i="8"/>
  <c r="O567" i="8"/>
  <c r="N567" i="8"/>
  <c r="M567" i="8"/>
  <c r="L567" i="8"/>
  <c r="T566" i="8"/>
  <c r="S566" i="8"/>
  <c r="R566" i="8"/>
  <c r="Q566" i="8"/>
  <c r="P566" i="8"/>
  <c r="O566" i="8"/>
  <c r="N566" i="8"/>
  <c r="M566" i="8"/>
  <c r="L566" i="8"/>
  <c r="U566" i="8" s="1"/>
  <c r="T565" i="8"/>
  <c r="S565" i="8"/>
  <c r="R565" i="8"/>
  <c r="Q565" i="8"/>
  <c r="P565" i="8"/>
  <c r="O565" i="8"/>
  <c r="N565" i="8"/>
  <c r="M565" i="8"/>
  <c r="L565" i="8"/>
  <c r="T564" i="8"/>
  <c r="S564" i="8"/>
  <c r="R564" i="8"/>
  <c r="Q564" i="8"/>
  <c r="P564" i="8"/>
  <c r="O564" i="8"/>
  <c r="N564" i="8"/>
  <c r="M564" i="8"/>
  <c r="L564" i="8"/>
  <c r="U564" i="8" s="1"/>
  <c r="T563" i="8"/>
  <c r="S563" i="8"/>
  <c r="R563" i="8"/>
  <c r="Q563" i="8"/>
  <c r="P563" i="8"/>
  <c r="O563" i="8"/>
  <c r="N563" i="8"/>
  <c r="M563" i="8"/>
  <c r="L563" i="8"/>
  <c r="T562" i="8"/>
  <c r="S562" i="8"/>
  <c r="R562" i="8"/>
  <c r="Q562" i="8"/>
  <c r="P562" i="8"/>
  <c r="O562" i="8"/>
  <c r="N562" i="8"/>
  <c r="M562" i="8"/>
  <c r="L562" i="8"/>
  <c r="U562" i="8" s="1"/>
  <c r="T561" i="8"/>
  <c r="S561" i="8"/>
  <c r="R561" i="8"/>
  <c r="Q561" i="8"/>
  <c r="P561" i="8"/>
  <c r="O561" i="8"/>
  <c r="N561" i="8"/>
  <c r="M561" i="8"/>
  <c r="L561" i="8"/>
  <c r="T560" i="8"/>
  <c r="S560" i="8"/>
  <c r="R560" i="8"/>
  <c r="Q560" i="8"/>
  <c r="P560" i="8"/>
  <c r="O560" i="8"/>
  <c r="N560" i="8"/>
  <c r="M560" i="8"/>
  <c r="L560" i="8"/>
  <c r="U560" i="8" s="1"/>
  <c r="T559" i="8"/>
  <c r="S559" i="8"/>
  <c r="R559" i="8"/>
  <c r="Q559" i="8"/>
  <c r="P559" i="8"/>
  <c r="O559" i="8"/>
  <c r="N559" i="8"/>
  <c r="M559" i="8"/>
  <c r="L559" i="8"/>
  <c r="T558" i="8"/>
  <c r="S558" i="8"/>
  <c r="R558" i="8"/>
  <c r="Q558" i="8"/>
  <c r="P558" i="8"/>
  <c r="O558" i="8"/>
  <c r="N558" i="8"/>
  <c r="M558" i="8"/>
  <c r="L558" i="8"/>
  <c r="U558" i="8" s="1"/>
  <c r="T557" i="8"/>
  <c r="S557" i="8"/>
  <c r="R557" i="8"/>
  <c r="Q557" i="8"/>
  <c r="P557" i="8"/>
  <c r="O557" i="8"/>
  <c r="N557" i="8"/>
  <c r="M557" i="8"/>
  <c r="L557" i="8"/>
  <c r="T556" i="8"/>
  <c r="S556" i="8"/>
  <c r="R556" i="8"/>
  <c r="Q556" i="8"/>
  <c r="P556" i="8"/>
  <c r="O556" i="8"/>
  <c r="N556" i="8"/>
  <c r="M556" i="8"/>
  <c r="L556" i="8"/>
  <c r="U556" i="8" s="1"/>
  <c r="T555" i="8"/>
  <c r="S555" i="8"/>
  <c r="R555" i="8"/>
  <c r="Q555" i="8"/>
  <c r="P555" i="8"/>
  <c r="O555" i="8"/>
  <c r="N555" i="8"/>
  <c r="M555" i="8"/>
  <c r="L555" i="8"/>
  <c r="T554" i="8"/>
  <c r="S554" i="8"/>
  <c r="R554" i="8"/>
  <c r="Q554" i="8"/>
  <c r="P554" i="8"/>
  <c r="O554" i="8"/>
  <c r="N554" i="8"/>
  <c r="M554" i="8"/>
  <c r="L554" i="8"/>
  <c r="U554" i="8" s="1"/>
  <c r="T553" i="8"/>
  <c r="S553" i="8"/>
  <c r="R553" i="8"/>
  <c r="Q553" i="8"/>
  <c r="P553" i="8"/>
  <c r="O553" i="8"/>
  <c r="N553" i="8"/>
  <c r="M553" i="8"/>
  <c r="L553" i="8"/>
  <c r="T552" i="8"/>
  <c r="S552" i="8"/>
  <c r="R552" i="8"/>
  <c r="Q552" i="8"/>
  <c r="P552" i="8"/>
  <c r="O552" i="8"/>
  <c r="N552" i="8"/>
  <c r="M552" i="8"/>
  <c r="L552" i="8"/>
  <c r="U552" i="8" s="1"/>
  <c r="T551" i="8"/>
  <c r="S551" i="8"/>
  <c r="R551" i="8"/>
  <c r="Q551" i="8"/>
  <c r="P551" i="8"/>
  <c r="O551" i="8"/>
  <c r="N551" i="8"/>
  <c r="M551" i="8"/>
  <c r="L551" i="8"/>
  <c r="T550" i="8"/>
  <c r="S550" i="8"/>
  <c r="R550" i="8"/>
  <c r="Q550" i="8"/>
  <c r="P550" i="8"/>
  <c r="O550" i="8"/>
  <c r="N550" i="8"/>
  <c r="M550" i="8"/>
  <c r="L550" i="8"/>
  <c r="U550" i="8" s="1"/>
  <c r="T549" i="8"/>
  <c r="S549" i="8"/>
  <c r="R549" i="8"/>
  <c r="Q549" i="8"/>
  <c r="P549" i="8"/>
  <c r="O549" i="8"/>
  <c r="N549" i="8"/>
  <c r="M549" i="8"/>
  <c r="L549" i="8"/>
  <c r="T548" i="8"/>
  <c r="S548" i="8"/>
  <c r="R548" i="8"/>
  <c r="Q548" i="8"/>
  <c r="P548" i="8"/>
  <c r="O548" i="8"/>
  <c r="N548" i="8"/>
  <c r="M548" i="8"/>
  <c r="L548" i="8"/>
  <c r="U548" i="8" s="1"/>
  <c r="T547" i="8"/>
  <c r="S547" i="8"/>
  <c r="R547" i="8"/>
  <c r="Q547" i="8"/>
  <c r="P547" i="8"/>
  <c r="O547" i="8"/>
  <c r="N547" i="8"/>
  <c r="M547" i="8"/>
  <c r="L547" i="8"/>
  <c r="T546" i="8"/>
  <c r="S546" i="8"/>
  <c r="R546" i="8"/>
  <c r="Q546" i="8"/>
  <c r="P546" i="8"/>
  <c r="O546" i="8"/>
  <c r="N546" i="8"/>
  <c r="M546" i="8"/>
  <c r="L546" i="8"/>
  <c r="U546" i="8" s="1"/>
  <c r="T545" i="8"/>
  <c r="S545" i="8"/>
  <c r="R545" i="8"/>
  <c r="Q545" i="8"/>
  <c r="P545" i="8"/>
  <c r="O545" i="8"/>
  <c r="N545" i="8"/>
  <c r="M545" i="8"/>
  <c r="L545" i="8"/>
  <c r="T544" i="8"/>
  <c r="S544" i="8"/>
  <c r="R544" i="8"/>
  <c r="Q544" i="8"/>
  <c r="P544" i="8"/>
  <c r="O544" i="8"/>
  <c r="N544" i="8"/>
  <c r="M544" i="8"/>
  <c r="L544" i="8"/>
  <c r="U544" i="8" s="1"/>
  <c r="T543" i="8"/>
  <c r="S543" i="8"/>
  <c r="R543" i="8"/>
  <c r="Q543" i="8"/>
  <c r="P543" i="8"/>
  <c r="O543" i="8"/>
  <c r="N543" i="8"/>
  <c r="M543" i="8"/>
  <c r="L543" i="8"/>
  <c r="T542" i="8"/>
  <c r="S542" i="8"/>
  <c r="R542" i="8"/>
  <c r="Q542" i="8"/>
  <c r="P542" i="8"/>
  <c r="O542" i="8"/>
  <c r="N542" i="8"/>
  <c r="M542" i="8"/>
  <c r="L542" i="8"/>
  <c r="U542" i="8" s="1"/>
  <c r="T541" i="8"/>
  <c r="S541" i="8"/>
  <c r="R541" i="8"/>
  <c r="Q541" i="8"/>
  <c r="P541" i="8"/>
  <c r="O541" i="8"/>
  <c r="N541" i="8"/>
  <c r="M541" i="8"/>
  <c r="L541" i="8"/>
  <c r="T540" i="8"/>
  <c r="S540" i="8"/>
  <c r="R540" i="8"/>
  <c r="Q540" i="8"/>
  <c r="P540" i="8"/>
  <c r="O540" i="8"/>
  <c r="N540" i="8"/>
  <c r="M540" i="8"/>
  <c r="L540" i="8"/>
  <c r="U540" i="8" s="1"/>
  <c r="T539" i="8"/>
  <c r="S539" i="8"/>
  <c r="R539" i="8"/>
  <c r="Q539" i="8"/>
  <c r="P539" i="8"/>
  <c r="O539" i="8"/>
  <c r="N539" i="8"/>
  <c r="M539" i="8"/>
  <c r="L539" i="8"/>
  <c r="T538" i="8"/>
  <c r="S538" i="8"/>
  <c r="R538" i="8"/>
  <c r="Q538" i="8"/>
  <c r="P538" i="8"/>
  <c r="O538" i="8"/>
  <c r="N538" i="8"/>
  <c r="M538" i="8"/>
  <c r="L538" i="8"/>
  <c r="U538" i="8" s="1"/>
  <c r="T537" i="8"/>
  <c r="S537" i="8"/>
  <c r="R537" i="8"/>
  <c r="Q537" i="8"/>
  <c r="P537" i="8"/>
  <c r="O537" i="8"/>
  <c r="N537" i="8"/>
  <c r="M537" i="8"/>
  <c r="L537" i="8"/>
  <c r="T536" i="8"/>
  <c r="S536" i="8"/>
  <c r="R536" i="8"/>
  <c r="Q536" i="8"/>
  <c r="P536" i="8"/>
  <c r="O536" i="8"/>
  <c r="N536" i="8"/>
  <c r="M536" i="8"/>
  <c r="L536" i="8"/>
  <c r="U536" i="8" s="1"/>
  <c r="T535" i="8"/>
  <c r="S535" i="8"/>
  <c r="R535" i="8"/>
  <c r="Q535" i="8"/>
  <c r="P535" i="8"/>
  <c r="O535" i="8"/>
  <c r="N535" i="8"/>
  <c r="M535" i="8"/>
  <c r="L535" i="8"/>
  <c r="T534" i="8"/>
  <c r="S534" i="8"/>
  <c r="R534" i="8"/>
  <c r="Q534" i="8"/>
  <c r="P534" i="8"/>
  <c r="O534" i="8"/>
  <c r="N534" i="8"/>
  <c r="M534" i="8"/>
  <c r="L534" i="8"/>
  <c r="U534" i="8" s="1"/>
  <c r="T533" i="8"/>
  <c r="S533" i="8"/>
  <c r="R533" i="8"/>
  <c r="Q533" i="8"/>
  <c r="P533" i="8"/>
  <c r="O533" i="8"/>
  <c r="N533" i="8"/>
  <c r="M533" i="8"/>
  <c r="L533" i="8"/>
  <c r="T532" i="8"/>
  <c r="S532" i="8"/>
  <c r="R532" i="8"/>
  <c r="Q532" i="8"/>
  <c r="P532" i="8"/>
  <c r="O532" i="8"/>
  <c r="N532" i="8"/>
  <c r="M532" i="8"/>
  <c r="L532" i="8"/>
  <c r="U532" i="8" s="1"/>
  <c r="T531" i="8"/>
  <c r="S531" i="8"/>
  <c r="R531" i="8"/>
  <c r="Q531" i="8"/>
  <c r="P531" i="8"/>
  <c r="O531" i="8"/>
  <c r="N531" i="8"/>
  <c r="M531" i="8"/>
  <c r="L531" i="8"/>
  <c r="T530" i="8"/>
  <c r="S530" i="8"/>
  <c r="R530" i="8"/>
  <c r="Q530" i="8"/>
  <c r="P530" i="8"/>
  <c r="O530" i="8"/>
  <c r="N530" i="8"/>
  <c r="M530" i="8"/>
  <c r="L530" i="8"/>
  <c r="U530" i="8" s="1"/>
  <c r="T529" i="8"/>
  <c r="S529" i="8"/>
  <c r="R529" i="8"/>
  <c r="Q529" i="8"/>
  <c r="P529" i="8"/>
  <c r="O529" i="8"/>
  <c r="N529" i="8"/>
  <c r="M529" i="8"/>
  <c r="L529" i="8"/>
  <c r="T528" i="8"/>
  <c r="S528" i="8"/>
  <c r="R528" i="8"/>
  <c r="Q528" i="8"/>
  <c r="P528" i="8"/>
  <c r="O528" i="8"/>
  <c r="N528" i="8"/>
  <c r="M528" i="8"/>
  <c r="L528" i="8"/>
  <c r="U528" i="8" s="1"/>
  <c r="T527" i="8"/>
  <c r="S527" i="8"/>
  <c r="R527" i="8"/>
  <c r="Q527" i="8"/>
  <c r="P527" i="8"/>
  <c r="O527" i="8"/>
  <c r="N527" i="8"/>
  <c r="M527" i="8"/>
  <c r="L527" i="8"/>
  <c r="T526" i="8"/>
  <c r="S526" i="8"/>
  <c r="R526" i="8"/>
  <c r="Q526" i="8"/>
  <c r="P526" i="8"/>
  <c r="O526" i="8"/>
  <c r="N526" i="8"/>
  <c r="M526" i="8"/>
  <c r="L526" i="8"/>
  <c r="U526" i="8" s="1"/>
  <c r="T525" i="8"/>
  <c r="S525" i="8"/>
  <c r="R525" i="8"/>
  <c r="Q525" i="8"/>
  <c r="P525" i="8"/>
  <c r="O525" i="8"/>
  <c r="N525" i="8"/>
  <c r="M525" i="8"/>
  <c r="L525" i="8"/>
  <c r="T524" i="8"/>
  <c r="S524" i="8"/>
  <c r="R524" i="8"/>
  <c r="Q524" i="8"/>
  <c r="P524" i="8"/>
  <c r="O524" i="8"/>
  <c r="N524" i="8"/>
  <c r="M524" i="8"/>
  <c r="L524" i="8"/>
  <c r="U524" i="8" s="1"/>
  <c r="T523" i="8"/>
  <c r="S523" i="8"/>
  <c r="R523" i="8"/>
  <c r="Q523" i="8"/>
  <c r="P523" i="8"/>
  <c r="O523" i="8"/>
  <c r="N523" i="8"/>
  <c r="M523" i="8"/>
  <c r="L523" i="8"/>
  <c r="T522" i="8"/>
  <c r="S522" i="8"/>
  <c r="R522" i="8"/>
  <c r="Q522" i="8"/>
  <c r="P522" i="8"/>
  <c r="O522" i="8"/>
  <c r="N522" i="8"/>
  <c r="M522" i="8"/>
  <c r="L522" i="8"/>
  <c r="U522" i="8" s="1"/>
  <c r="T521" i="8"/>
  <c r="S521" i="8"/>
  <c r="R521" i="8"/>
  <c r="Q521" i="8"/>
  <c r="P521" i="8"/>
  <c r="O521" i="8"/>
  <c r="N521" i="8"/>
  <c r="M521" i="8"/>
  <c r="L521" i="8"/>
  <c r="T520" i="8"/>
  <c r="S520" i="8"/>
  <c r="R520" i="8"/>
  <c r="Q520" i="8"/>
  <c r="P520" i="8"/>
  <c r="O520" i="8"/>
  <c r="N520" i="8"/>
  <c r="M520" i="8"/>
  <c r="L520" i="8"/>
  <c r="U520" i="8" s="1"/>
  <c r="T519" i="8"/>
  <c r="S519" i="8"/>
  <c r="R519" i="8"/>
  <c r="Q519" i="8"/>
  <c r="P519" i="8"/>
  <c r="O519" i="8"/>
  <c r="N519" i="8"/>
  <c r="M519" i="8"/>
  <c r="L519" i="8"/>
  <c r="T518" i="8"/>
  <c r="S518" i="8"/>
  <c r="R518" i="8"/>
  <c r="Q518" i="8"/>
  <c r="P518" i="8"/>
  <c r="O518" i="8"/>
  <c r="N518" i="8"/>
  <c r="M518" i="8"/>
  <c r="L518" i="8"/>
  <c r="U518" i="8" s="1"/>
  <c r="T517" i="8"/>
  <c r="S517" i="8"/>
  <c r="R517" i="8"/>
  <c r="Q517" i="8"/>
  <c r="P517" i="8"/>
  <c r="O517" i="8"/>
  <c r="N517" i="8"/>
  <c r="M517" i="8"/>
  <c r="L517" i="8"/>
  <c r="T516" i="8"/>
  <c r="S516" i="8"/>
  <c r="R516" i="8"/>
  <c r="Q516" i="8"/>
  <c r="P516" i="8"/>
  <c r="O516" i="8"/>
  <c r="N516" i="8"/>
  <c r="M516" i="8"/>
  <c r="L516" i="8"/>
  <c r="U516" i="8" s="1"/>
  <c r="T515" i="8"/>
  <c r="S515" i="8"/>
  <c r="R515" i="8"/>
  <c r="Q515" i="8"/>
  <c r="P515" i="8"/>
  <c r="O515" i="8"/>
  <c r="N515" i="8"/>
  <c r="M515" i="8"/>
  <c r="L515" i="8"/>
  <c r="T514" i="8"/>
  <c r="S514" i="8"/>
  <c r="R514" i="8"/>
  <c r="Q514" i="8"/>
  <c r="P514" i="8"/>
  <c r="O514" i="8"/>
  <c r="N514" i="8"/>
  <c r="M514" i="8"/>
  <c r="L514" i="8"/>
  <c r="U514" i="8" s="1"/>
  <c r="T513" i="8"/>
  <c r="S513" i="8"/>
  <c r="R513" i="8"/>
  <c r="Q513" i="8"/>
  <c r="P513" i="8"/>
  <c r="O513" i="8"/>
  <c r="N513" i="8"/>
  <c r="M513" i="8"/>
  <c r="L513" i="8"/>
  <c r="T512" i="8"/>
  <c r="S512" i="8"/>
  <c r="R512" i="8"/>
  <c r="Q512" i="8"/>
  <c r="P512" i="8"/>
  <c r="O512" i="8"/>
  <c r="N512" i="8"/>
  <c r="M512" i="8"/>
  <c r="L512" i="8"/>
  <c r="U512" i="8" s="1"/>
  <c r="T511" i="8"/>
  <c r="S511" i="8"/>
  <c r="R511" i="8"/>
  <c r="Q511" i="8"/>
  <c r="P511" i="8"/>
  <c r="O511" i="8"/>
  <c r="N511" i="8"/>
  <c r="M511" i="8"/>
  <c r="L511" i="8"/>
  <c r="T510" i="8"/>
  <c r="S510" i="8"/>
  <c r="R510" i="8"/>
  <c r="Q510" i="8"/>
  <c r="P510" i="8"/>
  <c r="O510" i="8"/>
  <c r="N510" i="8"/>
  <c r="M510" i="8"/>
  <c r="L510" i="8"/>
  <c r="U510" i="8" s="1"/>
  <c r="T509" i="8"/>
  <c r="S509" i="8"/>
  <c r="R509" i="8"/>
  <c r="Q509" i="8"/>
  <c r="P509" i="8"/>
  <c r="O509" i="8"/>
  <c r="N509" i="8"/>
  <c r="M509" i="8"/>
  <c r="L509" i="8"/>
  <c r="T508" i="8"/>
  <c r="S508" i="8"/>
  <c r="R508" i="8"/>
  <c r="Q508" i="8"/>
  <c r="P508" i="8"/>
  <c r="O508" i="8"/>
  <c r="N508" i="8"/>
  <c r="M508" i="8"/>
  <c r="L508" i="8"/>
  <c r="U508" i="8" s="1"/>
  <c r="T507" i="8"/>
  <c r="S507" i="8"/>
  <c r="R507" i="8"/>
  <c r="Q507" i="8"/>
  <c r="P507" i="8"/>
  <c r="O507" i="8"/>
  <c r="N507" i="8"/>
  <c r="M507" i="8"/>
  <c r="L507" i="8"/>
  <c r="T506" i="8"/>
  <c r="S506" i="8"/>
  <c r="R506" i="8"/>
  <c r="Q506" i="8"/>
  <c r="P506" i="8"/>
  <c r="O506" i="8"/>
  <c r="N506" i="8"/>
  <c r="M506" i="8"/>
  <c r="L506" i="8"/>
  <c r="U506" i="8" s="1"/>
  <c r="T505" i="8"/>
  <c r="S505" i="8"/>
  <c r="R505" i="8"/>
  <c r="Q505" i="8"/>
  <c r="P505" i="8"/>
  <c r="O505" i="8"/>
  <c r="N505" i="8"/>
  <c r="M505" i="8"/>
  <c r="L505" i="8"/>
  <c r="T504" i="8"/>
  <c r="S504" i="8"/>
  <c r="R504" i="8"/>
  <c r="Q504" i="8"/>
  <c r="P504" i="8"/>
  <c r="O504" i="8"/>
  <c r="N504" i="8"/>
  <c r="M504" i="8"/>
  <c r="L504" i="8"/>
  <c r="U504" i="8" s="1"/>
  <c r="T503" i="8"/>
  <c r="S503" i="8"/>
  <c r="R503" i="8"/>
  <c r="Q503" i="8"/>
  <c r="P503" i="8"/>
  <c r="O503" i="8"/>
  <c r="N503" i="8"/>
  <c r="M503" i="8"/>
  <c r="L503" i="8"/>
  <c r="T502" i="8"/>
  <c r="S502" i="8"/>
  <c r="R502" i="8"/>
  <c r="Q502" i="8"/>
  <c r="P502" i="8"/>
  <c r="O502" i="8"/>
  <c r="N502" i="8"/>
  <c r="M502" i="8"/>
  <c r="L502" i="8"/>
  <c r="U502" i="8" s="1"/>
  <c r="T501" i="8"/>
  <c r="S501" i="8"/>
  <c r="R501" i="8"/>
  <c r="Q501" i="8"/>
  <c r="P501" i="8"/>
  <c r="O501" i="8"/>
  <c r="N501" i="8"/>
  <c r="M501" i="8"/>
  <c r="L501" i="8"/>
  <c r="T500" i="8"/>
  <c r="S500" i="8"/>
  <c r="R500" i="8"/>
  <c r="Q500" i="8"/>
  <c r="P500" i="8"/>
  <c r="O500" i="8"/>
  <c r="N500" i="8"/>
  <c r="M500" i="8"/>
  <c r="L500" i="8"/>
  <c r="U500" i="8" s="1"/>
  <c r="T499" i="8"/>
  <c r="S499" i="8"/>
  <c r="R499" i="8"/>
  <c r="Q499" i="8"/>
  <c r="P499" i="8"/>
  <c r="O499" i="8"/>
  <c r="N499" i="8"/>
  <c r="M499" i="8"/>
  <c r="L499" i="8"/>
  <c r="T498" i="8"/>
  <c r="S498" i="8"/>
  <c r="R498" i="8"/>
  <c r="Q498" i="8"/>
  <c r="P498" i="8"/>
  <c r="O498" i="8"/>
  <c r="N498" i="8"/>
  <c r="M498" i="8"/>
  <c r="L498" i="8"/>
  <c r="U498" i="8" s="1"/>
  <c r="T497" i="8"/>
  <c r="S497" i="8"/>
  <c r="R497" i="8"/>
  <c r="Q497" i="8"/>
  <c r="P497" i="8"/>
  <c r="O497" i="8"/>
  <c r="N497" i="8"/>
  <c r="M497" i="8"/>
  <c r="L497" i="8"/>
  <c r="T496" i="8"/>
  <c r="S496" i="8"/>
  <c r="R496" i="8"/>
  <c r="Q496" i="8"/>
  <c r="P496" i="8"/>
  <c r="O496" i="8"/>
  <c r="N496" i="8"/>
  <c r="M496" i="8"/>
  <c r="L496" i="8"/>
  <c r="U496" i="8" s="1"/>
  <c r="T495" i="8"/>
  <c r="S495" i="8"/>
  <c r="R495" i="8"/>
  <c r="Q495" i="8"/>
  <c r="P495" i="8"/>
  <c r="O495" i="8"/>
  <c r="N495" i="8"/>
  <c r="M495" i="8"/>
  <c r="L495" i="8"/>
  <c r="T494" i="8"/>
  <c r="S494" i="8"/>
  <c r="R494" i="8"/>
  <c r="Q494" i="8"/>
  <c r="P494" i="8"/>
  <c r="O494" i="8"/>
  <c r="N494" i="8"/>
  <c r="M494" i="8"/>
  <c r="L494" i="8"/>
  <c r="U494" i="8" s="1"/>
  <c r="T493" i="8"/>
  <c r="S493" i="8"/>
  <c r="R493" i="8"/>
  <c r="Q493" i="8"/>
  <c r="P493" i="8"/>
  <c r="O493" i="8"/>
  <c r="N493" i="8"/>
  <c r="M493" i="8"/>
  <c r="L493" i="8"/>
  <c r="T492" i="8"/>
  <c r="S492" i="8"/>
  <c r="R492" i="8"/>
  <c r="Q492" i="8"/>
  <c r="P492" i="8"/>
  <c r="O492" i="8"/>
  <c r="N492" i="8"/>
  <c r="M492" i="8"/>
  <c r="L492" i="8"/>
  <c r="U492" i="8" s="1"/>
  <c r="T491" i="8"/>
  <c r="S491" i="8"/>
  <c r="R491" i="8"/>
  <c r="Q491" i="8"/>
  <c r="P491" i="8"/>
  <c r="O491" i="8"/>
  <c r="N491" i="8"/>
  <c r="M491" i="8"/>
  <c r="L491" i="8"/>
  <c r="T490" i="8"/>
  <c r="S490" i="8"/>
  <c r="R490" i="8"/>
  <c r="Q490" i="8"/>
  <c r="P490" i="8"/>
  <c r="O490" i="8"/>
  <c r="N490" i="8"/>
  <c r="M490" i="8"/>
  <c r="L490" i="8"/>
  <c r="U490" i="8" s="1"/>
  <c r="T489" i="8"/>
  <c r="S489" i="8"/>
  <c r="R489" i="8"/>
  <c r="Q489" i="8"/>
  <c r="P489" i="8"/>
  <c r="O489" i="8"/>
  <c r="N489" i="8"/>
  <c r="M489" i="8"/>
  <c r="L489" i="8"/>
  <c r="T488" i="8"/>
  <c r="S488" i="8"/>
  <c r="R488" i="8"/>
  <c r="Q488" i="8"/>
  <c r="P488" i="8"/>
  <c r="O488" i="8"/>
  <c r="N488" i="8"/>
  <c r="M488" i="8"/>
  <c r="L488" i="8"/>
  <c r="U488" i="8" s="1"/>
  <c r="T487" i="8"/>
  <c r="S487" i="8"/>
  <c r="R487" i="8"/>
  <c r="Q487" i="8"/>
  <c r="P487" i="8"/>
  <c r="O487" i="8"/>
  <c r="N487" i="8"/>
  <c r="M487" i="8"/>
  <c r="L487" i="8"/>
  <c r="T486" i="8"/>
  <c r="S486" i="8"/>
  <c r="R486" i="8"/>
  <c r="Q486" i="8"/>
  <c r="P486" i="8"/>
  <c r="O486" i="8"/>
  <c r="N486" i="8"/>
  <c r="M486" i="8"/>
  <c r="L486" i="8"/>
  <c r="U486" i="8" s="1"/>
  <c r="T485" i="8"/>
  <c r="S485" i="8"/>
  <c r="R485" i="8"/>
  <c r="Q485" i="8"/>
  <c r="P485" i="8"/>
  <c r="O485" i="8"/>
  <c r="N485" i="8"/>
  <c r="M485" i="8"/>
  <c r="L485" i="8"/>
  <c r="T484" i="8"/>
  <c r="S484" i="8"/>
  <c r="R484" i="8"/>
  <c r="Q484" i="8"/>
  <c r="P484" i="8"/>
  <c r="O484" i="8"/>
  <c r="N484" i="8"/>
  <c r="M484" i="8"/>
  <c r="L484" i="8"/>
  <c r="U484" i="8" s="1"/>
  <c r="T483" i="8"/>
  <c r="S483" i="8"/>
  <c r="R483" i="8"/>
  <c r="Q483" i="8"/>
  <c r="P483" i="8"/>
  <c r="O483" i="8"/>
  <c r="N483" i="8"/>
  <c r="M483" i="8"/>
  <c r="L483" i="8"/>
  <c r="T482" i="8"/>
  <c r="S482" i="8"/>
  <c r="R482" i="8"/>
  <c r="Q482" i="8"/>
  <c r="P482" i="8"/>
  <c r="O482" i="8"/>
  <c r="N482" i="8"/>
  <c r="M482" i="8"/>
  <c r="L482" i="8"/>
  <c r="U482" i="8" s="1"/>
  <c r="T481" i="8"/>
  <c r="S481" i="8"/>
  <c r="R481" i="8"/>
  <c r="Q481" i="8"/>
  <c r="P481" i="8"/>
  <c r="O481" i="8"/>
  <c r="N481" i="8"/>
  <c r="M481" i="8"/>
  <c r="L481" i="8"/>
  <c r="T480" i="8"/>
  <c r="S480" i="8"/>
  <c r="R480" i="8"/>
  <c r="Q480" i="8"/>
  <c r="P480" i="8"/>
  <c r="O480" i="8"/>
  <c r="N480" i="8"/>
  <c r="M480" i="8"/>
  <c r="L480" i="8"/>
  <c r="U480" i="8" s="1"/>
  <c r="T479" i="8"/>
  <c r="S479" i="8"/>
  <c r="R479" i="8"/>
  <c r="Q479" i="8"/>
  <c r="P479" i="8"/>
  <c r="O479" i="8"/>
  <c r="N479" i="8"/>
  <c r="M479" i="8"/>
  <c r="L479" i="8"/>
  <c r="T478" i="8"/>
  <c r="S478" i="8"/>
  <c r="R478" i="8"/>
  <c r="Q478" i="8"/>
  <c r="P478" i="8"/>
  <c r="O478" i="8"/>
  <c r="N478" i="8"/>
  <c r="M478" i="8"/>
  <c r="L478" i="8"/>
  <c r="U478" i="8" s="1"/>
  <c r="T477" i="8"/>
  <c r="S477" i="8"/>
  <c r="R477" i="8"/>
  <c r="Q477" i="8"/>
  <c r="P477" i="8"/>
  <c r="O477" i="8"/>
  <c r="N477" i="8"/>
  <c r="M477" i="8"/>
  <c r="L477" i="8"/>
  <c r="T476" i="8"/>
  <c r="S476" i="8"/>
  <c r="R476" i="8"/>
  <c r="Q476" i="8"/>
  <c r="P476" i="8"/>
  <c r="O476" i="8"/>
  <c r="N476" i="8"/>
  <c r="M476" i="8"/>
  <c r="L476" i="8"/>
  <c r="U476" i="8" s="1"/>
  <c r="T475" i="8"/>
  <c r="S475" i="8"/>
  <c r="R475" i="8"/>
  <c r="Q475" i="8"/>
  <c r="P475" i="8"/>
  <c r="O475" i="8"/>
  <c r="N475" i="8"/>
  <c r="M475" i="8"/>
  <c r="L475" i="8"/>
  <c r="T474" i="8"/>
  <c r="S474" i="8"/>
  <c r="R474" i="8"/>
  <c r="Q474" i="8"/>
  <c r="P474" i="8"/>
  <c r="O474" i="8"/>
  <c r="N474" i="8"/>
  <c r="M474" i="8"/>
  <c r="L474" i="8"/>
  <c r="U474" i="8" s="1"/>
  <c r="T473" i="8"/>
  <c r="S473" i="8"/>
  <c r="R473" i="8"/>
  <c r="Q473" i="8"/>
  <c r="P473" i="8"/>
  <c r="O473" i="8"/>
  <c r="N473" i="8"/>
  <c r="M473" i="8"/>
  <c r="L473" i="8"/>
  <c r="T472" i="8"/>
  <c r="S472" i="8"/>
  <c r="R472" i="8"/>
  <c r="Q472" i="8"/>
  <c r="P472" i="8"/>
  <c r="O472" i="8"/>
  <c r="N472" i="8"/>
  <c r="M472" i="8"/>
  <c r="L472" i="8"/>
  <c r="U472" i="8" s="1"/>
  <c r="T471" i="8"/>
  <c r="S471" i="8"/>
  <c r="R471" i="8"/>
  <c r="Q471" i="8"/>
  <c r="P471" i="8"/>
  <c r="O471" i="8"/>
  <c r="N471" i="8"/>
  <c r="M471" i="8"/>
  <c r="L471" i="8"/>
  <c r="T470" i="8"/>
  <c r="S470" i="8"/>
  <c r="R470" i="8"/>
  <c r="Q470" i="8"/>
  <c r="P470" i="8"/>
  <c r="O470" i="8"/>
  <c r="N470" i="8"/>
  <c r="M470" i="8"/>
  <c r="L470" i="8"/>
  <c r="U470" i="8" s="1"/>
  <c r="T469" i="8"/>
  <c r="S469" i="8"/>
  <c r="R469" i="8"/>
  <c r="Q469" i="8"/>
  <c r="P469" i="8"/>
  <c r="O469" i="8"/>
  <c r="N469" i="8"/>
  <c r="M469" i="8"/>
  <c r="L469" i="8"/>
  <c r="T468" i="8"/>
  <c r="S468" i="8"/>
  <c r="R468" i="8"/>
  <c r="Q468" i="8"/>
  <c r="P468" i="8"/>
  <c r="O468" i="8"/>
  <c r="N468" i="8"/>
  <c r="M468" i="8"/>
  <c r="L468" i="8"/>
  <c r="U468" i="8" s="1"/>
  <c r="T467" i="8"/>
  <c r="S467" i="8"/>
  <c r="R467" i="8"/>
  <c r="Q467" i="8"/>
  <c r="P467" i="8"/>
  <c r="O467" i="8"/>
  <c r="N467" i="8"/>
  <c r="M467" i="8"/>
  <c r="L467" i="8"/>
  <c r="T466" i="8"/>
  <c r="S466" i="8"/>
  <c r="R466" i="8"/>
  <c r="Q466" i="8"/>
  <c r="P466" i="8"/>
  <c r="O466" i="8"/>
  <c r="N466" i="8"/>
  <c r="M466" i="8"/>
  <c r="L466" i="8"/>
  <c r="U466" i="8" s="1"/>
  <c r="T465" i="8"/>
  <c r="S465" i="8"/>
  <c r="R465" i="8"/>
  <c r="Q465" i="8"/>
  <c r="P465" i="8"/>
  <c r="O465" i="8"/>
  <c r="N465" i="8"/>
  <c r="M465" i="8"/>
  <c r="L465" i="8"/>
  <c r="T464" i="8"/>
  <c r="S464" i="8"/>
  <c r="R464" i="8"/>
  <c r="Q464" i="8"/>
  <c r="P464" i="8"/>
  <c r="O464" i="8"/>
  <c r="N464" i="8"/>
  <c r="M464" i="8"/>
  <c r="L464" i="8"/>
  <c r="U464" i="8" s="1"/>
  <c r="T463" i="8"/>
  <c r="S463" i="8"/>
  <c r="R463" i="8"/>
  <c r="Q463" i="8"/>
  <c r="P463" i="8"/>
  <c r="O463" i="8"/>
  <c r="N463" i="8"/>
  <c r="M463" i="8"/>
  <c r="L463" i="8"/>
  <c r="T462" i="8"/>
  <c r="S462" i="8"/>
  <c r="R462" i="8"/>
  <c r="Q462" i="8"/>
  <c r="P462" i="8"/>
  <c r="O462" i="8"/>
  <c r="N462" i="8"/>
  <c r="M462" i="8"/>
  <c r="L462" i="8"/>
  <c r="U462" i="8" s="1"/>
  <c r="T461" i="8"/>
  <c r="S461" i="8"/>
  <c r="R461" i="8"/>
  <c r="Q461" i="8"/>
  <c r="P461" i="8"/>
  <c r="O461" i="8"/>
  <c r="N461" i="8"/>
  <c r="M461" i="8"/>
  <c r="L461" i="8"/>
  <c r="T460" i="8"/>
  <c r="S460" i="8"/>
  <c r="R460" i="8"/>
  <c r="Q460" i="8"/>
  <c r="P460" i="8"/>
  <c r="O460" i="8"/>
  <c r="N460" i="8"/>
  <c r="M460" i="8"/>
  <c r="L460" i="8"/>
  <c r="U460" i="8" s="1"/>
  <c r="T459" i="8"/>
  <c r="S459" i="8"/>
  <c r="R459" i="8"/>
  <c r="Q459" i="8"/>
  <c r="P459" i="8"/>
  <c r="O459" i="8"/>
  <c r="N459" i="8"/>
  <c r="M459" i="8"/>
  <c r="L459" i="8"/>
  <c r="T458" i="8"/>
  <c r="S458" i="8"/>
  <c r="R458" i="8"/>
  <c r="Q458" i="8"/>
  <c r="P458" i="8"/>
  <c r="O458" i="8"/>
  <c r="N458" i="8"/>
  <c r="M458" i="8"/>
  <c r="L458" i="8"/>
  <c r="U458" i="8" s="1"/>
  <c r="T457" i="8"/>
  <c r="S457" i="8"/>
  <c r="R457" i="8"/>
  <c r="Q457" i="8"/>
  <c r="P457" i="8"/>
  <c r="O457" i="8"/>
  <c r="N457" i="8"/>
  <c r="M457" i="8"/>
  <c r="L457" i="8"/>
  <c r="T456" i="8"/>
  <c r="S456" i="8"/>
  <c r="R456" i="8"/>
  <c r="Q456" i="8"/>
  <c r="P456" i="8"/>
  <c r="O456" i="8"/>
  <c r="N456" i="8"/>
  <c r="M456" i="8"/>
  <c r="L456" i="8"/>
  <c r="U456" i="8" s="1"/>
  <c r="T455" i="8"/>
  <c r="S455" i="8"/>
  <c r="R455" i="8"/>
  <c r="Q455" i="8"/>
  <c r="P455" i="8"/>
  <c r="O455" i="8"/>
  <c r="N455" i="8"/>
  <c r="M455" i="8"/>
  <c r="L455" i="8"/>
  <c r="T454" i="8"/>
  <c r="S454" i="8"/>
  <c r="R454" i="8"/>
  <c r="Q454" i="8"/>
  <c r="P454" i="8"/>
  <c r="O454" i="8"/>
  <c r="N454" i="8"/>
  <c r="M454" i="8"/>
  <c r="L454" i="8"/>
  <c r="U454" i="8" s="1"/>
  <c r="T453" i="8"/>
  <c r="S453" i="8"/>
  <c r="R453" i="8"/>
  <c r="Q453" i="8"/>
  <c r="P453" i="8"/>
  <c r="O453" i="8"/>
  <c r="N453" i="8"/>
  <c r="M453" i="8"/>
  <c r="L453" i="8"/>
  <c r="T452" i="8"/>
  <c r="S452" i="8"/>
  <c r="R452" i="8"/>
  <c r="Q452" i="8"/>
  <c r="P452" i="8"/>
  <c r="O452" i="8"/>
  <c r="N452" i="8"/>
  <c r="M452" i="8"/>
  <c r="L452" i="8"/>
  <c r="U452" i="8" s="1"/>
  <c r="T451" i="8"/>
  <c r="S451" i="8"/>
  <c r="R451" i="8"/>
  <c r="Q451" i="8"/>
  <c r="P451" i="8"/>
  <c r="O451" i="8"/>
  <c r="N451" i="8"/>
  <c r="M451" i="8"/>
  <c r="L451" i="8"/>
  <c r="T450" i="8"/>
  <c r="S450" i="8"/>
  <c r="R450" i="8"/>
  <c r="Q450" i="8"/>
  <c r="P450" i="8"/>
  <c r="O450" i="8"/>
  <c r="N450" i="8"/>
  <c r="M450" i="8"/>
  <c r="L450" i="8"/>
  <c r="U450" i="8" s="1"/>
  <c r="T449" i="8"/>
  <c r="S449" i="8"/>
  <c r="R449" i="8"/>
  <c r="Q449" i="8"/>
  <c r="P449" i="8"/>
  <c r="O449" i="8"/>
  <c r="N449" i="8"/>
  <c r="M449" i="8"/>
  <c r="L449" i="8"/>
  <c r="T448" i="8"/>
  <c r="S448" i="8"/>
  <c r="R448" i="8"/>
  <c r="Q448" i="8"/>
  <c r="P448" i="8"/>
  <c r="O448" i="8"/>
  <c r="N448" i="8"/>
  <c r="M448" i="8"/>
  <c r="L448" i="8"/>
  <c r="U448" i="8" s="1"/>
  <c r="T447" i="8"/>
  <c r="S447" i="8"/>
  <c r="R447" i="8"/>
  <c r="Q447" i="8"/>
  <c r="P447" i="8"/>
  <c r="O447" i="8"/>
  <c r="N447" i="8"/>
  <c r="M447" i="8"/>
  <c r="L447" i="8"/>
  <c r="T446" i="8"/>
  <c r="S446" i="8"/>
  <c r="R446" i="8"/>
  <c r="Q446" i="8"/>
  <c r="P446" i="8"/>
  <c r="O446" i="8"/>
  <c r="N446" i="8"/>
  <c r="M446" i="8"/>
  <c r="L446" i="8"/>
  <c r="U446" i="8" s="1"/>
  <c r="T445" i="8"/>
  <c r="S445" i="8"/>
  <c r="R445" i="8"/>
  <c r="Q445" i="8"/>
  <c r="P445" i="8"/>
  <c r="O445" i="8"/>
  <c r="N445" i="8"/>
  <c r="M445" i="8"/>
  <c r="L445" i="8"/>
  <c r="T444" i="8"/>
  <c r="S444" i="8"/>
  <c r="R444" i="8"/>
  <c r="Q444" i="8"/>
  <c r="P444" i="8"/>
  <c r="O444" i="8"/>
  <c r="N444" i="8"/>
  <c r="M444" i="8"/>
  <c r="L444" i="8"/>
  <c r="U444" i="8" s="1"/>
  <c r="T443" i="8"/>
  <c r="S443" i="8"/>
  <c r="R443" i="8"/>
  <c r="Q443" i="8"/>
  <c r="P443" i="8"/>
  <c r="O443" i="8"/>
  <c r="N443" i="8"/>
  <c r="M443" i="8"/>
  <c r="L443" i="8"/>
  <c r="T442" i="8"/>
  <c r="S442" i="8"/>
  <c r="R442" i="8"/>
  <c r="Q442" i="8"/>
  <c r="P442" i="8"/>
  <c r="O442" i="8"/>
  <c r="N442" i="8"/>
  <c r="M442" i="8"/>
  <c r="L442" i="8"/>
  <c r="U442" i="8" s="1"/>
  <c r="T441" i="8"/>
  <c r="S441" i="8"/>
  <c r="R441" i="8"/>
  <c r="Q441" i="8"/>
  <c r="P441" i="8"/>
  <c r="O441" i="8"/>
  <c r="N441" i="8"/>
  <c r="M441" i="8"/>
  <c r="L441" i="8"/>
  <c r="T440" i="8"/>
  <c r="S440" i="8"/>
  <c r="R440" i="8"/>
  <c r="Q440" i="8"/>
  <c r="P440" i="8"/>
  <c r="O440" i="8"/>
  <c r="N440" i="8"/>
  <c r="M440" i="8"/>
  <c r="L440" i="8"/>
  <c r="U440" i="8" s="1"/>
  <c r="T439" i="8"/>
  <c r="S439" i="8"/>
  <c r="R439" i="8"/>
  <c r="Q439" i="8"/>
  <c r="P439" i="8"/>
  <c r="O439" i="8"/>
  <c r="N439" i="8"/>
  <c r="M439" i="8"/>
  <c r="L439" i="8"/>
  <c r="T438" i="8"/>
  <c r="S438" i="8"/>
  <c r="R438" i="8"/>
  <c r="Q438" i="8"/>
  <c r="P438" i="8"/>
  <c r="O438" i="8"/>
  <c r="N438" i="8"/>
  <c r="M438" i="8"/>
  <c r="L438" i="8"/>
  <c r="U438" i="8" s="1"/>
  <c r="T437" i="8"/>
  <c r="S437" i="8"/>
  <c r="R437" i="8"/>
  <c r="Q437" i="8"/>
  <c r="P437" i="8"/>
  <c r="O437" i="8"/>
  <c r="N437" i="8"/>
  <c r="M437" i="8"/>
  <c r="L437" i="8"/>
  <c r="T436" i="8"/>
  <c r="S436" i="8"/>
  <c r="R436" i="8"/>
  <c r="Q436" i="8"/>
  <c r="P436" i="8"/>
  <c r="O436" i="8"/>
  <c r="N436" i="8"/>
  <c r="M436" i="8"/>
  <c r="L436" i="8"/>
  <c r="U436" i="8" s="1"/>
  <c r="T435" i="8"/>
  <c r="S435" i="8"/>
  <c r="R435" i="8"/>
  <c r="Q435" i="8"/>
  <c r="P435" i="8"/>
  <c r="O435" i="8"/>
  <c r="N435" i="8"/>
  <c r="M435" i="8"/>
  <c r="L435" i="8"/>
  <c r="T434" i="8"/>
  <c r="S434" i="8"/>
  <c r="R434" i="8"/>
  <c r="Q434" i="8"/>
  <c r="P434" i="8"/>
  <c r="O434" i="8"/>
  <c r="N434" i="8"/>
  <c r="M434" i="8"/>
  <c r="L434" i="8"/>
  <c r="U434" i="8" s="1"/>
  <c r="T433" i="8"/>
  <c r="S433" i="8"/>
  <c r="R433" i="8"/>
  <c r="Q433" i="8"/>
  <c r="P433" i="8"/>
  <c r="O433" i="8"/>
  <c r="N433" i="8"/>
  <c r="M433" i="8"/>
  <c r="L433" i="8"/>
  <c r="T432" i="8"/>
  <c r="S432" i="8"/>
  <c r="R432" i="8"/>
  <c r="Q432" i="8"/>
  <c r="P432" i="8"/>
  <c r="O432" i="8"/>
  <c r="N432" i="8"/>
  <c r="M432" i="8"/>
  <c r="L432" i="8"/>
  <c r="U432" i="8" s="1"/>
  <c r="T431" i="8"/>
  <c r="S431" i="8"/>
  <c r="R431" i="8"/>
  <c r="Q431" i="8"/>
  <c r="P431" i="8"/>
  <c r="O431" i="8"/>
  <c r="N431" i="8"/>
  <c r="M431" i="8"/>
  <c r="L431" i="8"/>
  <c r="T430" i="8"/>
  <c r="S430" i="8"/>
  <c r="R430" i="8"/>
  <c r="Q430" i="8"/>
  <c r="P430" i="8"/>
  <c r="O430" i="8"/>
  <c r="N430" i="8"/>
  <c r="M430" i="8"/>
  <c r="L430" i="8"/>
  <c r="U430" i="8" s="1"/>
  <c r="T429" i="8"/>
  <c r="S429" i="8"/>
  <c r="R429" i="8"/>
  <c r="Q429" i="8"/>
  <c r="P429" i="8"/>
  <c r="O429" i="8"/>
  <c r="N429" i="8"/>
  <c r="M429" i="8"/>
  <c r="L429" i="8"/>
  <c r="T428" i="8"/>
  <c r="S428" i="8"/>
  <c r="R428" i="8"/>
  <c r="Q428" i="8"/>
  <c r="P428" i="8"/>
  <c r="O428" i="8"/>
  <c r="N428" i="8"/>
  <c r="M428" i="8"/>
  <c r="L428" i="8"/>
  <c r="U428" i="8" s="1"/>
  <c r="T427" i="8"/>
  <c r="S427" i="8"/>
  <c r="R427" i="8"/>
  <c r="Q427" i="8"/>
  <c r="P427" i="8"/>
  <c r="O427" i="8"/>
  <c r="N427" i="8"/>
  <c r="M427" i="8"/>
  <c r="L427" i="8"/>
  <c r="T426" i="8"/>
  <c r="S426" i="8"/>
  <c r="R426" i="8"/>
  <c r="Q426" i="8"/>
  <c r="P426" i="8"/>
  <c r="O426" i="8"/>
  <c r="N426" i="8"/>
  <c r="M426" i="8"/>
  <c r="L426" i="8"/>
  <c r="U426" i="8" s="1"/>
  <c r="T425" i="8"/>
  <c r="S425" i="8"/>
  <c r="R425" i="8"/>
  <c r="Q425" i="8"/>
  <c r="P425" i="8"/>
  <c r="O425" i="8"/>
  <c r="N425" i="8"/>
  <c r="M425" i="8"/>
  <c r="L425" i="8"/>
  <c r="T424" i="8"/>
  <c r="S424" i="8"/>
  <c r="R424" i="8"/>
  <c r="Q424" i="8"/>
  <c r="P424" i="8"/>
  <c r="O424" i="8"/>
  <c r="N424" i="8"/>
  <c r="M424" i="8"/>
  <c r="L424" i="8"/>
  <c r="U424" i="8" s="1"/>
  <c r="T423" i="8"/>
  <c r="S423" i="8"/>
  <c r="R423" i="8"/>
  <c r="Q423" i="8"/>
  <c r="P423" i="8"/>
  <c r="O423" i="8"/>
  <c r="N423" i="8"/>
  <c r="M423" i="8"/>
  <c r="L423" i="8"/>
  <c r="T422" i="8"/>
  <c r="S422" i="8"/>
  <c r="R422" i="8"/>
  <c r="Q422" i="8"/>
  <c r="P422" i="8"/>
  <c r="O422" i="8"/>
  <c r="N422" i="8"/>
  <c r="M422" i="8"/>
  <c r="L422" i="8"/>
  <c r="U422" i="8" s="1"/>
  <c r="T421" i="8"/>
  <c r="S421" i="8"/>
  <c r="R421" i="8"/>
  <c r="Q421" i="8"/>
  <c r="P421" i="8"/>
  <c r="O421" i="8"/>
  <c r="N421" i="8"/>
  <c r="M421" i="8"/>
  <c r="L421" i="8"/>
  <c r="T420" i="8"/>
  <c r="S420" i="8"/>
  <c r="R420" i="8"/>
  <c r="Q420" i="8"/>
  <c r="P420" i="8"/>
  <c r="O420" i="8"/>
  <c r="N420" i="8"/>
  <c r="M420" i="8"/>
  <c r="L420" i="8"/>
  <c r="U420" i="8" s="1"/>
  <c r="T419" i="8"/>
  <c r="S419" i="8"/>
  <c r="R419" i="8"/>
  <c r="Q419" i="8"/>
  <c r="P419" i="8"/>
  <c r="O419" i="8"/>
  <c r="N419" i="8"/>
  <c r="M419" i="8"/>
  <c r="L419" i="8"/>
  <c r="T418" i="8"/>
  <c r="S418" i="8"/>
  <c r="R418" i="8"/>
  <c r="Q418" i="8"/>
  <c r="P418" i="8"/>
  <c r="O418" i="8"/>
  <c r="N418" i="8"/>
  <c r="M418" i="8"/>
  <c r="L418" i="8"/>
  <c r="U418" i="8" s="1"/>
  <c r="T417" i="8"/>
  <c r="S417" i="8"/>
  <c r="R417" i="8"/>
  <c r="Q417" i="8"/>
  <c r="P417" i="8"/>
  <c r="O417" i="8"/>
  <c r="N417" i="8"/>
  <c r="M417" i="8"/>
  <c r="L417" i="8"/>
  <c r="T416" i="8"/>
  <c r="S416" i="8"/>
  <c r="R416" i="8"/>
  <c r="Q416" i="8"/>
  <c r="P416" i="8"/>
  <c r="O416" i="8"/>
  <c r="N416" i="8"/>
  <c r="M416" i="8"/>
  <c r="L416" i="8"/>
  <c r="U416" i="8" s="1"/>
  <c r="T415" i="8"/>
  <c r="S415" i="8"/>
  <c r="R415" i="8"/>
  <c r="Q415" i="8"/>
  <c r="P415" i="8"/>
  <c r="O415" i="8"/>
  <c r="N415" i="8"/>
  <c r="M415" i="8"/>
  <c r="L415" i="8"/>
  <c r="T414" i="8"/>
  <c r="S414" i="8"/>
  <c r="R414" i="8"/>
  <c r="Q414" i="8"/>
  <c r="P414" i="8"/>
  <c r="O414" i="8"/>
  <c r="N414" i="8"/>
  <c r="M414" i="8"/>
  <c r="L414" i="8"/>
  <c r="U414" i="8" s="1"/>
  <c r="T413" i="8"/>
  <c r="S413" i="8"/>
  <c r="R413" i="8"/>
  <c r="Q413" i="8"/>
  <c r="P413" i="8"/>
  <c r="O413" i="8"/>
  <c r="N413" i="8"/>
  <c r="M413" i="8"/>
  <c r="L413" i="8"/>
  <c r="T412" i="8"/>
  <c r="S412" i="8"/>
  <c r="R412" i="8"/>
  <c r="Q412" i="8"/>
  <c r="P412" i="8"/>
  <c r="O412" i="8"/>
  <c r="N412" i="8"/>
  <c r="M412" i="8"/>
  <c r="L412" i="8"/>
  <c r="U412" i="8" s="1"/>
  <c r="T411" i="8"/>
  <c r="S411" i="8"/>
  <c r="R411" i="8"/>
  <c r="Q411" i="8"/>
  <c r="P411" i="8"/>
  <c r="O411" i="8"/>
  <c r="N411" i="8"/>
  <c r="M411" i="8"/>
  <c r="L411" i="8"/>
  <c r="T410" i="8"/>
  <c r="S410" i="8"/>
  <c r="R410" i="8"/>
  <c r="Q410" i="8"/>
  <c r="P410" i="8"/>
  <c r="O410" i="8"/>
  <c r="N410" i="8"/>
  <c r="M410" i="8"/>
  <c r="L410" i="8"/>
  <c r="U410" i="8" s="1"/>
  <c r="T409" i="8"/>
  <c r="S409" i="8"/>
  <c r="R409" i="8"/>
  <c r="Q409" i="8"/>
  <c r="P409" i="8"/>
  <c r="O409" i="8"/>
  <c r="N409" i="8"/>
  <c r="M409" i="8"/>
  <c r="L409" i="8"/>
  <c r="T408" i="8"/>
  <c r="S408" i="8"/>
  <c r="R408" i="8"/>
  <c r="Q408" i="8"/>
  <c r="P408" i="8"/>
  <c r="O408" i="8"/>
  <c r="N408" i="8"/>
  <c r="M408" i="8"/>
  <c r="L408" i="8"/>
  <c r="U408" i="8" s="1"/>
  <c r="T407" i="8"/>
  <c r="S407" i="8"/>
  <c r="R407" i="8"/>
  <c r="Q407" i="8"/>
  <c r="P407" i="8"/>
  <c r="O407" i="8"/>
  <c r="N407" i="8"/>
  <c r="M407" i="8"/>
  <c r="L407" i="8"/>
  <c r="T406" i="8"/>
  <c r="S406" i="8"/>
  <c r="R406" i="8"/>
  <c r="Q406" i="8"/>
  <c r="P406" i="8"/>
  <c r="O406" i="8"/>
  <c r="N406" i="8"/>
  <c r="M406" i="8"/>
  <c r="L406" i="8"/>
  <c r="U406" i="8" s="1"/>
  <c r="T405" i="8"/>
  <c r="S405" i="8"/>
  <c r="R405" i="8"/>
  <c r="Q405" i="8"/>
  <c r="P405" i="8"/>
  <c r="O405" i="8"/>
  <c r="N405" i="8"/>
  <c r="M405" i="8"/>
  <c r="L405" i="8"/>
  <c r="T404" i="8"/>
  <c r="S404" i="8"/>
  <c r="R404" i="8"/>
  <c r="Q404" i="8"/>
  <c r="P404" i="8"/>
  <c r="O404" i="8"/>
  <c r="N404" i="8"/>
  <c r="M404" i="8"/>
  <c r="L404" i="8"/>
  <c r="U404" i="8" s="1"/>
  <c r="T403" i="8"/>
  <c r="S403" i="8"/>
  <c r="R403" i="8"/>
  <c r="Q403" i="8"/>
  <c r="P403" i="8"/>
  <c r="O403" i="8"/>
  <c r="N403" i="8"/>
  <c r="M403" i="8"/>
  <c r="L403" i="8"/>
  <c r="T402" i="8"/>
  <c r="S402" i="8"/>
  <c r="R402" i="8"/>
  <c r="Q402" i="8"/>
  <c r="P402" i="8"/>
  <c r="O402" i="8"/>
  <c r="N402" i="8"/>
  <c r="M402" i="8"/>
  <c r="L402" i="8"/>
  <c r="U402" i="8" s="1"/>
  <c r="T401" i="8"/>
  <c r="S401" i="8"/>
  <c r="R401" i="8"/>
  <c r="Q401" i="8"/>
  <c r="P401" i="8"/>
  <c r="O401" i="8"/>
  <c r="N401" i="8"/>
  <c r="M401" i="8"/>
  <c r="L401" i="8"/>
  <c r="T400" i="8"/>
  <c r="S400" i="8"/>
  <c r="R400" i="8"/>
  <c r="Q400" i="8"/>
  <c r="P400" i="8"/>
  <c r="O400" i="8"/>
  <c r="N400" i="8"/>
  <c r="M400" i="8"/>
  <c r="L400" i="8"/>
  <c r="U400" i="8" s="1"/>
  <c r="T399" i="8"/>
  <c r="S399" i="8"/>
  <c r="R399" i="8"/>
  <c r="Q399" i="8"/>
  <c r="P399" i="8"/>
  <c r="O399" i="8"/>
  <c r="N399" i="8"/>
  <c r="M399" i="8"/>
  <c r="L399" i="8"/>
  <c r="T398" i="8"/>
  <c r="S398" i="8"/>
  <c r="R398" i="8"/>
  <c r="Q398" i="8"/>
  <c r="P398" i="8"/>
  <c r="O398" i="8"/>
  <c r="N398" i="8"/>
  <c r="M398" i="8"/>
  <c r="L398" i="8"/>
  <c r="U398" i="8" s="1"/>
  <c r="T397" i="8"/>
  <c r="S397" i="8"/>
  <c r="R397" i="8"/>
  <c r="Q397" i="8"/>
  <c r="P397" i="8"/>
  <c r="O397" i="8"/>
  <c r="N397" i="8"/>
  <c r="M397" i="8"/>
  <c r="L397" i="8"/>
  <c r="T396" i="8"/>
  <c r="S396" i="8"/>
  <c r="R396" i="8"/>
  <c r="Q396" i="8"/>
  <c r="P396" i="8"/>
  <c r="O396" i="8"/>
  <c r="N396" i="8"/>
  <c r="M396" i="8"/>
  <c r="L396" i="8"/>
  <c r="U396" i="8" s="1"/>
  <c r="T395" i="8"/>
  <c r="S395" i="8"/>
  <c r="R395" i="8"/>
  <c r="Q395" i="8"/>
  <c r="P395" i="8"/>
  <c r="O395" i="8"/>
  <c r="N395" i="8"/>
  <c r="M395" i="8"/>
  <c r="L395" i="8"/>
  <c r="T394" i="8"/>
  <c r="S394" i="8"/>
  <c r="R394" i="8"/>
  <c r="Q394" i="8"/>
  <c r="P394" i="8"/>
  <c r="O394" i="8"/>
  <c r="N394" i="8"/>
  <c r="M394" i="8"/>
  <c r="L394" i="8"/>
  <c r="U394" i="8" s="1"/>
  <c r="T393" i="8"/>
  <c r="S393" i="8"/>
  <c r="R393" i="8"/>
  <c r="Q393" i="8"/>
  <c r="P393" i="8"/>
  <c r="O393" i="8"/>
  <c r="N393" i="8"/>
  <c r="M393" i="8"/>
  <c r="L393" i="8"/>
  <c r="T392" i="8"/>
  <c r="S392" i="8"/>
  <c r="R392" i="8"/>
  <c r="Q392" i="8"/>
  <c r="P392" i="8"/>
  <c r="O392" i="8"/>
  <c r="N392" i="8"/>
  <c r="M392" i="8"/>
  <c r="L392" i="8"/>
  <c r="U392" i="8" s="1"/>
  <c r="T391" i="8"/>
  <c r="S391" i="8"/>
  <c r="R391" i="8"/>
  <c r="Q391" i="8"/>
  <c r="P391" i="8"/>
  <c r="O391" i="8"/>
  <c r="N391" i="8"/>
  <c r="M391" i="8"/>
  <c r="L391" i="8"/>
  <c r="T390" i="8"/>
  <c r="S390" i="8"/>
  <c r="R390" i="8"/>
  <c r="Q390" i="8"/>
  <c r="P390" i="8"/>
  <c r="O390" i="8"/>
  <c r="N390" i="8"/>
  <c r="M390" i="8"/>
  <c r="L390" i="8"/>
  <c r="U390" i="8" s="1"/>
  <c r="T389" i="8"/>
  <c r="S389" i="8"/>
  <c r="R389" i="8"/>
  <c r="Q389" i="8"/>
  <c r="P389" i="8"/>
  <c r="O389" i="8"/>
  <c r="N389" i="8"/>
  <c r="M389" i="8"/>
  <c r="L389" i="8"/>
  <c r="T388" i="8"/>
  <c r="S388" i="8"/>
  <c r="R388" i="8"/>
  <c r="Q388" i="8"/>
  <c r="P388" i="8"/>
  <c r="O388" i="8"/>
  <c r="N388" i="8"/>
  <c r="M388" i="8"/>
  <c r="L388" i="8"/>
  <c r="U388" i="8" s="1"/>
  <c r="T387" i="8"/>
  <c r="S387" i="8"/>
  <c r="R387" i="8"/>
  <c r="Q387" i="8"/>
  <c r="P387" i="8"/>
  <c r="O387" i="8"/>
  <c r="N387" i="8"/>
  <c r="M387" i="8"/>
  <c r="L387" i="8"/>
  <c r="T386" i="8"/>
  <c r="S386" i="8"/>
  <c r="R386" i="8"/>
  <c r="Q386" i="8"/>
  <c r="P386" i="8"/>
  <c r="O386" i="8"/>
  <c r="N386" i="8"/>
  <c r="M386" i="8"/>
  <c r="L386" i="8"/>
  <c r="U386" i="8" s="1"/>
  <c r="T385" i="8"/>
  <c r="S385" i="8"/>
  <c r="R385" i="8"/>
  <c r="Q385" i="8"/>
  <c r="P385" i="8"/>
  <c r="O385" i="8"/>
  <c r="N385" i="8"/>
  <c r="M385" i="8"/>
  <c r="L385" i="8"/>
  <c r="T384" i="8"/>
  <c r="S384" i="8"/>
  <c r="R384" i="8"/>
  <c r="Q384" i="8"/>
  <c r="P384" i="8"/>
  <c r="O384" i="8"/>
  <c r="N384" i="8"/>
  <c r="M384" i="8"/>
  <c r="L384" i="8"/>
  <c r="U384" i="8" s="1"/>
  <c r="T383" i="8"/>
  <c r="S383" i="8"/>
  <c r="R383" i="8"/>
  <c r="Q383" i="8"/>
  <c r="P383" i="8"/>
  <c r="O383" i="8"/>
  <c r="N383" i="8"/>
  <c r="M383" i="8"/>
  <c r="L383" i="8"/>
  <c r="T382" i="8"/>
  <c r="S382" i="8"/>
  <c r="R382" i="8"/>
  <c r="Q382" i="8"/>
  <c r="P382" i="8"/>
  <c r="O382" i="8"/>
  <c r="N382" i="8"/>
  <c r="M382" i="8"/>
  <c r="L382" i="8"/>
  <c r="U382" i="8" s="1"/>
  <c r="T381" i="8"/>
  <c r="S381" i="8"/>
  <c r="R381" i="8"/>
  <c r="Q381" i="8"/>
  <c r="P381" i="8"/>
  <c r="O381" i="8"/>
  <c r="N381" i="8"/>
  <c r="M381" i="8"/>
  <c r="L381" i="8"/>
  <c r="T380" i="8"/>
  <c r="S380" i="8"/>
  <c r="R380" i="8"/>
  <c r="Q380" i="8"/>
  <c r="P380" i="8"/>
  <c r="O380" i="8"/>
  <c r="N380" i="8"/>
  <c r="M380" i="8"/>
  <c r="L380" i="8"/>
  <c r="U380" i="8" s="1"/>
  <c r="T379" i="8"/>
  <c r="S379" i="8"/>
  <c r="R379" i="8"/>
  <c r="Q379" i="8"/>
  <c r="P379" i="8"/>
  <c r="O379" i="8"/>
  <c r="N379" i="8"/>
  <c r="M379" i="8"/>
  <c r="L379" i="8"/>
  <c r="T378" i="8"/>
  <c r="S378" i="8"/>
  <c r="R378" i="8"/>
  <c r="Q378" i="8"/>
  <c r="P378" i="8"/>
  <c r="O378" i="8"/>
  <c r="N378" i="8"/>
  <c r="M378" i="8"/>
  <c r="L378" i="8"/>
  <c r="U378" i="8" s="1"/>
  <c r="T377" i="8"/>
  <c r="S377" i="8"/>
  <c r="R377" i="8"/>
  <c r="Q377" i="8"/>
  <c r="P377" i="8"/>
  <c r="O377" i="8"/>
  <c r="N377" i="8"/>
  <c r="M377" i="8"/>
  <c r="L377" i="8"/>
  <c r="T376" i="8"/>
  <c r="S376" i="8"/>
  <c r="R376" i="8"/>
  <c r="Q376" i="8"/>
  <c r="P376" i="8"/>
  <c r="O376" i="8"/>
  <c r="N376" i="8"/>
  <c r="M376" i="8"/>
  <c r="L376" i="8"/>
  <c r="U376" i="8" s="1"/>
  <c r="T375" i="8"/>
  <c r="S375" i="8"/>
  <c r="R375" i="8"/>
  <c r="Q375" i="8"/>
  <c r="P375" i="8"/>
  <c r="O375" i="8"/>
  <c r="N375" i="8"/>
  <c r="M375" i="8"/>
  <c r="L375" i="8"/>
  <c r="T374" i="8"/>
  <c r="S374" i="8"/>
  <c r="R374" i="8"/>
  <c r="Q374" i="8"/>
  <c r="P374" i="8"/>
  <c r="O374" i="8"/>
  <c r="N374" i="8"/>
  <c r="M374" i="8"/>
  <c r="L374" i="8"/>
  <c r="U374" i="8" s="1"/>
  <c r="T373" i="8"/>
  <c r="S373" i="8"/>
  <c r="R373" i="8"/>
  <c r="Q373" i="8"/>
  <c r="P373" i="8"/>
  <c r="O373" i="8"/>
  <c r="N373" i="8"/>
  <c r="M373" i="8"/>
  <c r="L373" i="8"/>
  <c r="T372" i="8"/>
  <c r="S372" i="8"/>
  <c r="R372" i="8"/>
  <c r="Q372" i="8"/>
  <c r="P372" i="8"/>
  <c r="O372" i="8"/>
  <c r="N372" i="8"/>
  <c r="M372" i="8"/>
  <c r="L372" i="8"/>
  <c r="U372" i="8" s="1"/>
  <c r="T371" i="8"/>
  <c r="S371" i="8"/>
  <c r="R371" i="8"/>
  <c r="Q371" i="8"/>
  <c r="P371" i="8"/>
  <c r="O371" i="8"/>
  <c r="N371" i="8"/>
  <c r="M371" i="8"/>
  <c r="L371" i="8"/>
  <c r="T370" i="8"/>
  <c r="S370" i="8"/>
  <c r="R370" i="8"/>
  <c r="Q370" i="8"/>
  <c r="P370" i="8"/>
  <c r="O370" i="8"/>
  <c r="N370" i="8"/>
  <c r="M370" i="8"/>
  <c r="L370" i="8"/>
  <c r="U370" i="8" s="1"/>
  <c r="T369" i="8"/>
  <c r="S369" i="8"/>
  <c r="R369" i="8"/>
  <c r="Q369" i="8"/>
  <c r="P369" i="8"/>
  <c r="O369" i="8"/>
  <c r="N369" i="8"/>
  <c r="M369" i="8"/>
  <c r="L369" i="8"/>
  <c r="T368" i="8"/>
  <c r="S368" i="8"/>
  <c r="R368" i="8"/>
  <c r="Q368" i="8"/>
  <c r="P368" i="8"/>
  <c r="O368" i="8"/>
  <c r="N368" i="8"/>
  <c r="M368" i="8"/>
  <c r="L368" i="8"/>
  <c r="U368" i="8" s="1"/>
  <c r="T367" i="8"/>
  <c r="S367" i="8"/>
  <c r="R367" i="8"/>
  <c r="Q367" i="8"/>
  <c r="P367" i="8"/>
  <c r="O367" i="8"/>
  <c r="N367" i="8"/>
  <c r="M367" i="8"/>
  <c r="L367" i="8"/>
  <c r="T366" i="8"/>
  <c r="S366" i="8"/>
  <c r="R366" i="8"/>
  <c r="Q366" i="8"/>
  <c r="P366" i="8"/>
  <c r="O366" i="8"/>
  <c r="N366" i="8"/>
  <c r="M366" i="8"/>
  <c r="L366" i="8"/>
  <c r="U366" i="8" s="1"/>
  <c r="T365" i="8"/>
  <c r="S365" i="8"/>
  <c r="R365" i="8"/>
  <c r="Q365" i="8"/>
  <c r="P365" i="8"/>
  <c r="O365" i="8"/>
  <c r="N365" i="8"/>
  <c r="M365" i="8"/>
  <c r="L365" i="8"/>
  <c r="T364" i="8"/>
  <c r="S364" i="8"/>
  <c r="R364" i="8"/>
  <c r="Q364" i="8"/>
  <c r="P364" i="8"/>
  <c r="O364" i="8"/>
  <c r="N364" i="8"/>
  <c r="M364" i="8"/>
  <c r="L364" i="8"/>
  <c r="U364" i="8" s="1"/>
  <c r="T363" i="8"/>
  <c r="S363" i="8"/>
  <c r="R363" i="8"/>
  <c r="Q363" i="8"/>
  <c r="P363" i="8"/>
  <c r="O363" i="8"/>
  <c r="N363" i="8"/>
  <c r="M363" i="8"/>
  <c r="L363" i="8"/>
  <c r="T362" i="8"/>
  <c r="S362" i="8"/>
  <c r="R362" i="8"/>
  <c r="Q362" i="8"/>
  <c r="P362" i="8"/>
  <c r="O362" i="8"/>
  <c r="N362" i="8"/>
  <c r="M362" i="8"/>
  <c r="L362" i="8"/>
  <c r="U362" i="8" s="1"/>
  <c r="T361" i="8"/>
  <c r="S361" i="8"/>
  <c r="R361" i="8"/>
  <c r="Q361" i="8"/>
  <c r="P361" i="8"/>
  <c r="O361" i="8"/>
  <c r="N361" i="8"/>
  <c r="M361" i="8"/>
  <c r="L361" i="8"/>
  <c r="T360" i="8"/>
  <c r="S360" i="8"/>
  <c r="R360" i="8"/>
  <c r="Q360" i="8"/>
  <c r="P360" i="8"/>
  <c r="O360" i="8"/>
  <c r="N360" i="8"/>
  <c r="M360" i="8"/>
  <c r="L360" i="8"/>
  <c r="U360" i="8" s="1"/>
  <c r="T359" i="8"/>
  <c r="S359" i="8"/>
  <c r="R359" i="8"/>
  <c r="Q359" i="8"/>
  <c r="P359" i="8"/>
  <c r="O359" i="8"/>
  <c r="N359" i="8"/>
  <c r="M359" i="8"/>
  <c r="L359" i="8"/>
  <c r="T358" i="8"/>
  <c r="S358" i="8"/>
  <c r="R358" i="8"/>
  <c r="Q358" i="8"/>
  <c r="P358" i="8"/>
  <c r="O358" i="8"/>
  <c r="N358" i="8"/>
  <c r="M358" i="8"/>
  <c r="L358" i="8"/>
  <c r="U358" i="8" s="1"/>
  <c r="T357" i="8"/>
  <c r="S357" i="8"/>
  <c r="R357" i="8"/>
  <c r="Q357" i="8"/>
  <c r="P357" i="8"/>
  <c r="O357" i="8"/>
  <c r="N357" i="8"/>
  <c r="M357" i="8"/>
  <c r="L357" i="8"/>
  <c r="T356" i="8"/>
  <c r="S356" i="8"/>
  <c r="R356" i="8"/>
  <c r="Q356" i="8"/>
  <c r="P356" i="8"/>
  <c r="O356" i="8"/>
  <c r="N356" i="8"/>
  <c r="M356" i="8"/>
  <c r="L356" i="8"/>
  <c r="U356" i="8" s="1"/>
  <c r="T355" i="8"/>
  <c r="S355" i="8"/>
  <c r="R355" i="8"/>
  <c r="Q355" i="8"/>
  <c r="P355" i="8"/>
  <c r="O355" i="8"/>
  <c r="N355" i="8"/>
  <c r="M355" i="8"/>
  <c r="L355" i="8"/>
  <c r="T354" i="8"/>
  <c r="S354" i="8"/>
  <c r="R354" i="8"/>
  <c r="Q354" i="8"/>
  <c r="P354" i="8"/>
  <c r="O354" i="8"/>
  <c r="N354" i="8"/>
  <c r="M354" i="8"/>
  <c r="L354" i="8"/>
  <c r="U354" i="8" s="1"/>
  <c r="T353" i="8"/>
  <c r="S353" i="8"/>
  <c r="R353" i="8"/>
  <c r="Q353" i="8"/>
  <c r="P353" i="8"/>
  <c r="O353" i="8"/>
  <c r="N353" i="8"/>
  <c r="M353" i="8"/>
  <c r="L353" i="8"/>
  <c r="T352" i="8"/>
  <c r="S352" i="8"/>
  <c r="R352" i="8"/>
  <c r="Q352" i="8"/>
  <c r="P352" i="8"/>
  <c r="O352" i="8"/>
  <c r="N352" i="8"/>
  <c r="M352" i="8"/>
  <c r="L352" i="8"/>
  <c r="U352" i="8" s="1"/>
  <c r="T351" i="8"/>
  <c r="S351" i="8"/>
  <c r="R351" i="8"/>
  <c r="Q351" i="8"/>
  <c r="P351" i="8"/>
  <c r="O351" i="8"/>
  <c r="N351" i="8"/>
  <c r="M351" i="8"/>
  <c r="L351" i="8"/>
  <c r="T350" i="8"/>
  <c r="S350" i="8"/>
  <c r="R350" i="8"/>
  <c r="Q350" i="8"/>
  <c r="P350" i="8"/>
  <c r="O350" i="8"/>
  <c r="N350" i="8"/>
  <c r="M350" i="8"/>
  <c r="L350" i="8"/>
  <c r="U350" i="8" s="1"/>
  <c r="T349" i="8"/>
  <c r="S349" i="8"/>
  <c r="R349" i="8"/>
  <c r="Q349" i="8"/>
  <c r="P349" i="8"/>
  <c r="O349" i="8"/>
  <c r="N349" i="8"/>
  <c r="M349" i="8"/>
  <c r="L349" i="8"/>
  <c r="T348" i="8"/>
  <c r="S348" i="8"/>
  <c r="R348" i="8"/>
  <c r="Q348" i="8"/>
  <c r="P348" i="8"/>
  <c r="O348" i="8"/>
  <c r="N348" i="8"/>
  <c r="M348" i="8"/>
  <c r="L348" i="8"/>
  <c r="U348" i="8" s="1"/>
  <c r="T347" i="8"/>
  <c r="S347" i="8"/>
  <c r="R347" i="8"/>
  <c r="Q347" i="8"/>
  <c r="P347" i="8"/>
  <c r="O347" i="8"/>
  <c r="N347" i="8"/>
  <c r="M347" i="8"/>
  <c r="L347" i="8"/>
  <c r="T346" i="8"/>
  <c r="S346" i="8"/>
  <c r="R346" i="8"/>
  <c r="Q346" i="8"/>
  <c r="P346" i="8"/>
  <c r="O346" i="8"/>
  <c r="N346" i="8"/>
  <c r="M346" i="8"/>
  <c r="L346" i="8"/>
  <c r="U346" i="8" s="1"/>
  <c r="T345" i="8"/>
  <c r="S345" i="8"/>
  <c r="R345" i="8"/>
  <c r="Q345" i="8"/>
  <c r="P345" i="8"/>
  <c r="O345" i="8"/>
  <c r="N345" i="8"/>
  <c r="M345" i="8"/>
  <c r="L345" i="8"/>
  <c r="T344" i="8"/>
  <c r="S344" i="8"/>
  <c r="R344" i="8"/>
  <c r="Q344" i="8"/>
  <c r="P344" i="8"/>
  <c r="O344" i="8"/>
  <c r="N344" i="8"/>
  <c r="M344" i="8"/>
  <c r="L344" i="8"/>
  <c r="U344" i="8" s="1"/>
  <c r="T343" i="8"/>
  <c r="S343" i="8"/>
  <c r="R343" i="8"/>
  <c r="Q343" i="8"/>
  <c r="P343" i="8"/>
  <c r="O343" i="8"/>
  <c r="N343" i="8"/>
  <c r="M343" i="8"/>
  <c r="L343" i="8"/>
  <c r="T342" i="8"/>
  <c r="S342" i="8"/>
  <c r="R342" i="8"/>
  <c r="Q342" i="8"/>
  <c r="P342" i="8"/>
  <c r="O342" i="8"/>
  <c r="N342" i="8"/>
  <c r="M342" i="8"/>
  <c r="L342" i="8"/>
  <c r="U342" i="8" s="1"/>
  <c r="T341" i="8"/>
  <c r="S341" i="8"/>
  <c r="R341" i="8"/>
  <c r="Q341" i="8"/>
  <c r="P341" i="8"/>
  <c r="O341" i="8"/>
  <c r="N341" i="8"/>
  <c r="M341" i="8"/>
  <c r="L341" i="8"/>
  <c r="T340" i="8"/>
  <c r="S340" i="8"/>
  <c r="R340" i="8"/>
  <c r="Q340" i="8"/>
  <c r="P340" i="8"/>
  <c r="O340" i="8"/>
  <c r="N340" i="8"/>
  <c r="M340" i="8"/>
  <c r="L340" i="8"/>
  <c r="U340" i="8" s="1"/>
  <c r="T339" i="8"/>
  <c r="S339" i="8"/>
  <c r="R339" i="8"/>
  <c r="Q339" i="8"/>
  <c r="P339" i="8"/>
  <c r="O339" i="8"/>
  <c r="N339" i="8"/>
  <c r="M339" i="8"/>
  <c r="L339" i="8"/>
  <c r="T338" i="8"/>
  <c r="S338" i="8"/>
  <c r="R338" i="8"/>
  <c r="Q338" i="8"/>
  <c r="P338" i="8"/>
  <c r="O338" i="8"/>
  <c r="N338" i="8"/>
  <c r="M338" i="8"/>
  <c r="L338" i="8"/>
  <c r="U338" i="8" s="1"/>
  <c r="T337" i="8"/>
  <c r="S337" i="8"/>
  <c r="R337" i="8"/>
  <c r="Q337" i="8"/>
  <c r="P337" i="8"/>
  <c r="O337" i="8"/>
  <c r="N337" i="8"/>
  <c r="M337" i="8"/>
  <c r="L337" i="8"/>
  <c r="T336" i="8"/>
  <c r="S336" i="8"/>
  <c r="R336" i="8"/>
  <c r="Q336" i="8"/>
  <c r="P336" i="8"/>
  <c r="O336" i="8"/>
  <c r="N336" i="8"/>
  <c r="M336" i="8"/>
  <c r="L336" i="8"/>
  <c r="U336" i="8" s="1"/>
  <c r="T335" i="8"/>
  <c r="S335" i="8"/>
  <c r="R335" i="8"/>
  <c r="Q335" i="8"/>
  <c r="P335" i="8"/>
  <c r="O335" i="8"/>
  <c r="N335" i="8"/>
  <c r="M335" i="8"/>
  <c r="L335" i="8"/>
  <c r="T334" i="8"/>
  <c r="S334" i="8"/>
  <c r="R334" i="8"/>
  <c r="Q334" i="8"/>
  <c r="P334" i="8"/>
  <c r="O334" i="8"/>
  <c r="N334" i="8"/>
  <c r="M334" i="8"/>
  <c r="L334" i="8"/>
  <c r="U334" i="8" s="1"/>
  <c r="T333" i="8"/>
  <c r="S333" i="8"/>
  <c r="R333" i="8"/>
  <c r="Q333" i="8"/>
  <c r="P333" i="8"/>
  <c r="O333" i="8"/>
  <c r="N333" i="8"/>
  <c r="M333" i="8"/>
  <c r="L333" i="8"/>
  <c r="T332" i="8"/>
  <c r="S332" i="8"/>
  <c r="R332" i="8"/>
  <c r="Q332" i="8"/>
  <c r="P332" i="8"/>
  <c r="O332" i="8"/>
  <c r="N332" i="8"/>
  <c r="M332" i="8"/>
  <c r="L332" i="8"/>
  <c r="U332" i="8" s="1"/>
  <c r="T331" i="8"/>
  <c r="S331" i="8"/>
  <c r="R331" i="8"/>
  <c r="Q331" i="8"/>
  <c r="P331" i="8"/>
  <c r="O331" i="8"/>
  <c r="N331" i="8"/>
  <c r="M331" i="8"/>
  <c r="L331" i="8"/>
  <c r="T330" i="8"/>
  <c r="S330" i="8"/>
  <c r="R330" i="8"/>
  <c r="Q330" i="8"/>
  <c r="P330" i="8"/>
  <c r="O330" i="8"/>
  <c r="N330" i="8"/>
  <c r="M330" i="8"/>
  <c r="L330" i="8"/>
  <c r="U330" i="8" s="1"/>
  <c r="T329" i="8"/>
  <c r="S329" i="8"/>
  <c r="R329" i="8"/>
  <c r="Q329" i="8"/>
  <c r="P329" i="8"/>
  <c r="O329" i="8"/>
  <c r="N329" i="8"/>
  <c r="M329" i="8"/>
  <c r="L329" i="8"/>
  <c r="T328" i="8"/>
  <c r="S328" i="8"/>
  <c r="R328" i="8"/>
  <c r="Q328" i="8"/>
  <c r="P328" i="8"/>
  <c r="O328" i="8"/>
  <c r="N328" i="8"/>
  <c r="M328" i="8"/>
  <c r="L328" i="8"/>
  <c r="U328" i="8" s="1"/>
  <c r="T327" i="8"/>
  <c r="S327" i="8"/>
  <c r="R327" i="8"/>
  <c r="Q327" i="8"/>
  <c r="P327" i="8"/>
  <c r="O327" i="8"/>
  <c r="N327" i="8"/>
  <c r="M327" i="8"/>
  <c r="L327" i="8"/>
  <c r="T326" i="8"/>
  <c r="S326" i="8"/>
  <c r="R326" i="8"/>
  <c r="Q326" i="8"/>
  <c r="P326" i="8"/>
  <c r="O326" i="8"/>
  <c r="N326" i="8"/>
  <c r="M326" i="8"/>
  <c r="L326" i="8"/>
  <c r="U326" i="8" s="1"/>
  <c r="T325" i="8"/>
  <c r="S325" i="8"/>
  <c r="R325" i="8"/>
  <c r="Q325" i="8"/>
  <c r="P325" i="8"/>
  <c r="O325" i="8"/>
  <c r="N325" i="8"/>
  <c r="M325" i="8"/>
  <c r="L325" i="8"/>
  <c r="T324" i="8"/>
  <c r="S324" i="8"/>
  <c r="R324" i="8"/>
  <c r="Q324" i="8"/>
  <c r="P324" i="8"/>
  <c r="O324" i="8"/>
  <c r="N324" i="8"/>
  <c r="M324" i="8"/>
  <c r="L324" i="8"/>
  <c r="U324" i="8" s="1"/>
  <c r="T323" i="8"/>
  <c r="S323" i="8"/>
  <c r="R323" i="8"/>
  <c r="Q323" i="8"/>
  <c r="P323" i="8"/>
  <c r="O323" i="8"/>
  <c r="N323" i="8"/>
  <c r="M323" i="8"/>
  <c r="L323" i="8"/>
  <c r="T322" i="8"/>
  <c r="S322" i="8"/>
  <c r="R322" i="8"/>
  <c r="Q322" i="8"/>
  <c r="P322" i="8"/>
  <c r="O322" i="8"/>
  <c r="N322" i="8"/>
  <c r="M322" i="8"/>
  <c r="L322" i="8"/>
  <c r="U322" i="8" s="1"/>
  <c r="T321" i="8"/>
  <c r="S321" i="8"/>
  <c r="R321" i="8"/>
  <c r="Q321" i="8"/>
  <c r="P321" i="8"/>
  <c r="O321" i="8"/>
  <c r="N321" i="8"/>
  <c r="M321" i="8"/>
  <c r="L321" i="8"/>
  <c r="T320" i="8"/>
  <c r="S320" i="8"/>
  <c r="R320" i="8"/>
  <c r="Q320" i="8"/>
  <c r="P320" i="8"/>
  <c r="O320" i="8"/>
  <c r="N320" i="8"/>
  <c r="M320" i="8"/>
  <c r="L320" i="8"/>
  <c r="T319" i="8"/>
  <c r="S319" i="8"/>
  <c r="R319" i="8"/>
  <c r="Q319" i="8"/>
  <c r="P319" i="8"/>
  <c r="O319" i="8"/>
  <c r="N319" i="8"/>
  <c r="M319" i="8"/>
  <c r="L319" i="8"/>
  <c r="T318" i="8"/>
  <c r="S318" i="8"/>
  <c r="R318" i="8"/>
  <c r="Q318" i="8"/>
  <c r="P318" i="8"/>
  <c r="O318" i="8"/>
  <c r="N318" i="8"/>
  <c r="M318" i="8"/>
  <c r="L318" i="8"/>
  <c r="U318" i="8" s="1"/>
  <c r="T317" i="8"/>
  <c r="S317" i="8"/>
  <c r="R317" i="8"/>
  <c r="Q317" i="8"/>
  <c r="P317" i="8"/>
  <c r="O317" i="8"/>
  <c r="N317" i="8"/>
  <c r="M317" i="8"/>
  <c r="L317" i="8"/>
  <c r="T316" i="8"/>
  <c r="S316" i="8"/>
  <c r="R316" i="8"/>
  <c r="Q316" i="8"/>
  <c r="P316" i="8"/>
  <c r="O316" i="8"/>
  <c r="N316" i="8"/>
  <c r="M316" i="8"/>
  <c r="L316" i="8"/>
  <c r="U316" i="8" s="1"/>
  <c r="T315" i="8"/>
  <c r="S315" i="8"/>
  <c r="R315" i="8"/>
  <c r="Q315" i="8"/>
  <c r="P315" i="8"/>
  <c r="O315" i="8"/>
  <c r="N315" i="8"/>
  <c r="M315" i="8"/>
  <c r="L315" i="8"/>
  <c r="T314" i="8"/>
  <c r="S314" i="8"/>
  <c r="R314" i="8"/>
  <c r="Q314" i="8"/>
  <c r="P314" i="8"/>
  <c r="O314" i="8"/>
  <c r="N314" i="8"/>
  <c r="M314" i="8"/>
  <c r="L314" i="8"/>
  <c r="U314" i="8" s="1"/>
  <c r="T313" i="8"/>
  <c r="S313" i="8"/>
  <c r="R313" i="8"/>
  <c r="Q313" i="8"/>
  <c r="P313" i="8"/>
  <c r="O313" i="8"/>
  <c r="N313" i="8"/>
  <c r="M313" i="8"/>
  <c r="L313" i="8"/>
  <c r="T312" i="8"/>
  <c r="S312" i="8"/>
  <c r="R312" i="8"/>
  <c r="Q312" i="8"/>
  <c r="P312" i="8"/>
  <c r="O312" i="8"/>
  <c r="N312" i="8"/>
  <c r="M312" i="8"/>
  <c r="L312" i="8"/>
  <c r="U312" i="8" s="1"/>
  <c r="T311" i="8"/>
  <c r="S311" i="8"/>
  <c r="R311" i="8"/>
  <c r="Q311" i="8"/>
  <c r="P311" i="8"/>
  <c r="O311" i="8"/>
  <c r="N311" i="8"/>
  <c r="M311" i="8"/>
  <c r="L311" i="8"/>
  <c r="T310" i="8"/>
  <c r="S310" i="8"/>
  <c r="R310" i="8"/>
  <c r="Q310" i="8"/>
  <c r="P310" i="8"/>
  <c r="O310" i="8"/>
  <c r="N310" i="8"/>
  <c r="M310" i="8"/>
  <c r="L310" i="8"/>
  <c r="U310" i="8" s="1"/>
  <c r="T309" i="8"/>
  <c r="S309" i="8"/>
  <c r="R309" i="8"/>
  <c r="Q309" i="8"/>
  <c r="P309" i="8"/>
  <c r="O309" i="8"/>
  <c r="N309" i="8"/>
  <c r="M309" i="8"/>
  <c r="L309" i="8"/>
  <c r="T308" i="8"/>
  <c r="S308" i="8"/>
  <c r="R308" i="8"/>
  <c r="Q308" i="8"/>
  <c r="P308" i="8"/>
  <c r="O308" i="8"/>
  <c r="N308" i="8"/>
  <c r="M308" i="8"/>
  <c r="L308" i="8"/>
  <c r="U308" i="8" s="1"/>
  <c r="T307" i="8"/>
  <c r="S307" i="8"/>
  <c r="R307" i="8"/>
  <c r="Q307" i="8"/>
  <c r="P307" i="8"/>
  <c r="O307" i="8"/>
  <c r="N307" i="8"/>
  <c r="M307" i="8"/>
  <c r="L307" i="8"/>
  <c r="T306" i="8"/>
  <c r="S306" i="8"/>
  <c r="R306" i="8"/>
  <c r="Q306" i="8"/>
  <c r="P306" i="8"/>
  <c r="O306" i="8"/>
  <c r="N306" i="8"/>
  <c r="M306" i="8"/>
  <c r="L306" i="8"/>
  <c r="U306" i="8" s="1"/>
  <c r="T305" i="8"/>
  <c r="S305" i="8"/>
  <c r="R305" i="8"/>
  <c r="Q305" i="8"/>
  <c r="P305" i="8"/>
  <c r="O305" i="8"/>
  <c r="N305" i="8"/>
  <c r="M305" i="8"/>
  <c r="L305" i="8"/>
  <c r="T304" i="8"/>
  <c r="S304" i="8"/>
  <c r="R304" i="8"/>
  <c r="Q304" i="8"/>
  <c r="P304" i="8"/>
  <c r="O304" i="8"/>
  <c r="N304" i="8"/>
  <c r="M304" i="8"/>
  <c r="L304" i="8"/>
  <c r="U304" i="8" s="1"/>
  <c r="T303" i="8"/>
  <c r="S303" i="8"/>
  <c r="R303" i="8"/>
  <c r="Q303" i="8"/>
  <c r="P303" i="8"/>
  <c r="O303" i="8"/>
  <c r="N303" i="8"/>
  <c r="M303" i="8"/>
  <c r="L303" i="8"/>
  <c r="T302" i="8"/>
  <c r="S302" i="8"/>
  <c r="R302" i="8"/>
  <c r="Q302" i="8"/>
  <c r="P302" i="8"/>
  <c r="O302" i="8"/>
  <c r="N302" i="8"/>
  <c r="M302" i="8"/>
  <c r="L302" i="8"/>
  <c r="U302" i="8" s="1"/>
  <c r="T301" i="8"/>
  <c r="S301" i="8"/>
  <c r="R301" i="8"/>
  <c r="Q301" i="8"/>
  <c r="P301" i="8"/>
  <c r="O301" i="8"/>
  <c r="N301" i="8"/>
  <c r="M301" i="8"/>
  <c r="L301" i="8"/>
  <c r="T300" i="8"/>
  <c r="S300" i="8"/>
  <c r="R300" i="8"/>
  <c r="Q300" i="8"/>
  <c r="P300" i="8"/>
  <c r="O300" i="8"/>
  <c r="N300" i="8"/>
  <c r="M300" i="8"/>
  <c r="L300" i="8"/>
  <c r="U300" i="8" s="1"/>
  <c r="T299" i="8"/>
  <c r="S299" i="8"/>
  <c r="R299" i="8"/>
  <c r="Q299" i="8"/>
  <c r="P299" i="8"/>
  <c r="O299" i="8"/>
  <c r="N299" i="8"/>
  <c r="M299" i="8"/>
  <c r="L299" i="8"/>
  <c r="T298" i="8"/>
  <c r="S298" i="8"/>
  <c r="R298" i="8"/>
  <c r="Q298" i="8"/>
  <c r="P298" i="8"/>
  <c r="O298" i="8"/>
  <c r="N298" i="8"/>
  <c r="M298" i="8"/>
  <c r="L298" i="8"/>
  <c r="U298" i="8" s="1"/>
  <c r="T297" i="8"/>
  <c r="S297" i="8"/>
  <c r="R297" i="8"/>
  <c r="Q297" i="8"/>
  <c r="P297" i="8"/>
  <c r="O297" i="8"/>
  <c r="N297" i="8"/>
  <c r="M297" i="8"/>
  <c r="L297" i="8"/>
  <c r="T296" i="8"/>
  <c r="S296" i="8"/>
  <c r="R296" i="8"/>
  <c r="Q296" i="8"/>
  <c r="P296" i="8"/>
  <c r="O296" i="8"/>
  <c r="N296" i="8"/>
  <c r="M296" i="8"/>
  <c r="L296" i="8"/>
  <c r="U296" i="8" s="1"/>
  <c r="T295" i="8"/>
  <c r="S295" i="8"/>
  <c r="R295" i="8"/>
  <c r="Q295" i="8"/>
  <c r="P295" i="8"/>
  <c r="O295" i="8"/>
  <c r="N295" i="8"/>
  <c r="M295" i="8"/>
  <c r="L295" i="8"/>
  <c r="T294" i="8"/>
  <c r="S294" i="8"/>
  <c r="R294" i="8"/>
  <c r="Q294" i="8"/>
  <c r="P294" i="8"/>
  <c r="O294" i="8"/>
  <c r="N294" i="8"/>
  <c r="M294" i="8"/>
  <c r="L294" i="8"/>
  <c r="U294" i="8" s="1"/>
  <c r="T293" i="8"/>
  <c r="S293" i="8"/>
  <c r="R293" i="8"/>
  <c r="Q293" i="8"/>
  <c r="P293" i="8"/>
  <c r="O293" i="8"/>
  <c r="N293" i="8"/>
  <c r="M293" i="8"/>
  <c r="L293" i="8"/>
  <c r="T292" i="8"/>
  <c r="S292" i="8"/>
  <c r="R292" i="8"/>
  <c r="Q292" i="8"/>
  <c r="P292" i="8"/>
  <c r="O292" i="8"/>
  <c r="N292" i="8"/>
  <c r="M292" i="8"/>
  <c r="L292" i="8"/>
  <c r="U292" i="8" s="1"/>
  <c r="T291" i="8"/>
  <c r="S291" i="8"/>
  <c r="R291" i="8"/>
  <c r="Q291" i="8"/>
  <c r="P291" i="8"/>
  <c r="O291" i="8"/>
  <c r="N291" i="8"/>
  <c r="M291" i="8"/>
  <c r="L291" i="8"/>
  <c r="T290" i="8"/>
  <c r="S290" i="8"/>
  <c r="R290" i="8"/>
  <c r="Q290" i="8"/>
  <c r="P290" i="8"/>
  <c r="O290" i="8"/>
  <c r="N290" i="8"/>
  <c r="M290" i="8"/>
  <c r="L290" i="8"/>
  <c r="U290" i="8" s="1"/>
  <c r="T289" i="8"/>
  <c r="S289" i="8"/>
  <c r="R289" i="8"/>
  <c r="Q289" i="8"/>
  <c r="P289" i="8"/>
  <c r="O289" i="8"/>
  <c r="N289" i="8"/>
  <c r="M289" i="8"/>
  <c r="L289" i="8"/>
  <c r="T288" i="8"/>
  <c r="S288" i="8"/>
  <c r="R288" i="8"/>
  <c r="Q288" i="8"/>
  <c r="P288" i="8"/>
  <c r="O288" i="8"/>
  <c r="N288" i="8"/>
  <c r="M288" i="8"/>
  <c r="L288" i="8"/>
  <c r="U288" i="8" s="1"/>
  <c r="T287" i="8"/>
  <c r="S287" i="8"/>
  <c r="R287" i="8"/>
  <c r="Q287" i="8"/>
  <c r="P287" i="8"/>
  <c r="O287" i="8"/>
  <c r="N287" i="8"/>
  <c r="M287" i="8"/>
  <c r="L287" i="8"/>
  <c r="T286" i="8"/>
  <c r="S286" i="8"/>
  <c r="R286" i="8"/>
  <c r="Q286" i="8"/>
  <c r="P286" i="8"/>
  <c r="O286" i="8"/>
  <c r="N286" i="8"/>
  <c r="M286" i="8"/>
  <c r="L286" i="8"/>
  <c r="U286" i="8" s="1"/>
  <c r="T285" i="8"/>
  <c r="S285" i="8"/>
  <c r="R285" i="8"/>
  <c r="Q285" i="8"/>
  <c r="P285" i="8"/>
  <c r="O285" i="8"/>
  <c r="N285" i="8"/>
  <c r="M285" i="8"/>
  <c r="L285" i="8"/>
  <c r="T284" i="8"/>
  <c r="S284" i="8"/>
  <c r="R284" i="8"/>
  <c r="Q284" i="8"/>
  <c r="P284" i="8"/>
  <c r="O284" i="8"/>
  <c r="N284" i="8"/>
  <c r="M284" i="8"/>
  <c r="L284" i="8"/>
  <c r="U284" i="8" s="1"/>
  <c r="T283" i="8"/>
  <c r="S283" i="8"/>
  <c r="R283" i="8"/>
  <c r="Q283" i="8"/>
  <c r="P283" i="8"/>
  <c r="O283" i="8"/>
  <c r="N283" i="8"/>
  <c r="M283" i="8"/>
  <c r="L283" i="8"/>
  <c r="T282" i="8"/>
  <c r="S282" i="8"/>
  <c r="R282" i="8"/>
  <c r="Q282" i="8"/>
  <c r="P282" i="8"/>
  <c r="O282" i="8"/>
  <c r="N282" i="8"/>
  <c r="M282" i="8"/>
  <c r="L282" i="8"/>
  <c r="U282" i="8" s="1"/>
  <c r="T281" i="8"/>
  <c r="S281" i="8"/>
  <c r="R281" i="8"/>
  <c r="Q281" i="8"/>
  <c r="P281" i="8"/>
  <c r="O281" i="8"/>
  <c r="N281" i="8"/>
  <c r="M281" i="8"/>
  <c r="L281" i="8"/>
  <c r="T280" i="8"/>
  <c r="S280" i="8"/>
  <c r="R280" i="8"/>
  <c r="Q280" i="8"/>
  <c r="P280" i="8"/>
  <c r="O280" i="8"/>
  <c r="N280" i="8"/>
  <c r="M280" i="8"/>
  <c r="L280" i="8"/>
  <c r="U280" i="8" s="1"/>
  <c r="T279" i="8"/>
  <c r="S279" i="8"/>
  <c r="R279" i="8"/>
  <c r="Q279" i="8"/>
  <c r="P279" i="8"/>
  <c r="O279" i="8"/>
  <c r="N279" i="8"/>
  <c r="M279" i="8"/>
  <c r="L279" i="8"/>
  <c r="T278" i="8"/>
  <c r="S278" i="8"/>
  <c r="R278" i="8"/>
  <c r="Q278" i="8"/>
  <c r="P278" i="8"/>
  <c r="O278" i="8"/>
  <c r="N278" i="8"/>
  <c r="M278" i="8"/>
  <c r="L278" i="8"/>
  <c r="U278" i="8" s="1"/>
  <c r="T277" i="8"/>
  <c r="S277" i="8"/>
  <c r="R277" i="8"/>
  <c r="Q277" i="8"/>
  <c r="P277" i="8"/>
  <c r="O277" i="8"/>
  <c r="N277" i="8"/>
  <c r="M277" i="8"/>
  <c r="L277" i="8"/>
  <c r="T276" i="8"/>
  <c r="S276" i="8"/>
  <c r="R276" i="8"/>
  <c r="Q276" i="8"/>
  <c r="P276" i="8"/>
  <c r="O276" i="8"/>
  <c r="N276" i="8"/>
  <c r="M276" i="8"/>
  <c r="L276" i="8"/>
  <c r="U276" i="8" s="1"/>
  <c r="T275" i="8"/>
  <c r="S275" i="8"/>
  <c r="R275" i="8"/>
  <c r="Q275" i="8"/>
  <c r="P275" i="8"/>
  <c r="O275" i="8"/>
  <c r="N275" i="8"/>
  <c r="M275" i="8"/>
  <c r="L275" i="8"/>
  <c r="T274" i="8"/>
  <c r="S274" i="8"/>
  <c r="R274" i="8"/>
  <c r="Q274" i="8"/>
  <c r="P274" i="8"/>
  <c r="O274" i="8"/>
  <c r="N274" i="8"/>
  <c r="M274" i="8"/>
  <c r="L274" i="8"/>
  <c r="U274" i="8" s="1"/>
  <c r="T273" i="8"/>
  <c r="S273" i="8"/>
  <c r="R273" i="8"/>
  <c r="Q273" i="8"/>
  <c r="P273" i="8"/>
  <c r="O273" i="8"/>
  <c r="N273" i="8"/>
  <c r="M273" i="8"/>
  <c r="L273" i="8"/>
  <c r="T272" i="8"/>
  <c r="S272" i="8"/>
  <c r="R272" i="8"/>
  <c r="Q272" i="8"/>
  <c r="P272" i="8"/>
  <c r="O272" i="8"/>
  <c r="N272" i="8"/>
  <c r="M272" i="8"/>
  <c r="L272" i="8"/>
  <c r="U272" i="8" s="1"/>
  <c r="T271" i="8"/>
  <c r="S271" i="8"/>
  <c r="R271" i="8"/>
  <c r="Q271" i="8"/>
  <c r="P271" i="8"/>
  <c r="O271" i="8"/>
  <c r="N271" i="8"/>
  <c r="M271" i="8"/>
  <c r="L271" i="8"/>
  <c r="T270" i="8"/>
  <c r="S270" i="8"/>
  <c r="R270" i="8"/>
  <c r="Q270" i="8"/>
  <c r="P270" i="8"/>
  <c r="O270" i="8"/>
  <c r="N270" i="8"/>
  <c r="M270" i="8"/>
  <c r="L270" i="8"/>
  <c r="U270" i="8" s="1"/>
  <c r="T269" i="8"/>
  <c r="S269" i="8"/>
  <c r="R269" i="8"/>
  <c r="Q269" i="8"/>
  <c r="P269" i="8"/>
  <c r="O269" i="8"/>
  <c r="N269" i="8"/>
  <c r="M269" i="8"/>
  <c r="L269" i="8"/>
  <c r="T268" i="8"/>
  <c r="S268" i="8"/>
  <c r="R268" i="8"/>
  <c r="Q268" i="8"/>
  <c r="P268" i="8"/>
  <c r="O268" i="8"/>
  <c r="N268" i="8"/>
  <c r="M268" i="8"/>
  <c r="L268" i="8"/>
  <c r="U268" i="8" s="1"/>
  <c r="T267" i="8"/>
  <c r="S267" i="8"/>
  <c r="R267" i="8"/>
  <c r="Q267" i="8"/>
  <c r="P267" i="8"/>
  <c r="O267" i="8"/>
  <c r="N267" i="8"/>
  <c r="M267" i="8"/>
  <c r="L267" i="8"/>
  <c r="T266" i="8"/>
  <c r="S266" i="8"/>
  <c r="R266" i="8"/>
  <c r="Q266" i="8"/>
  <c r="P266" i="8"/>
  <c r="O266" i="8"/>
  <c r="N266" i="8"/>
  <c r="M266" i="8"/>
  <c r="L266" i="8"/>
  <c r="U266" i="8" s="1"/>
  <c r="T265" i="8"/>
  <c r="S265" i="8"/>
  <c r="R265" i="8"/>
  <c r="Q265" i="8"/>
  <c r="P265" i="8"/>
  <c r="O265" i="8"/>
  <c r="N265" i="8"/>
  <c r="M265" i="8"/>
  <c r="L265" i="8"/>
  <c r="T264" i="8"/>
  <c r="S264" i="8"/>
  <c r="R264" i="8"/>
  <c r="Q264" i="8"/>
  <c r="P264" i="8"/>
  <c r="O264" i="8"/>
  <c r="N264" i="8"/>
  <c r="M264" i="8"/>
  <c r="L264" i="8"/>
  <c r="U264" i="8" s="1"/>
  <c r="T263" i="8"/>
  <c r="S263" i="8"/>
  <c r="R263" i="8"/>
  <c r="Q263" i="8"/>
  <c r="P263" i="8"/>
  <c r="O263" i="8"/>
  <c r="N263" i="8"/>
  <c r="M263" i="8"/>
  <c r="L263" i="8"/>
  <c r="T262" i="8"/>
  <c r="S262" i="8"/>
  <c r="R262" i="8"/>
  <c r="Q262" i="8"/>
  <c r="P262" i="8"/>
  <c r="O262" i="8"/>
  <c r="N262" i="8"/>
  <c r="M262" i="8"/>
  <c r="L262" i="8"/>
  <c r="U262" i="8" s="1"/>
  <c r="T261" i="8"/>
  <c r="S261" i="8"/>
  <c r="R261" i="8"/>
  <c r="Q261" i="8"/>
  <c r="P261" i="8"/>
  <c r="O261" i="8"/>
  <c r="N261" i="8"/>
  <c r="M261" i="8"/>
  <c r="L261" i="8"/>
  <c r="T260" i="8"/>
  <c r="S260" i="8"/>
  <c r="R260" i="8"/>
  <c r="Q260" i="8"/>
  <c r="P260" i="8"/>
  <c r="O260" i="8"/>
  <c r="N260" i="8"/>
  <c r="M260" i="8"/>
  <c r="L260" i="8"/>
  <c r="U260" i="8" s="1"/>
  <c r="T259" i="8"/>
  <c r="S259" i="8"/>
  <c r="R259" i="8"/>
  <c r="Q259" i="8"/>
  <c r="P259" i="8"/>
  <c r="O259" i="8"/>
  <c r="N259" i="8"/>
  <c r="M259" i="8"/>
  <c r="L259" i="8"/>
  <c r="T258" i="8"/>
  <c r="S258" i="8"/>
  <c r="R258" i="8"/>
  <c r="Q258" i="8"/>
  <c r="P258" i="8"/>
  <c r="O258" i="8"/>
  <c r="N258" i="8"/>
  <c r="M258" i="8"/>
  <c r="L258" i="8"/>
  <c r="U258" i="8" s="1"/>
  <c r="T257" i="8"/>
  <c r="S257" i="8"/>
  <c r="R257" i="8"/>
  <c r="Q257" i="8"/>
  <c r="P257" i="8"/>
  <c r="O257" i="8"/>
  <c r="N257" i="8"/>
  <c r="M257" i="8"/>
  <c r="L257" i="8"/>
  <c r="T256" i="8"/>
  <c r="S256" i="8"/>
  <c r="R256" i="8"/>
  <c r="Q256" i="8"/>
  <c r="P256" i="8"/>
  <c r="O256" i="8"/>
  <c r="N256" i="8"/>
  <c r="M256" i="8"/>
  <c r="L256" i="8"/>
  <c r="U256" i="8" s="1"/>
  <c r="T255" i="8"/>
  <c r="S255" i="8"/>
  <c r="R255" i="8"/>
  <c r="Q255" i="8"/>
  <c r="P255" i="8"/>
  <c r="O255" i="8"/>
  <c r="N255" i="8"/>
  <c r="M255" i="8"/>
  <c r="L255" i="8"/>
  <c r="T254" i="8"/>
  <c r="S254" i="8"/>
  <c r="R254" i="8"/>
  <c r="Q254" i="8"/>
  <c r="P254" i="8"/>
  <c r="O254" i="8"/>
  <c r="N254" i="8"/>
  <c r="M254" i="8"/>
  <c r="L254" i="8"/>
  <c r="U254" i="8" s="1"/>
  <c r="T253" i="8"/>
  <c r="S253" i="8"/>
  <c r="R253" i="8"/>
  <c r="Q253" i="8"/>
  <c r="P253" i="8"/>
  <c r="O253" i="8"/>
  <c r="N253" i="8"/>
  <c r="M253" i="8"/>
  <c r="L253" i="8"/>
  <c r="T252" i="8"/>
  <c r="S252" i="8"/>
  <c r="R252" i="8"/>
  <c r="Q252" i="8"/>
  <c r="P252" i="8"/>
  <c r="O252" i="8"/>
  <c r="N252" i="8"/>
  <c r="M252" i="8"/>
  <c r="L252" i="8"/>
  <c r="U252" i="8" s="1"/>
  <c r="T251" i="8"/>
  <c r="S251" i="8"/>
  <c r="R251" i="8"/>
  <c r="Q251" i="8"/>
  <c r="P251" i="8"/>
  <c r="O251" i="8"/>
  <c r="N251" i="8"/>
  <c r="M251" i="8"/>
  <c r="L251" i="8"/>
  <c r="T250" i="8"/>
  <c r="S250" i="8"/>
  <c r="R250" i="8"/>
  <c r="Q250" i="8"/>
  <c r="P250" i="8"/>
  <c r="O250" i="8"/>
  <c r="N250" i="8"/>
  <c r="M250" i="8"/>
  <c r="L250" i="8"/>
  <c r="U250" i="8" s="1"/>
  <c r="T249" i="8"/>
  <c r="S249" i="8"/>
  <c r="R249" i="8"/>
  <c r="Q249" i="8"/>
  <c r="P249" i="8"/>
  <c r="O249" i="8"/>
  <c r="N249" i="8"/>
  <c r="M249" i="8"/>
  <c r="L249" i="8"/>
  <c r="T248" i="8"/>
  <c r="S248" i="8"/>
  <c r="R248" i="8"/>
  <c r="Q248" i="8"/>
  <c r="P248" i="8"/>
  <c r="O248" i="8"/>
  <c r="N248" i="8"/>
  <c r="M248" i="8"/>
  <c r="L248" i="8"/>
  <c r="U248" i="8" s="1"/>
  <c r="T247" i="8"/>
  <c r="S247" i="8"/>
  <c r="R247" i="8"/>
  <c r="Q247" i="8"/>
  <c r="P247" i="8"/>
  <c r="O247" i="8"/>
  <c r="N247" i="8"/>
  <c r="M247" i="8"/>
  <c r="L247" i="8"/>
  <c r="T246" i="8"/>
  <c r="S246" i="8"/>
  <c r="R246" i="8"/>
  <c r="Q246" i="8"/>
  <c r="P246" i="8"/>
  <c r="O246" i="8"/>
  <c r="N246" i="8"/>
  <c r="M246" i="8"/>
  <c r="L246" i="8"/>
  <c r="U246" i="8" s="1"/>
  <c r="T245" i="8"/>
  <c r="S245" i="8"/>
  <c r="R245" i="8"/>
  <c r="Q245" i="8"/>
  <c r="P245" i="8"/>
  <c r="O245" i="8"/>
  <c r="N245" i="8"/>
  <c r="M245" i="8"/>
  <c r="L245" i="8"/>
  <c r="T244" i="8"/>
  <c r="S244" i="8"/>
  <c r="R244" i="8"/>
  <c r="Q244" i="8"/>
  <c r="P244" i="8"/>
  <c r="O244" i="8"/>
  <c r="N244" i="8"/>
  <c r="M244" i="8"/>
  <c r="L244" i="8"/>
  <c r="U244" i="8" s="1"/>
  <c r="T243" i="8"/>
  <c r="S243" i="8"/>
  <c r="R243" i="8"/>
  <c r="Q243" i="8"/>
  <c r="P243" i="8"/>
  <c r="O243" i="8"/>
  <c r="N243" i="8"/>
  <c r="M243" i="8"/>
  <c r="L243" i="8"/>
  <c r="T242" i="8"/>
  <c r="S242" i="8"/>
  <c r="R242" i="8"/>
  <c r="Q242" i="8"/>
  <c r="P242" i="8"/>
  <c r="O242" i="8"/>
  <c r="N242" i="8"/>
  <c r="M242" i="8"/>
  <c r="L242" i="8"/>
  <c r="U242" i="8" s="1"/>
  <c r="T241" i="8"/>
  <c r="S241" i="8"/>
  <c r="R241" i="8"/>
  <c r="Q241" i="8"/>
  <c r="P241" i="8"/>
  <c r="O241" i="8"/>
  <c r="N241" i="8"/>
  <c r="M241" i="8"/>
  <c r="L241" i="8"/>
  <c r="T240" i="8"/>
  <c r="S240" i="8"/>
  <c r="R240" i="8"/>
  <c r="Q240" i="8"/>
  <c r="P240" i="8"/>
  <c r="O240" i="8"/>
  <c r="N240" i="8"/>
  <c r="M240" i="8"/>
  <c r="L240" i="8"/>
  <c r="U240" i="8" s="1"/>
  <c r="T239" i="8"/>
  <c r="S239" i="8"/>
  <c r="R239" i="8"/>
  <c r="Q239" i="8"/>
  <c r="P239" i="8"/>
  <c r="O239" i="8"/>
  <c r="N239" i="8"/>
  <c r="M239" i="8"/>
  <c r="L239" i="8"/>
  <c r="T238" i="8"/>
  <c r="S238" i="8"/>
  <c r="R238" i="8"/>
  <c r="Q238" i="8"/>
  <c r="P238" i="8"/>
  <c r="O238" i="8"/>
  <c r="N238" i="8"/>
  <c r="M238" i="8"/>
  <c r="L238" i="8"/>
  <c r="U238" i="8" s="1"/>
  <c r="T237" i="8"/>
  <c r="S237" i="8"/>
  <c r="R237" i="8"/>
  <c r="Q237" i="8"/>
  <c r="P237" i="8"/>
  <c r="O237" i="8"/>
  <c r="N237" i="8"/>
  <c r="M237" i="8"/>
  <c r="L237" i="8"/>
  <c r="T236" i="8"/>
  <c r="S236" i="8"/>
  <c r="R236" i="8"/>
  <c r="Q236" i="8"/>
  <c r="P236" i="8"/>
  <c r="O236" i="8"/>
  <c r="N236" i="8"/>
  <c r="M236" i="8"/>
  <c r="L236" i="8"/>
  <c r="U236" i="8" s="1"/>
  <c r="T235" i="8"/>
  <c r="S235" i="8"/>
  <c r="R235" i="8"/>
  <c r="Q235" i="8"/>
  <c r="P235" i="8"/>
  <c r="O235" i="8"/>
  <c r="N235" i="8"/>
  <c r="M235" i="8"/>
  <c r="L235" i="8"/>
  <c r="T234" i="8"/>
  <c r="S234" i="8"/>
  <c r="R234" i="8"/>
  <c r="Q234" i="8"/>
  <c r="P234" i="8"/>
  <c r="O234" i="8"/>
  <c r="N234" i="8"/>
  <c r="M234" i="8"/>
  <c r="L234" i="8"/>
  <c r="U234" i="8" s="1"/>
  <c r="T233" i="8"/>
  <c r="S233" i="8"/>
  <c r="R233" i="8"/>
  <c r="Q233" i="8"/>
  <c r="P233" i="8"/>
  <c r="O233" i="8"/>
  <c r="N233" i="8"/>
  <c r="M233" i="8"/>
  <c r="L233" i="8"/>
  <c r="T232" i="8"/>
  <c r="S232" i="8"/>
  <c r="R232" i="8"/>
  <c r="Q232" i="8"/>
  <c r="P232" i="8"/>
  <c r="O232" i="8"/>
  <c r="N232" i="8"/>
  <c r="M232" i="8"/>
  <c r="L232" i="8"/>
  <c r="U232" i="8" s="1"/>
  <c r="T231" i="8"/>
  <c r="S231" i="8"/>
  <c r="R231" i="8"/>
  <c r="Q231" i="8"/>
  <c r="P231" i="8"/>
  <c r="O231" i="8"/>
  <c r="N231" i="8"/>
  <c r="M231" i="8"/>
  <c r="L231" i="8"/>
  <c r="T230" i="8"/>
  <c r="S230" i="8"/>
  <c r="R230" i="8"/>
  <c r="Q230" i="8"/>
  <c r="P230" i="8"/>
  <c r="O230" i="8"/>
  <c r="N230" i="8"/>
  <c r="M230" i="8"/>
  <c r="L230" i="8"/>
  <c r="U230" i="8" s="1"/>
  <c r="T229" i="8"/>
  <c r="S229" i="8"/>
  <c r="R229" i="8"/>
  <c r="Q229" i="8"/>
  <c r="P229" i="8"/>
  <c r="O229" i="8"/>
  <c r="N229" i="8"/>
  <c r="M229" i="8"/>
  <c r="L229" i="8"/>
  <c r="T228" i="8"/>
  <c r="S228" i="8"/>
  <c r="R228" i="8"/>
  <c r="Q228" i="8"/>
  <c r="P228" i="8"/>
  <c r="O228" i="8"/>
  <c r="N228" i="8"/>
  <c r="M228" i="8"/>
  <c r="L228" i="8"/>
  <c r="U228" i="8" s="1"/>
  <c r="T227" i="8"/>
  <c r="S227" i="8"/>
  <c r="R227" i="8"/>
  <c r="Q227" i="8"/>
  <c r="P227" i="8"/>
  <c r="O227" i="8"/>
  <c r="N227" i="8"/>
  <c r="M227" i="8"/>
  <c r="L227" i="8"/>
  <c r="T226" i="8"/>
  <c r="S226" i="8"/>
  <c r="R226" i="8"/>
  <c r="Q226" i="8"/>
  <c r="P226" i="8"/>
  <c r="O226" i="8"/>
  <c r="N226" i="8"/>
  <c r="M226" i="8"/>
  <c r="L226" i="8"/>
  <c r="U226" i="8" s="1"/>
  <c r="T225" i="8"/>
  <c r="S225" i="8"/>
  <c r="R225" i="8"/>
  <c r="Q225" i="8"/>
  <c r="P225" i="8"/>
  <c r="O225" i="8"/>
  <c r="N225" i="8"/>
  <c r="M225" i="8"/>
  <c r="L225" i="8"/>
  <c r="T224" i="8"/>
  <c r="S224" i="8"/>
  <c r="R224" i="8"/>
  <c r="Q224" i="8"/>
  <c r="P224" i="8"/>
  <c r="O224" i="8"/>
  <c r="N224" i="8"/>
  <c r="M224" i="8"/>
  <c r="L224" i="8"/>
  <c r="U224" i="8" s="1"/>
  <c r="T223" i="8"/>
  <c r="S223" i="8"/>
  <c r="R223" i="8"/>
  <c r="Q223" i="8"/>
  <c r="P223" i="8"/>
  <c r="O223" i="8"/>
  <c r="N223" i="8"/>
  <c r="M223" i="8"/>
  <c r="L223" i="8"/>
  <c r="T222" i="8"/>
  <c r="S222" i="8"/>
  <c r="R222" i="8"/>
  <c r="Q222" i="8"/>
  <c r="P222" i="8"/>
  <c r="O222" i="8"/>
  <c r="N222" i="8"/>
  <c r="M222" i="8"/>
  <c r="L222" i="8"/>
  <c r="U222" i="8" s="1"/>
  <c r="T221" i="8"/>
  <c r="S221" i="8"/>
  <c r="R221" i="8"/>
  <c r="Q221" i="8"/>
  <c r="P221" i="8"/>
  <c r="O221" i="8"/>
  <c r="N221" i="8"/>
  <c r="M221" i="8"/>
  <c r="L221" i="8"/>
  <c r="T220" i="8"/>
  <c r="S220" i="8"/>
  <c r="R220" i="8"/>
  <c r="Q220" i="8"/>
  <c r="P220" i="8"/>
  <c r="O220" i="8"/>
  <c r="N220" i="8"/>
  <c r="M220" i="8"/>
  <c r="L220" i="8"/>
  <c r="U220" i="8" s="1"/>
  <c r="T219" i="8"/>
  <c r="S219" i="8"/>
  <c r="R219" i="8"/>
  <c r="Q219" i="8"/>
  <c r="P219" i="8"/>
  <c r="O219" i="8"/>
  <c r="N219" i="8"/>
  <c r="M219" i="8"/>
  <c r="L219" i="8"/>
  <c r="T218" i="8"/>
  <c r="S218" i="8"/>
  <c r="R218" i="8"/>
  <c r="Q218" i="8"/>
  <c r="P218" i="8"/>
  <c r="O218" i="8"/>
  <c r="N218" i="8"/>
  <c r="M218" i="8"/>
  <c r="L218" i="8"/>
  <c r="U218" i="8" s="1"/>
  <c r="T217" i="8"/>
  <c r="S217" i="8"/>
  <c r="R217" i="8"/>
  <c r="Q217" i="8"/>
  <c r="P217" i="8"/>
  <c r="O217" i="8"/>
  <c r="N217" i="8"/>
  <c r="M217" i="8"/>
  <c r="L217" i="8"/>
  <c r="T216" i="8"/>
  <c r="S216" i="8"/>
  <c r="R216" i="8"/>
  <c r="Q216" i="8"/>
  <c r="P216" i="8"/>
  <c r="O216" i="8"/>
  <c r="N216" i="8"/>
  <c r="M216" i="8"/>
  <c r="L216" i="8"/>
  <c r="U216" i="8" s="1"/>
  <c r="T215" i="8"/>
  <c r="S215" i="8"/>
  <c r="R215" i="8"/>
  <c r="Q215" i="8"/>
  <c r="P215" i="8"/>
  <c r="O215" i="8"/>
  <c r="N215" i="8"/>
  <c r="M215" i="8"/>
  <c r="L215" i="8"/>
  <c r="T214" i="8"/>
  <c r="S214" i="8"/>
  <c r="R214" i="8"/>
  <c r="Q214" i="8"/>
  <c r="P214" i="8"/>
  <c r="O214" i="8"/>
  <c r="N214" i="8"/>
  <c r="M214" i="8"/>
  <c r="L214" i="8"/>
  <c r="U214" i="8" s="1"/>
  <c r="T213" i="8"/>
  <c r="S213" i="8"/>
  <c r="R213" i="8"/>
  <c r="Q213" i="8"/>
  <c r="P213" i="8"/>
  <c r="O213" i="8"/>
  <c r="N213" i="8"/>
  <c r="M213" i="8"/>
  <c r="L213" i="8"/>
  <c r="T212" i="8"/>
  <c r="S212" i="8"/>
  <c r="R212" i="8"/>
  <c r="Q212" i="8"/>
  <c r="P212" i="8"/>
  <c r="O212" i="8"/>
  <c r="N212" i="8"/>
  <c r="M212" i="8"/>
  <c r="L212" i="8"/>
  <c r="U212" i="8" s="1"/>
  <c r="T211" i="8"/>
  <c r="S211" i="8"/>
  <c r="R211" i="8"/>
  <c r="Q211" i="8"/>
  <c r="P211" i="8"/>
  <c r="O211" i="8"/>
  <c r="N211" i="8"/>
  <c r="M211" i="8"/>
  <c r="L211" i="8"/>
  <c r="T210" i="8"/>
  <c r="S210" i="8"/>
  <c r="R210" i="8"/>
  <c r="Q210" i="8"/>
  <c r="P210" i="8"/>
  <c r="O210" i="8"/>
  <c r="N210" i="8"/>
  <c r="M210" i="8"/>
  <c r="L210" i="8"/>
  <c r="U210" i="8" s="1"/>
  <c r="T209" i="8"/>
  <c r="S209" i="8"/>
  <c r="R209" i="8"/>
  <c r="Q209" i="8"/>
  <c r="P209" i="8"/>
  <c r="O209" i="8"/>
  <c r="N209" i="8"/>
  <c r="M209" i="8"/>
  <c r="L209" i="8"/>
  <c r="T208" i="8"/>
  <c r="S208" i="8"/>
  <c r="R208" i="8"/>
  <c r="Q208" i="8"/>
  <c r="P208" i="8"/>
  <c r="O208" i="8"/>
  <c r="N208" i="8"/>
  <c r="M208" i="8"/>
  <c r="L208" i="8"/>
  <c r="U208" i="8" s="1"/>
  <c r="T207" i="8"/>
  <c r="S207" i="8"/>
  <c r="R207" i="8"/>
  <c r="Q207" i="8"/>
  <c r="P207" i="8"/>
  <c r="O207" i="8"/>
  <c r="N207" i="8"/>
  <c r="M207" i="8"/>
  <c r="L207" i="8"/>
  <c r="T206" i="8"/>
  <c r="S206" i="8"/>
  <c r="R206" i="8"/>
  <c r="Q206" i="8"/>
  <c r="P206" i="8"/>
  <c r="O206" i="8"/>
  <c r="N206" i="8"/>
  <c r="M206" i="8"/>
  <c r="L206" i="8"/>
  <c r="U206" i="8" s="1"/>
  <c r="T205" i="8"/>
  <c r="S205" i="8"/>
  <c r="R205" i="8"/>
  <c r="Q205" i="8"/>
  <c r="P205" i="8"/>
  <c r="O205" i="8"/>
  <c r="N205" i="8"/>
  <c r="M205" i="8"/>
  <c r="L205" i="8"/>
  <c r="T204" i="8"/>
  <c r="S204" i="8"/>
  <c r="R204" i="8"/>
  <c r="Q204" i="8"/>
  <c r="P204" i="8"/>
  <c r="O204" i="8"/>
  <c r="N204" i="8"/>
  <c r="M204" i="8"/>
  <c r="L204" i="8"/>
  <c r="U204" i="8" s="1"/>
  <c r="T203" i="8"/>
  <c r="S203" i="8"/>
  <c r="R203" i="8"/>
  <c r="Q203" i="8"/>
  <c r="P203" i="8"/>
  <c r="O203" i="8"/>
  <c r="N203" i="8"/>
  <c r="M203" i="8"/>
  <c r="L203" i="8"/>
  <c r="T202" i="8"/>
  <c r="S202" i="8"/>
  <c r="R202" i="8"/>
  <c r="Q202" i="8"/>
  <c r="P202" i="8"/>
  <c r="O202" i="8"/>
  <c r="N202" i="8"/>
  <c r="M202" i="8"/>
  <c r="L202" i="8"/>
  <c r="U202" i="8" s="1"/>
  <c r="T201" i="8"/>
  <c r="S201" i="8"/>
  <c r="R201" i="8"/>
  <c r="Q201" i="8"/>
  <c r="P201" i="8"/>
  <c r="O201" i="8"/>
  <c r="N201" i="8"/>
  <c r="M201" i="8"/>
  <c r="L201" i="8"/>
  <c r="T200" i="8"/>
  <c r="S200" i="8"/>
  <c r="R200" i="8"/>
  <c r="Q200" i="8"/>
  <c r="P200" i="8"/>
  <c r="O200" i="8"/>
  <c r="N200" i="8"/>
  <c r="M200" i="8"/>
  <c r="L200" i="8"/>
  <c r="U200" i="8" s="1"/>
  <c r="T199" i="8"/>
  <c r="S199" i="8"/>
  <c r="R199" i="8"/>
  <c r="Q199" i="8"/>
  <c r="P199" i="8"/>
  <c r="O199" i="8"/>
  <c r="N199" i="8"/>
  <c r="M199" i="8"/>
  <c r="L199" i="8"/>
  <c r="T198" i="8"/>
  <c r="S198" i="8"/>
  <c r="R198" i="8"/>
  <c r="Q198" i="8"/>
  <c r="P198" i="8"/>
  <c r="O198" i="8"/>
  <c r="N198" i="8"/>
  <c r="M198" i="8"/>
  <c r="L198" i="8"/>
  <c r="U198" i="8" s="1"/>
  <c r="T197" i="8"/>
  <c r="S197" i="8"/>
  <c r="R197" i="8"/>
  <c r="Q197" i="8"/>
  <c r="P197" i="8"/>
  <c r="O197" i="8"/>
  <c r="N197" i="8"/>
  <c r="M197" i="8"/>
  <c r="L197" i="8"/>
  <c r="T196" i="8"/>
  <c r="S196" i="8"/>
  <c r="R196" i="8"/>
  <c r="Q196" i="8"/>
  <c r="P196" i="8"/>
  <c r="O196" i="8"/>
  <c r="N196" i="8"/>
  <c r="M196" i="8"/>
  <c r="L196" i="8"/>
  <c r="U196" i="8" s="1"/>
  <c r="T195" i="8"/>
  <c r="S195" i="8"/>
  <c r="R195" i="8"/>
  <c r="Q195" i="8"/>
  <c r="P195" i="8"/>
  <c r="O195" i="8"/>
  <c r="N195" i="8"/>
  <c r="M195" i="8"/>
  <c r="L195" i="8"/>
  <c r="T194" i="8"/>
  <c r="S194" i="8"/>
  <c r="R194" i="8"/>
  <c r="Q194" i="8"/>
  <c r="P194" i="8"/>
  <c r="O194" i="8"/>
  <c r="N194" i="8"/>
  <c r="M194" i="8"/>
  <c r="L194" i="8"/>
  <c r="U194" i="8" s="1"/>
  <c r="T193" i="8"/>
  <c r="S193" i="8"/>
  <c r="R193" i="8"/>
  <c r="Q193" i="8"/>
  <c r="P193" i="8"/>
  <c r="O193" i="8"/>
  <c r="N193" i="8"/>
  <c r="M193" i="8"/>
  <c r="L193" i="8"/>
  <c r="T192" i="8"/>
  <c r="S192" i="8"/>
  <c r="R192" i="8"/>
  <c r="Q192" i="8"/>
  <c r="P192" i="8"/>
  <c r="O192" i="8"/>
  <c r="N192" i="8"/>
  <c r="M192" i="8"/>
  <c r="L192" i="8"/>
  <c r="U192" i="8" s="1"/>
  <c r="T191" i="8"/>
  <c r="S191" i="8"/>
  <c r="R191" i="8"/>
  <c r="Q191" i="8"/>
  <c r="P191" i="8"/>
  <c r="O191" i="8"/>
  <c r="N191" i="8"/>
  <c r="M191" i="8"/>
  <c r="L191" i="8"/>
  <c r="T190" i="8"/>
  <c r="S190" i="8"/>
  <c r="R190" i="8"/>
  <c r="Q190" i="8"/>
  <c r="P190" i="8"/>
  <c r="O190" i="8"/>
  <c r="N190" i="8"/>
  <c r="M190" i="8"/>
  <c r="L190" i="8"/>
  <c r="U190" i="8" s="1"/>
  <c r="T189" i="8"/>
  <c r="S189" i="8"/>
  <c r="R189" i="8"/>
  <c r="Q189" i="8"/>
  <c r="P189" i="8"/>
  <c r="O189" i="8"/>
  <c r="N189" i="8"/>
  <c r="M189" i="8"/>
  <c r="L189" i="8"/>
  <c r="T188" i="8"/>
  <c r="S188" i="8"/>
  <c r="R188" i="8"/>
  <c r="Q188" i="8"/>
  <c r="P188" i="8"/>
  <c r="O188" i="8"/>
  <c r="N188" i="8"/>
  <c r="M188" i="8"/>
  <c r="L188" i="8"/>
  <c r="U188" i="8" s="1"/>
  <c r="T187" i="8"/>
  <c r="S187" i="8"/>
  <c r="R187" i="8"/>
  <c r="Q187" i="8"/>
  <c r="P187" i="8"/>
  <c r="O187" i="8"/>
  <c r="N187" i="8"/>
  <c r="M187" i="8"/>
  <c r="L187" i="8"/>
  <c r="T186" i="8"/>
  <c r="S186" i="8"/>
  <c r="R186" i="8"/>
  <c r="Q186" i="8"/>
  <c r="P186" i="8"/>
  <c r="O186" i="8"/>
  <c r="N186" i="8"/>
  <c r="M186" i="8"/>
  <c r="L186" i="8"/>
  <c r="U186" i="8" s="1"/>
  <c r="T185" i="8"/>
  <c r="S185" i="8"/>
  <c r="R185" i="8"/>
  <c r="Q185" i="8"/>
  <c r="P185" i="8"/>
  <c r="O185" i="8"/>
  <c r="N185" i="8"/>
  <c r="M185" i="8"/>
  <c r="L185" i="8"/>
  <c r="T184" i="8"/>
  <c r="S184" i="8"/>
  <c r="R184" i="8"/>
  <c r="Q184" i="8"/>
  <c r="P184" i="8"/>
  <c r="O184" i="8"/>
  <c r="N184" i="8"/>
  <c r="M184" i="8"/>
  <c r="L184" i="8"/>
  <c r="U184" i="8" s="1"/>
  <c r="T183" i="8"/>
  <c r="S183" i="8"/>
  <c r="R183" i="8"/>
  <c r="Q183" i="8"/>
  <c r="P183" i="8"/>
  <c r="O183" i="8"/>
  <c r="N183" i="8"/>
  <c r="M183" i="8"/>
  <c r="L183" i="8"/>
  <c r="T182" i="8"/>
  <c r="S182" i="8"/>
  <c r="R182" i="8"/>
  <c r="Q182" i="8"/>
  <c r="P182" i="8"/>
  <c r="O182" i="8"/>
  <c r="N182" i="8"/>
  <c r="M182" i="8"/>
  <c r="L182" i="8"/>
  <c r="U182" i="8" s="1"/>
  <c r="T181" i="8"/>
  <c r="S181" i="8"/>
  <c r="R181" i="8"/>
  <c r="Q181" i="8"/>
  <c r="P181" i="8"/>
  <c r="O181" i="8"/>
  <c r="N181" i="8"/>
  <c r="M181" i="8"/>
  <c r="L181" i="8"/>
  <c r="T180" i="8"/>
  <c r="S180" i="8"/>
  <c r="R180" i="8"/>
  <c r="Q180" i="8"/>
  <c r="P180" i="8"/>
  <c r="O180" i="8"/>
  <c r="N180" i="8"/>
  <c r="M180" i="8"/>
  <c r="L180" i="8"/>
  <c r="U180" i="8" s="1"/>
  <c r="T179" i="8"/>
  <c r="S179" i="8"/>
  <c r="R179" i="8"/>
  <c r="Q179" i="8"/>
  <c r="P179" i="8"/>
  <c r="O179" i="8"/>
  <c r="N179" i="8"/>
  <c r="M179" i="8"/>
  <c r="L179" i="8"/>
  <c r="T178" i="8"/>
  <c r="S178" i="8"/>
  <c r="R178" i="8"/>
  <c r="Q178" i="8"/>
  <c r="P178" i="8"/>
  <c r="O178" i="8"/>
  <c r="N178" i="8"/>
  <c r="M178" i="8"/>
  <c r="L178" i="8"/>
  <c r="U178" i="8" s="1"/>
  <c r="T177" i="8"/>
  <c r="S177" i="8"/>
  <c r="R177" i="8"/>
  <c r="Q177" i="8"/>
  <c r="P177" i="8"/>
  <c r="O177" i="8"/>
  <c r="N177" i="8"/>
  <c r="M177" i="8"/>
  <c r="L177" i="8"/>
  <c r="T176" i="8"/>
  <c r="S176" i="8"/>
  <c r="R176" i="8"/>
  <c r="Q176" i="8"/>
  <c r="P176" i="8"/>
  <c r="O176" i="8"/>
  <c r="N176" i="8"/>
  <c r="M176" i="8"/>
  <c r="L176" i="8"/>
  <c r="U176" i="8" s="1"/>
  <c r="T175" i="8"/>
  <c r="S175" i="8"/>
  <c r="R175" i="8"/>
  <c r="Q175" i="8"/>
  <c r="P175" i="8"/>
  <c r="O175" i="8"/>
  <c r="N175" i="8"/>
  <c r="M175" i="8"/>
  <c r="L175" i="8"/>
  <c r="T174" i="8"/>
  <c r="S174" i="8"/>
  <c r="R174" i="8"/>
  <c r="Q174" i="8"/>
  <c r="P174" i="8"/>
  <c r="O174" i="8"/>
  <c r="N174" i="8"/>
  <c r="M174" i="8"/>
  <c r="L174" i="8"/>
  <c r="U174" i="8" s="1"/>
  <c r="T173" i="8"/>
  <c r="S173" i="8"/>
  <c r="R173" i="8"/>
  <c r="Q173" i="8"/>
  <c r="P173" i="8"/>
  <c r="O173" i="8"/>
  <c r="N173" i="8"/>
  <c r="M173" i="8"/>
  <c r="L173" i="8"/>
  <c r="T172" i="8"/>
  <c r="S172" i="8"/>
  <c r="R172" i="8"/>
  <c r="Q172" i="8"/>
  <c r="P172" i="8"/>
  <c r="O172" i="8"/>
  <c r="N172" i="8"/>
  <c r="M172" i="8"/>
  <c r="L172" i="8"/>
  <c r="U172" i="8" s="1"/>
  <c r="T171" i="8"/>
  <c r="S171" i="8"/>
  <c r="R171" i="8"/>
  <c r="Q171" i="8"/>
  <c r="P171" i="8"/>
  <c r="O171" i="8"/>
  <c r="N171" i="8"/>
  <c r="M171" i="8"/>
  <c r="L171" i="8"/>
  <c r="T170" i="8"/>
  <c r="S170" i="8"/>
  <c r="R170" i="8"/>
  <c r="Q170" i="8"/>
  <c r="P170" i="8"/>
  <c r="O170" i="8"/>
  <c r="N170" i="8"/>
  <c r="M170" i="8"/>
  <c r="L170" i="8"/>
  <c r="U170" i="8" s="1"/>
  <c r="T169" i="8"/>
  <c r="S169" i="8"/>
  <c r="R169" i="8"/>
  <c r="Q169" i="8"/>
  <c r="P169" i="8"/>
  <c r="O169" i="8"/>
  <c r="N169" i="8"/>
  <c r="M169" i="8"/>
  <c r="L169" i="8"/>
  <c r="T168" i="8"/>
  <c r="S168" i="8"/>
  <c r="R168" i="8"/>
  <c r="Q168" i="8"/>
  <c r="P168" i="8"/>
  <c r="O168" i="8"/>
  <c r="N168" i="8"/>
  <c r="M168" i="8"/>
  <c r="L168" i="8"/>
  <c r="U168" i="8" s="1"/>
  <c r="T167" i="8"/>
  <c r="S167" i="8"/>
  <c r="R167" i="8"/>
  <c r="Q167" i="8"/>
  <c r="P167" i="8"/>
  <c r="O167" i="8"/>
  <c r="N167" i="8"/>
  <c r="M167" i="8"/>
  <c r="L167" i="8"/>
  <c r="T166" i="8"/>
  <c r="S166" i="8"/>
  <c r="R166" i="8"/>
  <c r="Q166" i="8"/>
  <c r="P166" i="8"/>
  <c r="O166" i="8"/>
  <c r="N166" i="8"/>
  <c r="M166" i="8"/>
  <c r="L166" i="8"/>
  <c r="U166" i="8" s="1"/>
  <c r="T165" i="8"/>
  <c r="S165" i="8"/>
  <c r="R165" i="8"/>
  <c r="Q165" i="8"/>
  <c r="P165" i="8"/>
  <c r="O165" i="8"/>
  <c r="N165" i="8"/>
  <c r="M165" i="8"/>
  <c r="L165" i="8"/>
  <c r="T164" i="8"/>
  <c r="S164" i="8"/>
  <c r="R164" i="8"/>
  <c r="Q164" i="8"/>
  <c r="P164" i="8"/>
  <c r="O164" i="8"/>
  <c r="N164" i="8"/>
  <c r="M164" i="8"/>
  <c r="L164" i="8"/>
  <c r="U164" i="8" s="1"/>
  <c r="T163" i="8"/>
  <c r="S163" i="8"/>
  <c r="R163" i="8"/>
  <c r="Q163" i="8"/>
  <c r="P163" i="8"/>
  <c r="O163" i="8"/>
  <c r="N163" i="8"/>
  <c r="M163" i="8"/>
  <c r="L163" i="8"/>
  <c r="T162" i="8"/>
  <c r="S162" i="8"/>
  <c r="R162" i="8"/>
  <c r="Q162" i="8"/>
  <c r="P162" i="8"/>
  <c r="O162" i="8"/>
  <c r="N162" i="8"/>
  <c r="M162" i="8"/>
  <c r="L162" i="8"/>
  <c r="U162" i="8" s="1"/>
  <c r="T161" i="8"/>
  <c r="S161" i="8"/>
  <c r="R161" i="8"/>
  <c r="Q161" i="8"/>
  <c r="P161" i="8"/>
  <c r="O161" i="8"/>
  <c r="N161" i="8"/>
  <c r="M161" i="8"/>
  <c r="L161" i="8"/>
  <c r="T160" i="8"/>
  <c r="S160" i="8"/>
  <c r="R160" i="8"/>
  <c r="Q160" i="8"/>
  <c r="P160" i="8"/>
  <c r="O160" i="8"/>
  <c r="N160" i="8"/>
  <c r="M160" i="8"/>
  <c r="L160" i="8"/>
  <c r="U160" i="8" s="1"/>
  <c r="T159" i="8"/>
  <c r="S159" i="8"/>
  <c r="R159" i="8"/>
  <c r="Q159" i="8"/>
  <c r="P159" i="8"/>
  <c r="O159" i="8"/>
  <c r="N159" i="8"/>
  <c r="M159" i="8"/>
  <c r="L159" i="8"/>
  <c r="T158" i="8"/>
  <c r="S158" i="8"/>
  <c r="R158" i="8"/>
  <c r="Q158" i="8"/>
  <c r="P158" i="8"/>
  <c r="O158" i="8"/>
  <c r="N158" i="8"/>
  <c r="M158" i="8"/>
  <c r="L158" i="8"/>
  <c r="U158" i="8" s="1"/>
  <c r="T157" i="8"/>
  <c r="S157" i="8"/>
  <c r="R157" i="8"/>
  <c r="Q157" i="8"/>
  <c r="P157" i="8"/>
  <c r="O157" i="8"/>
  <c r="N157" i="8"/>
  <c r="M157" i="8"/>
  <c r="L157" i="8"/>
  <c r="T156" i="8"/>
  <c r="S156" i="8"/>
  <c r="R156" i="8"/>
  <c r="Q156" i="8"/>
  <c r="P156" i="8"/>
  <c r="O156" i="8"/>
  <c r="N156" i="8"/>
  <c r="M156" i="8"/>
  <c r="L156" i="8"/>
  <c r="U156" i="8" s="1"/>
  <c r="T155" i="8"/>
  <c r="S155" i="8"/>
  <c r="R155" i="8"/>
  <c r="Q155" i="8"/>
  <c r="P155" i="8"/>
  <c r="O155" i="8"/>
  <c r="N155" i="8"/>
  <c r="M155" i="8"/>
  <c r="L155" i="8"/>
  <c r="T154" i="8"/>
  <c r="S154" i="8"/>
  <c r="R154" i="8"/>
  <c r="Q154" i="8"/>
  <c r="P154" i="8"/>
  <c r="O154" i="8"/>
  <c r="N154" i="8"/>
  <c r="M154" i="8"/>
  <c r="L154" i="8"/>
  <c r="U154" i="8" s="1"/>
  <c r="T153" i="8"/>
  <c r="S153" i="8"/>
  <c r="R153" i="8"/>
  <c r="Q153" i="8"/>
  <c r="P153" i="8"/>
  <c r="O153" i="8"/>
  <c r="N153" i="8"/>
  <c r="M153" i="8"/>
  <c r="L153" i="8"/>
  <c r="T152" i="8"/>
  <c r="S152" i="8"/>
  <c r="R152" i="8"/>
  <c r="Q152" i="8"/>
  <c r="P152" i="8"/>
  <c r="O152" i="8"/>
  <c r="N152" i="8"/>
  <c r="M152" i="8"/>
  <c r="L152" i="8"/>
  <c r="U152" i="8" s="1"/>
  <c r="T151" i="8"/>
  <c r="S151" i="8"/>
  <c r="R151" i="8"/>
  <c r="Q151" i="8"/>
  <c r="P151" i="8"/>
  <c r="O151" i="8"/>
  <c r="N151" i="8"/>
  <c r="M151" i="8"/>
  <c r="L151" i="8"/>
  <c r="T150" i="8"/>
  <c r="S150" i="8"/>
  <c r="R150" i="8"/>
  <c r="Q150" i="8"/>
  <c r="P150" i="8"/>
  <c r="O150" i="8"/>
  <c r="N150" i="8"/>
  <c r="M150" i="8"/>
  <c r="L150" i="8"/>
  <c r="U150" i="8" s="1"/>
  <c r="T149" i="8"/>
  <c r="S149" i="8"/>
  <c r="R149" i="8"/>
  <c r="Q149" i="8"/>
  <c r="P149" i="8"/>
  <c r="O149" i="8"/>
  <c r="N149" i="8"/>
  <c r="M149" i="8"/>
  <c r="L149" i="8"/>
  <c r="T148" i="8"/>
  <c r="S148" i="8"/>
  <c r="R148" i="8"/>
  <c r="Q148" i="8"/>
  <c r="P148" i="8"/>
  <c r="O148" i="8"/>
  <c r="N148" i="8"/>
  <c r="M148" i="8"/>
  <c r="L148" i="8"/>
  <c r="U148" i="8" s="1"/>
  <c r="T147" i="8"/>
  <c r="S147" i="8"/>
  <c r="R147" i="8"/>
  <c r="Q147" i="8"/>
  <c r="P147" i="8"/>
  <c r="O147" i="8"/>
  <c r="N147" i="8"/>
  <c r="M147" i="8"/>
  <c r="L147" i="8"/>
  <c r="T146" i="8"/>
  <c r="S146" i="8"/>
  <c r="R146" i="8"/>
  <c r="Q146" i="8"/>
  <c r="P146" i="8"/>
  <c r="O146" i="8"/>
  <c r="N146" i="8"/>
  <c r="M146" i="8"/>
  <c r="L146" i="8"/>
  <c r="U146" i="8" s="1"/>
  <c r="T145" i="8"/>
  <c r="S145" i="8"/>
  <c r="R145" i="8"/>
  <c r="Q145" i="8"/>
  <c r="P145" i="8"/>
  <c r="O145" i="8"/>
  <c r="N145" i="8"/>
  <c r="M145" i="8"/>
  <c r="L145" i="8"/>
  <c r="T144" i="8"/>
  <c r="S144" i="8"/>
  <c r="R144" i="8"/>
  <c r="Q144" i="8"/>
  <c r="P144" i="8"/>
  <c r="O144" i="8"/>
  <c r="N144" i="8"/>
  <c r="M144" i="8"/>
  <c r="L144" i="8"/>
  <c r="U144" i="8" s="1"/>
  <c r="T143" i="8"/>
  <c r="S143" i="8"/>
  <c r="R143" i="8"/>
  <c r="Q143" i="8"/>
  <c r="P143" i="8"/>
  <c r="O143" i="8"/>
  <c r="N143" i="8"/>
  <c r="M143" i="8"/>
  <c r="L143" i="8"/>
  <c r="T142" i="8"/>
  <c r="S142" i="8"/>
  <c r="R142" i="8"/>
  <c r="Q142" i="8"/>
  <c r="P142" i="8"/>
  <c r="O142" i="8"/>
  <c r="N142" i="8"/>
  <c r="M142" i="8"/>
  <c r="L142" i="8"/>
  <c r="U142" i="8" s="1"/>
  <c r="T141" i="8"/>
  <c r="S141" i="8"/>
  <c r="R141" i="8"/>
  <c r="Q141" i="8"/>
  <c r="P141" i="8"/>
  <c r="O141" i="8"/>
  <c r="N141" i="8"/>
  <c r="M141" i="8"/>
  <c r="L141" i="8"/>
  <c r="T140" i="8"/>
  <c r="S140" i="8"/>
  <c r="R140" i="8"/>
  <c r="Q140" i="8"/>
  <c r="P140" i="8"/>
  <c r="O140" i="8"/>
  <c r="N140" i="8"/>
  <c r="M140" i="8"/>
  <c r="L140" i="8"/>
  <c r="U140" i="8" s="1"/>
  <c r="T139" i="8"/>
  <c r="S139" i="8"/>
  <c r="R139" i="8"/>
  <c r="Q139" i="8"/>
  <c r="P139" i="8"/>
  <c r="O139" i="8"/>
  <c r="N139" i="8"/>
  <c r="M139" i="8"/>
  <c r="L139" i="8"/>
  <c r="T138" i="8"/>
  <c r="S138" i="8"/>
  <c r="R138" i="8"/>
  <c r="Q138" i="8"/>
  <c r="P138" i="8"/>
  <c r="O138" i="8"/>
  <c r="N138" i="8"/>
  <c r="M138" i="8"/>
  <c r="L138" i="8"/>
  <c r="U138" i="8" s="1"/>
  <c r="T137" i="8"/>
  <c r="S137" i="8"/>
  <c r="R137" i="8"/>
  <c r="Q137" i="8"/>
  <c r="P137" i="8"/>
  <c r="O137" i="8"/>
  <c r="N137" i="8"/>
  <c r="M137" i="8"/>
  <c r="L137" i="8"/>
  <c r="T136" i="8"/>
  <c r="S136" i="8"/>
  <c r="R136" i="8"/>
  <c r="Q136" i="8"/>
  <c r="P136" i="8"/>
  <c r="O136" i="8"/>
  <c r="N136" i="8"/>
  <c r="M136" i="8"/>
  <c r="L136" i="8"/>
  <c r="U136" i="8" s="1"/>
  <c r="T135" i="8"/>
  <c r="S135" i="8"/>
  <c r="R135" i="8"/>
  <c r="Q135" i="8"/>
  <c r="P135" i="8"/>
  <c r="O135" i="8"/>
  <c r="N135" i="8"/>
  <c r="M135" i="8"/>
  <c r="L135" i="8"/>
  <c r="T134" i="8"/>
  <c r="S134" i="8"/>
  <c r="R134" i="8"/>
  <c r="Q134" i="8"/>
  <c r="P134" i="8"/>
  <c r="O134" i="8"/>
  <c r="N134" i="8"/>
  <c r="M134" i="8"/>
  <c r="L134" i="8"/>
  <c r="U134" i="8" s="1"/>
  <c r="T133" i="8"/>
  <c r="S133" i="8"/>
  <c r="R133" i="8"/>
  <c r="Q133" i="8"/>
  <c r="P133" i="8"/>
  <c r="O133" i="8"/>
  <c r="N133" i="8"/>
  <c r="M133" i="8"/>
  <c r="L133" i="8"/>
  <c r="T132" i="8"/>
  <c r="S132" i="8"/>
  <c r="R132" i="8"/>
  <c r="Q132" i="8"/>
  <c r="P132" i="8"/>
  <c r="O132" i="8"/>
  <c r="N132" i="8"/>
  <c r="M132" i="8"/>
  <c r="L132" i="8"/>
  <c r="U132" i="8" s="1"/>
  <c r="T131" i="8"/>
  <c r="S131" i="8"/>
  <c r="R131" i="8"/>
  <c r="Q131" i="8"/>
  <c r="P131" i="8"/>
  <c r="O131" i="8"/>
  <c r="N131" i="8"/>
  <c r="M131" i="8"/>
  <c r="L131" i="8"/>
  <c r="T130" i="8"/>
  <c r="S130" i="8"/>
  <c r="R130" i="8"/>
  <c r="Q130" i="8"/>
  <c r="P130" i="8"/>
  <c r="O130" i="8"/>
  <c r="N130" i="8"/>
  <c r="M130" i="8"/>
  <c r="L130" i="8"/>
  <c r="U130" i="8" s="1"/>
  <c r="T129" i="8"/>
  <c r="S129" i="8"/>
  <c r="R129" i="8"/>
  <c r="Q129" i="8"/>
  <c r="P129" i="8"/>
  <c r="O129" i="8"/>
  <c r="N129" i="8"/>
  <c r="M129" i="8"/>
  <c r="L129" i="8"/>
  <c r="T128" i="8"/>
  <c r="S128" i="8"/>
  <c r="R128" i="8"/>
  <c r="Q128" i="8"/>
  <c r="P128" i="8"/>
  <c r="O128" i="8"/>
  <c r="N128" i="8"/>
  <c r="M128" i="8"/>
  <c r="L128" i="8"/>
  <c r="U128" i="8" s="1"/>
  <c r="T127" i="8"/>
  <c r="S127" i="8"/>
  <c r="R127" i="8"/>
  <c r="Q127" i="8"/>
  <c r="P127" i="8"/>
  <c r="O127" i="8"/>
  <c r="N127" i="8"/>
  <c r="M127" i="8"/>
  <c r="L127" i="8"/>
  <c r="T126" i="8"/>
  <c r="S126" i="8"/>
  <c r="R126" i="8"/>
  <c r="Q126" i="8"/>
  <c r="P126" i="8"/>
  <c r="O126" i="8"/>
  <c r="N126" i="8"/>
  <c r="M126" i="8"/>
  <c r="L126" i="8"/>
  <c r="U126" i="8" s="1"/>
  <c r="T125" i="8"/>
  <c r="S125" i="8"/>
  <c r="R125" i="8"/>
  <c r="Q125" i="8"/>
  <c r="P125" i="8"/>
  <c r="O125" i="8"/>
  <c r="N125" i="8"/>
  <c r="M125" i="8"/>
  <c r="L125" i="8"/>
  <c r="T124" i="8"/>
  <c r="S124" i="8"/>
  <c r="R124" i="8"/>
  <c r="Q124" i="8"/>
  <c r="P124" i="8"/>
  <c r="O124" i="8"/>
  <c r="N124" i="8"/>
  <c r="M124" i="8"/>
  <c r="L124" i="8"/>
  <c r="U124" i="8" s="1"/>
  <c r="T123" i="8"/>
  <c r="S123" i="8"/>
  <c r="R123" i="8"/>
  <c r="Q123" i="8"/>
  <c r="P123" i="8"/>
  <c r="O123" i="8"/>
  <c r="N123" i="8"/>
  <c r="M123" i="8"/>
  <c r="L123" i="8"/>
  <c r="T122" i="8"/>
  <c r="S122" i="8"/>
  <c r="R122" i="8"/>
  <c r="Q122" i="8"/>
  <c r="P122" i="8"/>
  <c r="O122" i="8"/>
  <c r="N122" i="8"/>
  <c r="M122" i="8"/>
  <c r="L122" i="8"/>
  <c r="U122" i="8" s="1"/>
  <c r="T121" i="8"/>
  <c r="S121" i="8"/>
  <c r="R121" i="8"/>
  <c r="Q121" i="8"/>
  <c r="P121" i="8"/>
  <c r="O121" i="8"/>
  <c r="N121" i="8"/>
  <c r="M121" i="8"/>
  <c r="L121" i="8"/>
  <c r="T120" i="8"/>
  <c r="S120" i="8"/>
  <c r="R120" i="8"/>
  <c r="Q120" i="8"/>
  <c r="P120" i="8"/>
  <c r="O120" i="8"/>
  <c r="N120" i="8"/>
  <c r="M120" i="8"/>
  <c r="L120" i="8"/>
  <c r="U120" i="8" s="1"/>
  <c r="T119" i="8"/>
  <c r="S119" i="8"/>
  <c r="R119" i="8"/>
  <c r="Q119" i="8"/>
  <c r="P119" i="8"/>
  <c r="O119" i="8"/>
  <c r="N119" i="8"/>
  <c r="M119" i="8"/>
  <c r="L119" i="8"/>
  <c r="T118" i="8"/>
  <c r="S118" i="8"/>
  <c r="R118" i="8"/>
  <c r="Q118" i="8"/>
  <c r="P118" i="8"/>
  <c r="O118" i="8"/>
  <c r="N118" i="8"/>
  <c r="M118" i="8"/>
  <c r="L118" i="8"/>
  <c r="U118" i="8" s="1"/>
  <c r="T117" i="8"/>
  <c r="S117" i="8"/>
  <c r="R117" i="8"/>
  <c r="Q117" i="8"/>
  <c r="P117" i="8"/>
  <c r="O117" i="8"/>
  <c r="N117" i="8"/>
  <c r="M117" i="8"/>
  <c r="L117" i="8"/>
  <c r="T116" i="8"/>
  <c r="S116" i="8"/>
  <c r="R116" i="8"/>
  <c r="Q116" i="8"/>
  <c r="P116" i="8"/>
  <c r="O116" i="8"/>
  <c r="N116" i="8"/>
  <c r="M116" i="8"/>
  <c r="L116" i="8"/>
  <c r="U116" i="8" s="1"/>
  <c r="T115" i="8"/>
  <c r="S115" i="8"/>
  <c r="R115" i="8"/>
  <c r="Q115" i="8"/>
  <c r="P115" i="8"/>
  <c r="O115" i="8"/>
  <c r="N115" i="8"/>
  <c r="M115" i="8"/>
  <c r="L115" i="8"/>
  <c r="T114" i="8"/>
  <c r="S114" i="8"/>
  <c r="R114" i="8"/>
  <c r="Q114" i="8"/>
  <c r="P114" i="8"/>
  <c r="O114" i="8"/>
  <c r="N114" i="8"/>
  <c r="M114" i="8"/>
  <c r="L114" i="8"/>
  <c r="U114" i="8" s="1"/>
  <c r="T113" i="8"/>
  <c r="S113" i="8"/>
  <c r="R113" i="8"/>
  <c r="Q113" i="8"/>
  <c r="P113" i="8"/>
  <c r="O113" i="8"/>
  <c r="N113" i="8"/>
  <c r="M113" i="8"/>
  <c r="L113" i="8"/>
  <c r="T112" i="8"/>
  <c r="S112" i="8"/>
  <c r="R112" i="8"/>
  <c r="Q112" i="8"/>
  <c r="P112" i="8"/>
  <c r="O112" i="8"/>
  <c r="N112" i="8"/>
  <c r="M112" i="8"/>
  <c r="L112" i="8"/>
  <c r="U112" i="8" s="1"/>
  <c r="T111" i="8"/>
  <c r="S111" i="8"/>
  <c r="R111" i="8"/>
  <c r="Q111" i="8"/>
  <c r="P111" i="8"/>
  <c r="O111" i="8"/>
  <c r="N111" i="8"/>
  <c r="M111" i="8"/>
  <c r="L111" i="8"/>
  <c r="T110" i="8"/>
  <c r="S110" i="8"/>
  <c r="R110" i="8"/>
  <c r="Q110" i="8"/>
  <c r="P110" i="8"/>
  <c r="O110" i="8"/>
  <c r="N110" i="8"/>
  <c r="M110" i="8"/>
  <c r="L110" i="8"/>
  <c r="U110" i="8" s="1"/>
  <c r="T109" i="8"/>
  <c r="S109" i="8"/>
  <c r="R109" i="8"/>
  <c r="Q109" i="8"/>
  <c r="P109" i="8"/>
  <c r="O109" i="8"/>
  <c r="N109" i="8"/>
  <c r="M109" i="8"/>
  <c r="L109" i="8"/>
  <c r="T108" i="8"/>
  <c r="S108" i="8"/>
  <c r="R108" i="8"/>
  <c r="Q108" i="8"/>
  <c r="P108" i="8"/>
  <c r="O108" i="8"/>
  <c r="N108" i="8"/>
  <c r="M108" i="8"/>
  <c r="L108" i="8"/>
  <c r="U108" i="8" s="1"/>
  <c r="T107" i="8"/>
  <c r="S107" i="8"/>
  <c r="R107" i="8"/>
  <c r="Q107" i="8"/>
  <c r="P107" i="8"/>
  <c r="O107" i="8"/>
  <c r="N107" i="8"/>
  <c r="M107" i="8"/>
  <c r="L107" i="8"/>
  <c r="T106" i="8"/>
  <c r="S106" i="8"/>
  <c r="R106" i="8"/>
  <c r="Q106" i="8"/>
  <c r="P106" i="8"/>
  <c r="O106" i="8"/>
  <c r="N106" i="8"/>
  <c r="M106" i="8"/>
  <c r="L106" i="8"/>
  <c r="U106" i="8" s="1"/>
  <c r="T105" i="8"/>
  <c r="S105" i="8"/>
  <c r="R105" i="8"/>
  <c r="Q105" i="8"/>
  <c r="P105" i="8"/>
  <c r="O105" i="8"/>
  <c r="N105" i="8"/>
  <c r="M105" i="8"/>
  <c r="L105" i="8"/>
  <c r="T104" i="8"/>
  <c r="S104" i="8"/>
  <c r="R104" i="8"/>
  <c r="Q104" i="8"/>
  <c r="P104" i="8"/>
  <c r="O104" i="8"/>
  <c r="N104" i="8"/>
  <c r="M104" i="8"/>
  <c r="L104" i="8"/>
  <c r="U104" i="8" s="1"/>
  <c r="T103" i="8"/>
  <c r="S103" i="8"/>
  <c r="R103" i="8"/>
  <c r="Q103" i="8"/>
  <c r="P103" i="8"/>
  <c r="O103" i="8"/>
  <c r="N103" i="8"/>
  <c r="M103" i="8"/>
  <c r="L103" i="8"/>
  <c r="T102" i="8"/>
  <c r="S102" i="8"/>
  <c r="R102" i="8"/>
  <c r="Q102" i="8"/>
  <c r="P102" i="8"/>
  <c r="O102" i="8"/>
  <c r="N102" i="8"/>
  <c r="M102" i="8"/>
  <c r="L102" i="8"/>
  <c r="U102" i="8" s="1"/>
  <c r="T101" i="8"/>
  <c r="S101" i="8"/>
  <c r="R101" i="8"/>
  <c r="Q101" i="8"/>
  <c r="P101" i="8"/>
  <c r="O101" i="8"/>
  <c r="N101" i="8"/>
  <c r="M101" i="8"/>
  <c r="L101" i="8"/>
  <c r="T100" i="8"/>
  <c r="S100" i="8"/>
  <c r="R100" i="8"/>
  <c r="Q100" i="8"/>
  <c r="P100" i="8"/>
  <c r="O100" i="8"/>
  <c r="N100" i="8"/>
  <c r="M100" i="8"/>
  <c r="L100" i="8"/>
  <c r="U100" i="8" s="1"/>
  <c r="T99" i="8"/>
  <c r="S99" i="8"/>
  <c r="R99" i="8"/>
  <c r="Q99" i="8"/>
  <c r="P99" i="8"/>
  <c r="O99" i="8"/>
  <c r="N99" i="8"/>
  <c r="M99" i="8"/>
  <c r="L99" i="8"/>
  <c r="T98" i="8"/>
  <c r="S98" i="8"/>
  <c r="R98" i="8"/>
  <c r="Q98" i="8"/>
  <c r="P98" i="8"/>
  <c r="O98" i="8"/>
  <c r="N98" i="8"/>
  <c r="M98" i="8"/>
  <c r="L98" i="8"/>
  <c r="U98" i="8" s="1"/>
  <c r="T97" i="8"/>
  <c r="S97" i="8"/>
  <c r="R97" i="8"/>
  <c r="Q97" i="8"/>
  <c r="P97" i="8"/>
  <c r="O97" i="8"/>
  <c r="N97" i="8"/>
  <c r="M97" i="8"/>
  <c r="L97" i="8"/>
  <c r="T96" i="8"/>
  <c r="S96" i="8"/>
  <c r="R96" i="8"/>
  <c r="Q96" i="8"/>
  <c r="P96" i="8"/>
  <c r="O96" i="8"/>
  <c r="N96" i="8"/>
  <c r="M96" i="8"/>
  <c r="L96" i="8"/>
  <c r="U96" i="8" s="1"/>
  <c r="T95" i="8"/>
  <c r="S95" i="8"/>
  <c r="R95" i="8"/>
  <c r="Q95" i="8"/>
  <c r="P95" i="8"/>
  <c r="O95" i="8"/>
  <c r="N95" i="8"/>
  <c r="M95" i="8"/>
  <c r="L95" i="8"/>
  <c r="T94" i="8"/>
  <c r="S94" i="8"/>
  <c r="R94" i="8"/>
  <c r="Q94" i="8"/>
  <c r="P94" i="8"/>
  <c r="O94" i="8"/>
  <c r="N94" i="8"/>
  <c r="M94" i="8"/>
  <c r="L94" i="8"/>
  <c r="U94" i="8" s="1"/>
  <c r="T93" i="8"/>
  <c r="S93" i="8"/>
  <c r="R93" i="8"/>
  <c r="Q93" i="8"/>
  <c r="P93" i="8"/>
  <c r="O93" i="8"/>
  <c r="N93" i="8"/>
  <c r="M93" i="8"/>
  <c r="L93" i="8"/>
  <c r="T92" i="8"/>
  <c r="S92" i="8"/>
  <c r="R92" i="8"/>
  <c r="Q92" i="8"/>
  <c r="P92" i="8"/>
  <c r="O92" i="8"/>
  <c r="N92" i="8"/>
  <c r="M92" i="8"/>
  <c r="L92" i="8"/>
  <c r="U92" i="8" s="1"/>
  <c r="T91" i="8"/>
  <c r="S91" i="8"/>
  <c r="R91" i="8"/>
  <c r="Q91" i="8"/>
  <c r="P91" i="8"/>
  <c r="O91" i="8"/>
  <c r="N91" i="8"/>
  <c r="M91" i="8"/>
  <c r="L91" i="8"/>
  <c r="T90" i="8"/>
  <c r="S90" i="8"/>
  <c r="R90" i="8"/>
  <c r="Q90" i="8"/>
  <c r="P90" i="8"/>
  <c r="O90" i="8"/>
  <c r="N90" i="8"/>
  <c r="M90" i="8"/>
  <c r="L90" i="8"/>
  <c r="U90" i="8" s="1"/>
  <c r="T89" i="8"/>
  <c r="S89" i="8"/>
  <c r="R89" i="8"/>
  <c r="Q89" i="8"/>
  <c r="P89" i="8"/>
  <c r="O89" i="8"/>
  <c r="N89" i="8"/>
  <c r="M89" i="8"/>
  <c r="L89" i="8"/>
  <c r="T88" i="8"/>
  <c r="S88" i="8"/>
  <c r="R88" i="8"/>
  <c r="Q88" i="8"/>
  <c r="P88" i="8"/>
  <c r="O88" i="8"/>
  <c r="N88" i="8"/>
  <c r="M88" i="8"/>
  <c r="L88" i="8"/>
  <c r="U88" i="8" s="1"/>
  <c r="T87" i="8"/>
  <c r="S87" i="8"/>
  <c r="R87" i="8"/>
  <c r="Q87" i="8"/>
  <c r="P87" i="8"/>
  <c r="O87" i="8"/>
  <c r="N87" i="8"/>
  <c r="M87" i="8"/>
  <c r="L87" i="8"/>
  <c r="T86" i="8"/>
  <c r="S86" i="8"/>
  <c r="R86" i="8"/>
  <c r="Q86" i="8"/>
  <c r="P86" i="8"/>
  <c r="O86" i="8"/>
  <c r="N86" i="8"/>
  <c r="M86" i="8"/>
  <c r="L86" i="8"/>
  <c r="U86" i="8" s="1"/>
  <c r="T85" i="8"/>
  <c r="S85" i="8"/>
  <c r="R85" i="8"/>
  <c r="Q85" i="8"/>
  <c r="P85" i="8"/>
  <c r="O85" i="8"/>
  <c r="N85" i="8"/>
  <c r="M85" i="8"/>
  <c r="L85" i="8"/>
  <c r="T84" i="8"/>
  <c r="S84" i="8"/>
  <c r="R84" i="8"/>
  <c r="Q84" i="8"/>
  <c r="P84" i="8"/>
  <c r="O84" i="8"/>
  <c r="N84" i="8"/>
  <c r="M84" i="8"/>
  <c r="L84" i="8"/>
  <c r="U84" i="8" s="1"/>
  <c r="T83" i="8"/>
  <c r="S83" i="8"/>
  <c r="R83" i="8"/>
  <c r="Q83" i="8"/>
  <c r="P83" i="8"/>
  <c r="O83" i="8"/>
  <c r="N83" i="8"/>
  <c r="M83" i="8"/>
  <c r="L83" i="8"/>
  <c r="T82" i="8"/>
  <c r="S82" i="8"/>
  <c r="R82" i="8"/>
  <c r="Q82" i="8"/>
  <c r="P82" i="8"/>
  <c r="O82" i="8"/>
  <c r="N82" i="8"/>
  <c r="M82" i="8"/>
  <c r="L82" i="8"/>
  <c r="U82" i="8" s="1"/>
  <c r="T81" i="8"/>
  <c r="S81" i="8"/>
  <c r="R81" i="8"/>
  <c r="Q81" i="8"/>
  <c r="P81" i="8"/>
  <c r="O81" i="8"/>
  <c r="N81" i="8"/>
  <c r="M81" i="8"/>
  <c r="L81" i="8"/>
  <c r="T80" i="8"/>
  <c r="S80" i="8"/>
  <c r="R80" i="8"/>
  <c r="Q80" i="8"/>
  <c r="P80" i="8"/>
  <c r="O80" i="8"/>
  <c r="N80" i="8"/>
  <c r="M80" i="8"/>
  <c r="L80" i="8"/>
  <c r="U80" i="8" s="1"/>
  <c r="T79" i="8"/>
  <c r="S79" i="8"/>
  <c r="R79" i="8"/>
  <c r="Q79" i="8"/>
  <c r="P79" i="8"/>
  <c r="O79" i="8"/>
  <c r="N79" i="8"/>
  <c r="M79" i="8"/>
  <c r="L79" i="8"/>
  <c r="T78" i="8"/>
  <c r="S78" i="8"/>
  <c r="R78" i="8"/>
  <c r="Q78" i="8"/>
  <c r="P78" i="8"/>
  <c r="O78" i="8"/>
  <c r="N78" i="8"/>
  <c r="M78" i="8"/>
  <c r="L78" i="8"/>
  <c r="U78" i="8" s="1"/>
  <c r="T77" i="8"/>
  <c r="S77" i="8"/>
  <c r="R77" i="8"/>
  <c r="Q77" i="8"/>
  <c r="P77" i="8"/>
  <c r="O77" i="8"/>
  <c r="N77" i="8"/>
  <c r="M77" i="8"/>
  <c r="L77" i="8"/>
  <c r="T76" i="8"/>
  <c r="S76" i="8"/>
  <c r="R76" i="8"/>
  <c r="Q76" i="8"/>
  <c r="P76" i="8"/>
  <c r="O76" i="8"/>
  <c r="N76" i="8"/>
  <c r="M76" i="8"/>
  <c r="L76" i="8"/>
  <c r="U76" i="8" s="1"/>
  <c r="T75" i="8"/>
  <c r="S75" i="8"/>
  <c r="R75" i="8"/>
  <c r="Q75" i="8"/>
  <c r="P75" i="8"/>
  <c r="O75" i="8"/>
  <c r="N75" i="8"/>
  <c r="M75" i="8"/>
  <c r="L75" i="8"/>
  <c r="T74" i="8"/>
  <c r="S74" i="8"/>
  <c r="R74" i="8"/>
  <c r="Q74" i="8"/>
  <c r="P74" i="8"/>
  <c r="O74" i="8"/>
  <c r="N74" i="8"/>
  <c r="M74" i="8"/>
  <c r="L74" i="8"/>
  <c r="U74" i="8" s="1"/>
  <c r="T73" i="8"/>
  <c r="S73" i="8"/>
  <c r="R73" i="8"/>
  <c r="Q73" i="8"/>
  <c r="P73" i="8"/>
  <c r="O73" i="8"/>
  <c r="N73" i="8"/>
  <c r="M73" i="8"/>
  <c r="L73" i="8"/>
  <c r="T72" i="8"/>
  <c r="S72" i="8"/>
  <c r="R72" i="8"/>
  <c r="Q72" i="8"/>
  <c r="P72" i="8"/>
  <c r="O72" i="8"/>
  <c r="N72" i="8"/>
  <c r="M72" i="8"/>
  <c r="L72" i="8"/>
  <c r="U72" i="8" s="1"/>
  <c r="T71" i="8"/>
  <c r="S71" i="8"/>
  <c r="R71" i="8"/>
  <c r="Q71" i="8"/>
  <c r="P71" i="8"/>
  <c r="O71" i="8"/>
  <c r="N71" i="8"/>
  <c r="M71" i="8"/>
  <c r="L71" i="8"/>
  <c r="T70" i="8"/>
  <c r="S70" i="8"/>
  <c r="R70" i="8"/>
  <c r="Q70" i="8"/>
  <c r="P70" i="8"/>
  <c r="O70" i="8"/>
  <c r="N70" i="8"/>
  <c r="M70" i="8"/>
  <c r="L70" i="8"/>
  <c r="U70" i="8" s="1"/>
  <c r="T69" i="8"/>
  <c r="S69" i="8"/>
  <c r="R69" i="8"/>
  <c r="Q69" i="8"/>
  <c r="P69" i="8"/>
  <c r="O69" i="8"/>
  <c r="N69" i="8"/>
  <c r="M69" i="8"/>
  <c r="L69" i="8"/>
  <c r="T68" i="8"/>
  <c r="S68" i="8"/>
  <c r="R68" i="8"/>
  <c r="Q68" i="8"/>
  <c r="P68" i="8"/>
  <c r="O68" i="8"/>
  <c r="N68" i="8"/>
  <c r="M68" i="8"/>
  <c r="L68" i="8"/>
  <c r="U68" i="8" s="1"/>
  <c r="T67" i="8"/>
  <c r="S67" i="8"/>
  <c r="R67" i="8"/>
  <c r="Q67" i="8"/>
  <c r="P67" i="8"/>
  <c r="O67" i="8"/>
  <c r="N67" i="8"/>
  <c r="M67" i="8"/>
  <c r="L67" i="8"/>
  <c r="T66" i="8"/>
  <c r="S66" i="8"/>
  <c r="R66" i="8"/>
  <c r="Q66" i="8"/>
  <c r="P66" i="8"/>
  <c r="O66" i="8"/>
  <c r="N66" i="8"/>
  <c r="M66" i="8"/>
  <c r="L66" i="8"/>
  <c r="U66" i="8" s="1"/>
  <c r="T65" i="8"/>
  <c r="S65" i="8"/>
  <c r="R65" i="8"/>
  <c r="Q65" i="8"/>
  <c r="P65" i="8"/>
  <c r="O65" i="8"/>
  <c r="N65" i="8"/>
  <c r="M65" i="8"/>
  <c r="L65" i="8"/>
  <c r="T64" i="8"/>
  <c r="S64" i="8"/>
  <c r="R64" i="8"/>
  <c r="Q64" i="8"/>
  <c r="P64" i="8"/>
  <c r="O64" i="8"/>
  <c r="N64" i="8"/>
  <c r="M64" i="8"/>
  <c r="L64" i="8"/>
  <c r="U64" i="8" s="1"/>
  <c r="T63" i="8"/>
  <c r="S63" i="8"/>
  <c r="R63" i="8"/>
  <c r="Q63" i="8"/>
  <c r="P63" i="8"/>
  <c r="O63" i="8"/>
  <c r="N63" i="8"/>
  <c r="M63" i="8"/>
  <c r="L63" i="8"/>
  <c r="T62" i="8"/>
  <c r="S62" i="8"/>
  <c r="R62" i="8"/>
  <c r="Q62" i="8"/>
  <c r="P62" i="8"/>
  <c r="O62" i="8"/>
  <c r="N62" i="8"/>
  <c r="M62" i="8"/>
  <c r="L62" i="8"/>
  <c r="U62" i="8" s="1"/>
  <c r="T61" i="8"/>
  <c r="S61" i="8"/>
  <c r="R61" i="8"/>
  <c r="Q61" i="8"/>
  <c r="P61" i="8"/>
  <c r="O61" i="8"/>
  <c r="N61" i="8"/>
  <c r="M61" i="8"/>
  <c r="L61" i="8"/>
  <c r="T60" i="8"/>
  <c r="S60" i="8"/>
  <c r="R60" i="8"/>
  <c r="Q60" i="8"/>
  <c r="P60" i="8"/>
  <c r="O60" i="8"/>
  <c r="N60" i="8"/>
  <c r="M60" i="8"/>
  <c r="L60" i="8"/>
  <c r="U60" i="8" s="1"/>
  <c r="T59" i="8"/>
  <c r="S59" i="8"/>
  <c r="R59" i="8"/>
  <c r="Q59" i="8"/>
  <c r="P59" i="8"/>
  <c r="O59" i="8"/>
  <c r="N59" i="8"/>
  <c r="M59" i="8"/>
  <c r="L59" i="8"/>
  <c r="T58" i="8"/>
  <c r="S58" i="8"/>
  <c r="R58" i="8"/>
  <c r="Q58" i="8"/>
  <c r="P58" i="8"/>
  <c r="O58" i="8"/>
  <c r="N58" i="8"/>
  <c r="M58" i="8"/>
  <c r="L58" i="8"/>
  <c r="U58" i="8" s="1"/>
  <c r="T57" i="8"/>
  <c r="S57" i="8"/>
  <c r="R57" i="8"/>
  <c r="Q57" i="8"/>
  <c r="P57" i="8"/>
  <c r="O57" i="8"/>
  <c r="N57" i="8"/>
  <c r="M57" i="8"/>
  <c r="L57" i="8"/>
  <c r="T56" i="8"/>
  <c r="S56" i="8"/>
  <c r="R56" i="8"/>
  <c r="Q56" i="8"/>
  <c r="P56" i="8"/>
  <c r="O56" i="8"/>
  <c r="N56" i="8"/>
  <c r="M56" i="8"/>
  <c r="L56" i="8"/>
  <c r="U56" i="8" s="1"/>
  <c r="T55" i="8"/>
  <c r="S55" i="8"/>
  <c r="R55" i="8"/>
  <c r="Q55" i="8"/>
  <c r="P55" i="8"/>
  <c r="O55" i="8"/>
  <c r="N55" i="8"/>
  <c r="M55" i="8"/>
  <c r="L55" i="8"/>
  <c r="T54" i="8"/>
  <c r="S54" i="8"/>
  <c r="R54" i="8"/>
  <c r="Q54" i="8"/>
  <c r="P54" i="8"/>
  <c r="O54" i="8"/>
  <c r="N54" i="8"/>
  <c r="M54" i="8"/>
  <c r="L54" i="8"/>
  <c r="U54" i="8" s="1"/>
  <c r="T53" i="8"/>
  <c r="S53" i="8"/>
  <c r="R53" i="8"/>
  <c r="Q53" i="8"/>
  <c r="P53" i="8"/>
  <c r="O53" i="8"/>
  <c r="N53" i="8"/>
  <c r="M53" i="8"/>
  <c r="L53" i="8"/>
  <c r="T52" i="8"/>
  <c r="S52" i="8"/>
  <c r="R52" i="8"/>
  <c r="Q52" i="8"/>
  <c r="P52" i="8"/>
  <c r="O52" i="8"/>
  <c r="N52" i="8"/>
  <c r="M52" i="8"/>
  <c r="L52" i="8"/>
  <c r="U52" i="8" s="1"/>
  <c r="T51" i="8"/>
  <c r="S51" i="8"/>
  <c r="R51" i="8"/>
  <c r="Q51" i="8"/>
  <c r="P51" i="8"/>
  <c r="O51" i="8"/>
  <c r="N51" i="8"/>
  <c r="M51" i="8"/>
  <c r="L51" i="8"/>
  <c r="T50" i="8"/>
  <c r="S50" i="8"/>
  <c r="R50" i="8"/>
  <c r="Q50" i="8"/>
  <c r="P50" i="8"/>
  <c r="O50" i="8"/>
  <c r="N50" i="8"/>
  <c r="M50" i="8"/>
  <c r="L50" i="8"/>
  <c r="U50" i="8" s="1"/>
  <c r="T49" i="8"/>
  <c r="S49" i="8"/>
  <c r="R49" i="8"/>
  <c r="Q49" i="8"/>
  <c r="P49" i="8"/>
  <c r="O49" i="8"/>
  <c r="N49" i="8"/>
  <c r="M49" i="8"/>
  <c r="L49" i="8"/>
  <c r="T48" i="8"/>
  <c r="S48" i="8"/>
  <c r="R48" i="8"/>
  <c r="Q48" i="8"/>
  <c r="P48" i="8"/>
  <c r="O48" i="8"/>
  <c r="N48" i="8"/>
  <c r="M48" i="8"/>
  <c r="L48" i="8"/>
  <c r="U48" i="8" s="1"/>
  <c r="T47" i="8"/>
  <c r="S47" i="8"/>
  <c r="R47" i="8"/>
  <c r="Q47" i="8"/>
  <c r="P47" i="8"/>
  <c r="O47" i="8"/>
  <c r="N47" i="8"/>
  <c r="M47" i="8"/>
  <c r="L47" i="8"/>
  <c r="T46" i="8"/>
  <c r="S46" i="8"/>
  <c r="R46" i="8"/>
  <c r="Q46" i="8"/>
  <c r="P46" i="8"/>
  <c r="O46" i="8"/>
  <c r="N46" i="8"/>
  <c r="M46" i="8"/>
  <c r="L46" i="8"/>
  <c r="U46" i="8" s="1"/>
  <c r="T45" i="8"/>
  <c r="S45" i="8"/>
  <c r="R45" i="8"/>
  <c r="Q45" i="8"/>
  <c r="P45" i="8"/>
  <c r="O45" i="8"/>
  <c r="N45" i="8"/>
  <c r="M45" i="8"/>
  <c r="L45" i="8"/>
  <c r="T44" i="8"/>
  <c r="S44" i="8"/>
  <c r="R44" i="8"/>
  <c r="Q44" i="8"/>
  <c r="P44" i="8"/>
  <c r="O44" i="8"/>
  <c r="N44" i="8"/>
  <c r="M44" i="8"/>
  <c r="L44" i="8"/>
  <c r="U44" i="8" s="1"/>
  <c r="T43" i="8"/>
  <c r="S43" i="8"/>
  <c r="R43" i="8"/>
  <c r="Q43" i="8"/>
  <c r="P43" i="8"/>
  <c r="O43" i="8"/>
  <c r="N43" i="8"/>
  <c r="M43" i="8"/>
  <c r="L43" i="8"/>
  <c r="T42" i="8"/>
  <c r="S42" i="8"/>
  <c r="R42" i="8"/>
  <c r="Q42" i="8"/>
  <c r="P42" i="8"/>
  <c r="O42" i="8"/>
  <c r="N42" i="8"/>
  <c r="M42" i="8"/>
  <c r="L42" i="8"/>
  <c r="U42" i="8" s="1"/>
  <c r="T41" i="8"/>
  <c r="S41" i="8"/>
  <c r="R41" i="8"/>
  <c r="Q41" i="8"/>
  <c r="P41" i="8"/>
  <c r="O41" i="8"/>
  <c r="N41" i="8"/>
  <c r="M41" i="8"/>
  <c r="L41" i="8"/>
  <c r="T40" i="8"/>
  <c r="S40" i="8"/>
  <c r="R40" i="8"/>
  <c r="Q40" i="8"/>
  <c r="P40" i="8"/>
  <c r="O40" i="8"/>
  <c r="N40" i="8"/>
  <c r="M40" i="8"/>
  <c r="L40" i="8"/>
  <c r="U40" i="8" s="1"/>
  <c r="T39" i="8"/>
  <c r="S39" i="8"/>
  <c r="R39" i="8"/>
  <c r="Q39" i="8"/>
  <c r="P39" i="8"/>
  <c r="O39" i="8"/>
  <c r="N39" i="8"/>
  <c r="M39" i="8"/>
  <c r="L39" i="8"/>
  <c r="T38" i="8"/>
  <c r="S38" i="8"/>
  <c r="R38" i="8"/>
  <c r="Q38" i="8"/>
  <c r="P38" i="8"/>
  <c r="O38" i="8"/>
  <c r="N38" i="8"/>
  <c r="M38" i="8"/>
  <c r="L38" i="8"/>
  <c r="U38" i="8" s="1"/>
  <c r="T37" i="8"/>
  <c r="S37" i="8"/>
  <c r="R37" i="8"/>
  <c r="Q37" i="8"/>
  <c r="P37" i="8"/>
  <c r="O37" i="8"/>
  <c r="N37" i="8"/>
  <c r="M37" i="8"/>
  <c r="L37" i="8"/>
  <c r="T36" i="8"/>
  <c r="S36" i="8"/>
  <c r="R36" i="8"/>
  <c r="Q36" i="8"/>
  <c r="P36" i="8"/>
  <c r="O36" i="8"/>
  <c r="N36" i="8"/>
  <c r="M36" i="8"/>
  <c r="L36" i="8"/>
  <c r="U36" i="8" s="1"/>
  <c r="T35" i="8"/>
  <c r="S35" i="8"/>
  <c r="R35" i="8"/>
  <c r="Q35" i="8"/>
  <c r="P35" i="8"/>
  <c r="O35" i="8"/>
  <c r="N35" i="8"/>
  <c r="M35" i="8"/>
  <c r="L35" i="8"/>
  <c r="T34" i="8"/>
  <c r="S34" i="8"/>
  <c r="R34" i="8"/>
  <c r="Q34" i="8"/>
  <c r="P34" i="8"/>
  <c r="O34" i="8"/>
  <c r="N34" i="8"/>
  <c r="M34" i="8"/>
  <c r="L34" i="8"/>
  <c r="U34" i="8" s="1"/>
  <c r="T33" i="8"/>
  <c r="S33" i="8"/>
  <c r="R33" i="8"/>
  <c r="Q33" i="8"/>
  <c r="P33" i="8"/>
  <c r="O33" i="8"/>
  <c r="N33" i="8"/>
  <c r="M33" i="8"/>
  <c r="L33" i="8"/>
  <c r="T32" i="8"/>
  <c r="S32" i="8"/>
  <c r="R32" i="8"/>
  <c r="Q32" i="8"/>
  <c r="P32" i="8"/>
  <c r="O32" i="8"/>
  <c r="N32" i="8"/>
  <c r="M32" i="8"/>
  <c r="L32" i="8"/>
  <c r="U32" i="8" s="1"/>
  <c r="T31" i="8"/>
  <c r="S31" i="8"/>
  <c r="R31" i="8"/>
  <c r="Q31" i="8"/>
  <c r="P31" i="8"/>
  <c r="O31" i="8"/>
  <c r="N31" i="8"/>
  <c r="M31" i="8"/>
  <c r="L31" i="8"/>
  <c r="T30" i="8"/>
  <c r="S30" i="8"/>
  <c r="R30" i="8"/>
  <c r="Q30" i="8"/>
  <c r="P30" i="8"/>
  <c r="O30" i="8"/>
  <c r="N30" i="8"/>
  <c r="M30" i="8"/>
  <c r="L30" i="8"/>
  <c r="U30" i="8" s="1"/>
  <c r="T29" i="8"/>
  <c r="S29" i="8"/>
  <c r="R29" i="8"/>
  <c r="Q29" i="8"/>
  <c r="P29" i="8"/>
  <c r="O29" i="8"/>
  <c r="N29" i="8"/>
  <c r="M29" i="8"/>
  <c r="L29" i="8"/>
  <c r="T28" i="8"/>
  <c r="S28" i="8"/>
  <c r="R28" i="8"/>
  <c r="Q28" i="8"/>
  <c r="P28" i="8"/>
  <c r="O28" i="8"/>
  <c r="N28" i="8"/>
  <c r="M28" i="8"/>
  <c r="L28" i="8"/>
  <c r="U28" i="8" s="1"/>
  <c r="T27" i="8"/>
  <c r="S27" i="8"/>
  <c r="R27" i="8"/>
  <c r="Q27" i="8"/>
  <c r="P27" i="8"/>
  <c r="O27" i="8"/>
  <c r="N27" i="8"/>
  <c r="M27" i="8"/>
  <c r="L27" i="8"/>
  <c r="T26" i="8"/>
  <c r="S26" i="8"/>
  <c r="R26" i="8"/>
  <c r="Q26" i="8"/>
  <c r="P26" i="8"/>
  <c r="O26" i="8"/>
  <c r="N26" i="8"/>
  <c r="M26" i="8"/>
  <c r="L26" i="8"/>
  <c r="U26" i="8" s="1"/>
  <c r="T25" i="8"/>
  <c r="S25" i="8"/>
  <c r="R25" i="8"/>
  <c r="Q25" i="8"/>
  <c r="P25" i="8"/>
  <c r="O25" i="8"/>
  <c r="N25" i="8"/>
  <c r="M25" i="8"/>
  <c r="L25" i="8"/>
  <c r="T24" i="8"/>
  <c r="S24" i="8"/>
  <c r="R24" i="8"/>
  <c r="Q24" i="8"/>
  <c r="P24" i="8"/>
  <c r="O24" i="8"/>
  <c r="N24" i="8"/>
  <c r="M24" i="8"/>
  <c r="L24" i="8"/>
  <c r="U24" i="8" s="1"/>
  <c r="T23" i="8"/>
  <c r="S23" i="8"/>
  <c r="R23" i="8"/>
  <c r="Q23" i="8"/>
  <c r="P23" i="8"/>
  <c r="O23" i="8"/>
  <c r="N23" i="8"/>
  <c r="M23" i="8"/>
  <c r="L23" i="8"/>
  <c r="T22" i="8"/>
  <c r="S22" i="8"/>
  <c r="R22" i="8"/>
  <c r="Q22" i="8"/>
  <c r="P22" i="8"/>
  <c r="O22" i="8"/>
  <c r="N22" i="8"/>
  <c r="M22" i="8"/>
  <c r="L22" i="8"/>
  <c r="U22" i="8" s="1"/>
  <c r="T21" i="8"/>
  <c r="S21" i="8"/>
  <c r="R21" i="8"/>
  <c r="Q21" i="8"/>
  <c r="P21" i="8"/>
  <c r="O21" i="8"/>
  <c r="N21" i="8"/>
  <c r="M21" i="8"/>
  <c r="L21" i="8"/>
  <c r="T20" i="8"/>
  <c r="S20" i="8"/>
  <c r="R20" i="8"/>
  <c r="Q20" i="8"/>
  <c r="P20" i="8"/>
  <c r="O20" i="8"/>
  <c r="N20" i="8"/>
  <c r="M20" i="8"/>
  <c r="L20" i="8"/>
  <c r="U20" i="8" s="1"/>
  <c r="T19" i="8"/>
  <c r="S19" i="8"/>
  <c r="R19" i="8"/>
  <c r="Q19" i="8"/>
  <c r="P19" i="8"/>
  <c r="O19" i="8"/>
  <c r="N19" i="8"/>
  <c r="M19" i="8"/>
  <c r="L19" i="8"/>
  <c r="T18" i="8"/>
  <c r="S18" i="8"/>
  <c r="R18" i="8"/>
  <c r="Q18" i="8"/>
  <c r="P18" i="8"/>
  <c r="O18" i="8"/>
  <c r="N18" i="8"/>
  <c r="M18" i="8"/>
  <c r="L18" i="8"/>
  <c r="U18" i="8" s="1"/>
  <c r="T17" i="8"/>
  <c r="S17" i="8"/>
  <c r="R17" i="8"/>
  <c r="Q17" i="8"/>
  <c r="P17" i="8"/>
  <c r="O17" i="8"/>
  <c r="N17" i="8"/>
  <c r="M17" i="8"/>
  <c r="L17" i="8"/>
  <c r="T16" i="8"/>
  <c r="S16" i="8"/>
  <c r="R16" i="8"/>
  <c r="Q16" i="8"/>
  <c r="P16" i="8"/>
  <c r="O16" i="8"/>
  <c r="N16" i="8"/>
  <c r="M16" i="8"/>
  <c r="L16" i="8"/>
  <c r="U16" i="8" s="1"/>
  <c r="T15" i="8"/>
  <c r="S15" i="8"/>
  <c r="R15" i="8"/>
  <c r="Q15" i="8"/>
  <c r="P15" i="8"/>
  <c r="O15" i="8"/>
  <c r="N15" i="8"/>
  <c r="M15" i="8"/>
  <c r="L15" i="8"/>
  <c r="T14" i="8"/>
  <c r="S14" i="8"/>
  <c r="R14" i="8"/>
  <c r="Q14" i="8"/>
  <c r="P14" i="8"/>
  <c r="O14" i="8"/>
  <c r="N14" i="8"/>
  <c r="M14" i="8"/>
  <c r="L14" i="8"/>
  <c r="U14" i="8" s="1"/>
  <c r="T13" i="8"/>
  <c r="S13" i="8"/>
  <c r="R13" i="8"/>
  <c r="Q13" i="8"/>
  <c r="P13" i="8"/>
  <c r="O13" i="8"/>
  <c r="N13" i="8"/>
  <c r="M13" i="8"/>
  <c r="L13" i="8"/>
  <c r="T12" i="8"/>
  <c r="S12" i="8"/>
  <c r="R12" i="8"/>
  <c r="Q12" i="8"/>
  <c r="P12" i="8"/>
  <c r="O12" i="8"/>
  <c r="N12" i="8"/>
  <c r="M12" i="8"/>
  <c r="L12" i="8"/>
  <c r="U12" i="8" s="1"/>
  <c r="T11" i="8"/>
  <c r="S11" i="8"/>
  <c r="R11" i="8"/>
  <c r="Q11" i="8"/>
  <c r="P11" i="8"/>
  <c r="O11" i="8"/>
  <c r="N11" i="8"/>
  <c r="M11" i="8"/>
  <c r="L11" i="8"/>
  <c r="T10" i="8"/>
  <c r="S10" i="8"/>
  <c r="R10" i="8"/>
  <c r="Q10" i="8"/>
  <c r="P10" i="8"/>
  <c r="O10" i="8"/>
  <c r="N10" i="8"/>
  <c r="M10" i="8"/>
  <c r="L10" i="8"/>
  <c r="U10" i="8" s="1"/>
  <c r="T9" i="8"/>
  <c r="S9" i="8"/>
  <c r="R9" i="8"/>
  <c r="Q9" i="8"/>
  <c r="P9" i="8"/>
  <c r="O9" i="8"/>
  <c r="N9" i="8"/>
  <c r="M9" i="8"/>
  <c r="L9" i="8"/>
  <c r="T8" i="8"/>
  <c r="S8" i="8"/>
  <c r="R8" i="8"/>
  <c r="Q8" i="8"/>
  <c r="P8" i="8"/>
  <c r="O8" i="8"/>
  <c r="N8" i="8"/>
  <c r="M8" i="8"/>
  <c r="L8" i="8"/>
  <c r="U8" i="8" s="1"/>
  <c r="T7" i="8"/>
  <c r="S7" i="8"/>
  <c r="R7" i="8"/>
  <c r="Q7" i="8"/>
  <c r="P7" i="8"/>
  <c r="O7" i="8"/>
  <c r="N7" i="8"/>
  <c r="M7" i="8"/>
  <c r="L7" i="8"/>
  <c r="T6" i="8"/>
  <c r="S6" i="8"/>
  <c r="R6" i="8"/>
  <c r="Q6" i="8"/>
  <c r="P6" i="8"/>
  <c r="O6" i="8"/>
  <c r="N6" i="8"/>
  <c r="M6" i="8"/>
  <c r="L6" i="8"/>
  <c r="U6" i="8" s="1"/>
  <c r="T5" i="8"/>
  <c r="S5" i="8"/>
  <c r="R5" i="8"/>
  <c r="Q5" i="8"/>
  <c r="P5" i="8"/>
  <c r="O5" i="8"/>
  <c r="N5" i="8"/>
  <c r="M5" i="8"/>
  <c r="L5" i="8"/>
  <c r="T4" i="8"/>
  <c r="N3" i="12" s="1"/>
  <c r="S4" i="8"/>
  <c r="R4" i="8"/>
  <c r="N12" i="12" s="1"/>
  <c r="Q4" i="8"/>
  <c r="P4" i="8"/>
  <c r="O4" i="8"/>
  <c r="N4" i="8"/>
  <c r="L8" i="7" s="1"/>
  <c r="M4" i="8"/>
  <c r="L4" i="8"/>
  <c r="T3" i="8"/>
  <c r="S3" i="8"/>
  <c r="M13" i="12" s="1"/>
  <c r="R3" i="8"/>
  <c r="Q3" i="8"/>
  <c r="L11" i="12" s="1"/>
  <c r="P3" i="8"/>
  <c r="O3" i="8"/>
  <c r="N9" i="12" s="1"/>
  <c r="N3" i="8"/>
  <c r="M3" i="8"/>
  <c r="L3" i="8"/>
  <c r="U854" i="8" l="1"/>
  <c r="U856" i="8"/>
  <c r="U858" i="8"/>
  <c r="U860" i="8"/>
  <c r="U862" i="8"/>
  <c r="U864" i="8"/>
  <c r="U866" i="8"/>
  <c r="U868" i="8"/>
  <c r="U870" i="8"/>
  <c r="U872" i="8"/>
  <c r="U874" i="8"/>
  <c r="U876" i="8"/>
  <c r="U878" i="8"/>
  <c r="U880" i="8"/>
  <c r="U882" i="8"/>
  <c r="U884" i="8"/>
  <c r="U886" i="8"/>
  <c r="U888" i="8"/>
  <c r="U890" i="8"/>
  <c r="U892" i="8"/>
  <c r="U894" i="8"/>
  <c r="U896" i="8"/>
  <c r="U898" i="8"/>
  <c r="U900" i="8"/>
  <c r="U902" i="8"/>
  <c r="U904" i="8"/>
  <c r="U906" i="8"/>
  <c r="U908" i="8"/>
  <c r="U910" i="8"/>
  <c r="U912" i="8"/>
  <c r="U914" i="8"/>
  <c r="U916" i="8"/>
  <c r="U918" i="8"/>
  <c r="U920" i="8"/>
  <c r="U922" i="8"/>
  <c r="U924" i="8"/>
  <c r="U926" i="8"/>
  <c r="U928" i="8"/>
  <c r="U930" i="8"/>
  <c r="U932" i="8"/>
  <c r="U934" i="8"/>
  <c r="U936" i="8"/>
  <c r="U938" i="8"/>
  <c r="U940" i="8"/>
  <c r="U942" i="8"/>
  <c r="U944" i="8"/>
  <c r="U946" i="8"/>
  <c r="U948" i="8"/>
  <c r="U950" i="8"/>
  <c r="U952" i="8"/>
  <c r="U954" i="8"/>
  <c r="U956" i="8"/>
  <c r="U958" i="8"/>
  <c r="U960" i="8"/>
  <c r="U962" i="8"/>
  <c r="U964" i="8"/>
  <c r="U320" i="8"/>
  <c r="U966" i="8"/>
  <c r="U968" i="8"/>
  <c r="U970" i="8"/>
  <c r="U972" i="8"/>
  <c r="U974" i="8"/>
  <c r="U976" i="8"/>
  <c r="U978" i="8"/>
  <c r="U980" i="8"/>
  <c r="U982" i="8"/>
  <c r="U984" i="8"/>
  <c r="U986" i="8"/>
  <c r="U988" i="8"/>
  <c r="U990" i="8"/>
  <c r="U992" i="8"/>
  <c r="U994" i="8"/>
  <c r="U996" i="8"/>
  <c r="U998" i="8"/>
  <c r="U1000" i="8"/>
  <c r="U1002" i="8"/>
  <c r="U1004" i="8"/>
  <c r="U1006" i="8"/>
  <c r="U1008" i="8"/>
  <c r="U1010" i="8"/>
  <c r="U1012" i="8"/>
  <c r="U1014" i="8"/>
  <c r="U1016" i="8"/>
  <c r="U1018" i="8"/>
  <c r="U1020" i="8"/>
  <c r="U1022" i="8"/>
  <c r="U1024" i="8"/>
  <c r="U1026" i="8"/>
  <c r="U1028" i="8"/>
  <c r="U1030" i="8"/>
  <c r="U1032" i="8"/>
  <c r="U1034" i="8"/>
  <c r="U1036" i="8"/>
  <c r="U1038" i="8"/>
  <c r="U1040" i="8"/>
  <c r="U1042" i="8"/>
  <c r="U1044" i="8"/>
  <c r="U1046" i="8"/>
  <c r="U1048" i="8"/>
  <c r="U1050" i="8"/>
  <c r="U1052" i="8"/>
  <c r="U1054" i="8"/>
  <c r="U1056" i="8"/>
  <c r="U1058" i="8"/>
  <c r="U1060" i="8"/>
  <c r="U1062" i="8"/>
  <c r="U1064" i="8"/>
  <c r="U1066" i="8"/>
  <c r="U1068" i="8"/>
  <c r="U1070" i="8"/>
  <c r="U1072" i="8"/>
  <c r="U1074" i="8"/>
  <c r="U1076" i="8"/>
  <c r="U1078" i="8"/>
  <c r="U1080" i="8"/>
  <c r="U1082" i="8"/>
  <c r="U1084" i="8"/>
  <c r="U1086" i="8"/>
  <c r="U1088" i="8"/>
  <c r="M7" i="12"/>
  <c r="J7" i="12"/>
  <c r="I6" i="12"/>
  <c r="G6" i="12"/>
  <c r="L8" i="12"/>
  <c r="M10" i="12"/>
  <c r="AH5" i="12"/>
  <c r="L16" i="12"/>
  <c r="AJ5" i="12"/>
  <c r="N16" i="12"/>
  <c r="AI5" i="12"/>
  <c r="M16" i="12"/>
  <c r="U1090" i="8"/>
  <c r="U1092" i="8"/>
  <c r="U1094" i="8"/>
  <c r="U1096" i="8"/>
  <c r="U1098" i="8"/>
  <c r="U1100" i="8"/>
  <c r="U1102" i="8"/>
  <c r="U1104" i="8"/>
  <c r="U1106" i="8"/>
  <c r="U1108" i="8"/>
  <c r="U1110" i="8"/>
  <c r="U1112" i="8"/>
  <c r="U1114" i="8"/>
  <c r="U1116" i="8"/>
  <c r="U1118" i="8"/>
  <c r="U1120" i="8"/>
  <c r="U1122" i="8"/>
  <c r="U1124" i="8"/>
  <c r="U1126" i="8"/>
  <c r="U1128" i="8"/>
  <c r="U1130" i="8"/>
  <c r="U1132" i="8"/>
  <c r="U1134" i="8"/>
  <c r="U1136" i="8"/>
  <c r="U1138" i="8"/>
  <c r="U1140" i="8"/>
  <c r="U1142" i="8"/>
  <c r="U1144" i="8"/>
  <c r="U1146" i="8"/>
  <c r="U1148" i="8"/>
  <c r="U1150" i="8"/>
  <c r="U1152" i="8"/>
  <c r="U1154" i="8"/>
  <c r="U1156" i="8"/>
  <c r="U1158" i="8"/>
  <c r="U1160" i="8"/>
  <c r="U1162" i="8"/>
  <c r="U1164" i="8"/>
  <c r="U1166" i="8"/>
  <c r="U1168" i="8"/>
  <c r="U1170" i="8"/>
  <c r="U1172" i="8"/>
  <c r="U1174" i="8"/>
  <c r="U1176" i="8"/>
  <c r="U1178" i="8"/>
  <c r="U1180" i="8"/>
  <c r="U1182" i="8"/>
  <c r="U1184" i="8"/>
  <c r="U1186" i="8"/>
  <c r="U1188" i="8"/>
  <c r="U1190" i="8"/>
  <c r="U1192" i="8"/>
  <c r="U1194" i="8"/>
  <c r="U1196" i="8"/>
  <c r="U1198" i="8"/>
  <c r="U1200" i="8"/>
  <c r="U1202" i="8"/>
  <c r="U1204" i="8"/>
  <c r="U1206" i="8"/>
  <c r="U1208" i="8"/>
  <c r="U1210" i="8"/>
  <c r="U1212" i="8"/>
  <c r="U1214" i="8"/>
  <c r="U1216" i="8"/>
  <c r="U1218" i="8"/>
  <c r="U1220" i="8"/>
  <c r="U1222" i="8"/>
  <c r="U1224" i="8"/>
  <c r="U1226" i="8"/>
  <c r="U1228" i="8"/>
  <c r="U1230" i="8"/>
  <c r="U1232" i="8"/>
  <c r="U1234" i="8"/>
  <c r="U1236" i="8"/>
  <c r="U1238" i="8"/>
  <c r="U1240" i="8"/>
  <c r="U1242" i="8"/>
  <c r="U1244" i="8"/>
  <c r="U1246" i="8"/>
  <c r="U1248" i="8"/>
  <c r="U1250" i="8"/>
  <c r="U1252" i="8"/>
  <c r="U1254" i="8"/>
  <c r="U1256" i="8"/>
  <c r="U1258" i="8"/>
  <c r="L6" i="12"/>
  <c r="U4" i="8"/>
  <c r="U3" i="8"/>
  <c r="M12" i="12"/>
  <c r="N14" i="12"/>
  <c r="U5" i="8"/>
  <c r="U7" i="8"/>
  <c r="U9" i="8"/>
  <c r="U11" i="8"/>
  <c r="U13" i="8"/>
  <c r="U15" i="8"/>
  <c r="U17" i="8"/>
  <c r="U19" i="8"/>
  <c r="U21" i="8"/>
  <c r="U23" i="8"/>
  <c r="U25" i="8"/>
  <c r="U27" i="8"/>
  <c r="U29" i="8"/>
  <c r="U31" i="8"/>
  <c r="U33" i="8"/>
  <c r="U35" i="8"/>
  <c r="U37" i="8"/>
  <c r="U39" i="8"/>
  <c r="U41" i="8"/>
  <c r="U43" i="8"/>
  <c r="U45" i="8"/>
  <c r="U47" i="8"/>
  <c r="U49" i="8"/>
  <c r="U51" i="8"/>
  <c r="U53" i="8"/>
  <c r="U55" i="8"/>
  <c r="U57" i="8"/>
  <c r="U59" i="8"/>
  <c r="U61" i="8"/>
  <c r="U63" i="8"/>
  <c r="U65" i="8"/>
  <c r="U67" i="8"/>
  <c r="U69" i="8"/>
  <c r="U71" i="8"/>
  <c r="U73" i="8"/>
  <c r="U75" i="8"/>
  <c r="U77" i="8"/>
  <c r="U79" i="8"/>
  <c r="U81" i="8"/>
  <c r="U83" i="8"/>
  <c r="U85" i="8"/>
  <c r="U87" i="8"/>
  <c r="U89" i="8"/>
  <c r="U91" i="8"/>
  <c r="U93" i="8"/>
  <c r="U95" i="8"/>
  <c r="U97" i="8"/>
  <c r="U99" i="8"/>
  <c r="U101" i="8"/>
  <c r="U103" i="8"/>
  <c r="U105" i="8"/>
  <c r="U107" i="8"/>
  <c r="U109" i="8"/>
  <c r="U111" i="8"/>
  <c r="U113" i="8"/>
  <c r="U115" i="8"/>
  <c r="U117" i="8"/>
  <c r="U119" i="8"/>
  <c r="U121" i="8"/>
  <c r="U123" i="8"/>
  <c r="U125" i="8"/>
  <c r="U127" i="8"/>
  <c r="U129" i="8"/>
  <c r="U131" i="8"/>
  <c r="U133" i="8"/>
  <c r="U135" i="8"/>
  <c r="U137" i="8"/>
  <c r="U139" i="8"/>
  <c r="U141" i="8"/>
  <c r="U143" i="8"/>
  <c r="U145" i="8"/>
  <c r="U147" i="8"/>
  <c r="U149" i="8"/>
  <c r="U151" i="8"/>
  <c r="U153" i="8"/>
  <c r="U155" i="8"/>
  <c r="U157" i="8"/>
  <c r="U159" i="8"/>
  <c r="U161" i="8"/>
  <c r="U163" i="8"/>
  <c r="U165" i="8"/>
  <c r="U167" i="8"/>
  <c r="U169" i="8"/>
  <c r="U171" i="8"/>
  <c r="U173" i="8"/>
  <c r="U175" i="8"/>
  <c r="U177" i="8"/>
  <c r="U179" i="8"/>
  <c r="U181" i="8"/>
  <c r="U183" i="8"/>
  <c r="U185" i="8"/>
  <c r="U187" i="8"/>
  <c r="U189" i="8"/>
  <c r="U191" i="8"/>
  <c r="U193" i="8"/>
  <c r="U195" i="8"/>
  <c r="U197" i="8"/>
  <c r="U199" i="8"/>
  <c r="U201" i="8"/>
  <c r="U203" i="8"/>
  <c r="U205" i="8"/>
  <c r="U207" i="8"/>
  <c r="U209" i="8"/>
  <c r="U211" i="8"/>
  <c r="U213" i="8"/>
  <c r="U215" i="8"/>
  <c r="U217" i="8"/>
  <c r="U219" i="8"/>
  <c r="U221" i="8"/>
  <c r="U223" i="8"/>
  <c r="U225" i="8"/>
  <c r="U227" i="8"/>
  <c r="U229" i="8"/>
  <c r="U231" i="8"/>
  <c r="U233" i="8"/>
  <c r="U235" i="8"/>
  <c r="U237" i="8"/>
  <c r="U239" i="8"/>
  <c r="U241" i="8"/>
  <c r="U243" i="8"/>
  <c r="U245" i="8"/>
  <c r="U247" i="8"/>
  <c r="U249" i="8"/>
  <c r="U251" i="8"/>
  <c r="U253" i="8"/>
  <c r="U255" i="8"/>
  <c r="U257" i="8"/>
  <c r="U259" i="8"/>
  <c r="U261" i="8"/>
  <c r="U263" i="8"/>
  <c r="U265" i="8"/>
  <c r="U267" i="8"/>
  <c r="U269" i="8"/>
  <c r="U271" i="8"/>
  <c r="U273" i="8"/>
  <c r="U275" i="8"/>
  <c r="U277" i="8"/>
  <c r="U279" i="8"/>
  <c r="U281" i="8"/>
  <c r="U283" i="8"/>
  <c r="U285" i="8"/>
  <c r="U287" i="8"/>
  <c r="U289" i="8"/>
  <c r="U291" i="8"/>
  <c r="U293" i="8"/>
  <c r="U295" i="8"/>
  <c r="U297" i="8"/>
  <c r="U299" i="8"/>
  <c r="U301" i="8"/>
  <c r="U303" i="8"/>
  <c r="U305" i="8"/>
  <c r="U307" i="8"/>
  <c r="U309" i="8"/>
  <c r="U311" i="8"/>
  <c r="U313" i="8"/>
  <c r="U315" i="8"/>
  <c r="U317" i="8"/>
  <c r="U319" i="8"/>
  <c r="U321" i="8"/>
  <c r="U323" i="8"/>
  <c r="U325" i="8"/>
  <c r="U327" i="8"/>
  <c r="U329" i="8"/>
  <c r="U331" i="8"/>
  <c r="U333" i="8"/>
  <c r="U335" i="8"/>
  <c r="U337" i="8"/>
  <c r="U339" i="8"/>
  <c r="U341" i="8"/>
  <c r="U343" i="8"/>
  <c r="U345" i="8"/>
  <c r="U347" i="8"/>
  <c r="U349" i="8"/>
  <c r="U351" i="8"/>
  <c r="U353" i="8"/>
  <c r="U355" i="8"/>
  <c r="U357" i="8"/>
  <c r="U359" i="8"/>
  <c r="U361" i="8"/>
  <c r="U363" i="8"/>
  <c r="U365" i="8"/>
  <c r="U367" i="8"/>
  <c r="U369" i="8"/>
  <c r="U371" i="8"/>
  <c r="U373" i="8"/>
  <c r="U375" i="8"/>
  <c r="U377" i="8"/>
  <c r="U379" i="8"/>
  <c r="U381" i="8"/>
  <c r="U383" i="8"/>
  <c r="U385" i="8"/>
  <c r="U387" i="8"/>
  <c r="U389" i="8"/>
  <c r="U391" i="8"/>
  <c r="U393" i="8"/>
  <c r="U395" i="8"/>
  <c r="U397" i="8"/>
  <c r="U399" i="8"/>
  <c r="U401" i="8"/>
  <c r="U403" i="8"/>
  <c r="U405" i="8"/>
  <c r="U407" i="8"/>
  <c r="U409" i="8"/>
  <c r="U411" i="8"/>
  <c r="U413" i="8"/>
  <c r="U415" i="8"/>
  <c r="U417" i="8"/>
  <c r="U419" i="8"/>
  <c r="U421" i="8"/>
  <c r="U423" i="8"/>
  <c r="U425" i="8"/>
  <c r="U427" i="8"/>
  <c r="U429" i="8"/>
  <c r="U431" i="8"/>
  <c r="U433" i="8"/>
  <c r="U435" i="8"/>
  <c r="U437" i="8"/>
  <c r="U439" i="8"/>
  <c r="U441" i="8"/>
  <c r="U443" i="8"/>
  <c r="U445" i="8"/>
  <c r="U447" i="8"/>
  <c r="U449" i="8"/>
  <c r="U451" i="8"/>
  <c r="U453" i="8"/>
  <c r="U455" i="8"/>
  <c r="U457" i="8"/>
  <c r="U459" i="8"/>
  <c r="U461" i="8"/>
  <c r="U463" i="8"/>
  <c r="U465" i="8"/>
  <c r="U467" i="8"/>
  <c r="U469" i="8"/>
  <c r="U471" i="8"/>
  <c r="U473" i="8"/>
  <c r="U475" i="8"/>
  <c r="U477" i="8"/>
  <c r="U479" i="8"/>
  <c r="U481" i="8"/>
  <c r="U483" i="8"/>
  <c r="U485" i="8"/>
  <c r="U487" i="8"/>
  <c r="U489" i="8"/>
  <c r="U491" i="8"/>
  <c r="U493" i="8"/>
  <c r="U495" i="8"/>
  <c r="U497" i="8"/>
  <c r="U499" i="8"/>
  <c r="U501" i="8"/>
  <c r="U503" i="8"/>
  <c r="U505" i="8"/>
  <c r="U507" i="8"/>
  <c r="U509" i="8"/>
  <c r="U511" i="8"/>
  <c r="U513" i="8"/>
  <c r="U515" i="8"/>
  <c r="U517" i="8"/>
  <c r="U519" i="8"/>
  <c r="U521" i="8"/>
  <c r="U523" i="8"/>
  <c r="U525" i="8"/>
  <c r="U527" i="8"/>
  <c r="U529" i="8"/>
  <c r="U531" i="8"/>
  <c r="U533" i="8"/>
  <c r="U535" i="8"/>
  <c r="U537" i="8"/>
  <c r="U539" i="8"/>
  <c r="U541" i="8"/>
  <c r="U543" i="8"/>
  <c r="U545" i="8"/>
  <c r="U547" i="8"/>
  <c r="U549" i="8"/>
  <c r="U551" i="8"/>
  <c r="U553" i="8"/>
  <c r="U555" i="8"/>
  <c r="U557" i="8"/>
  <c r="U559" i="8"/>
  <c r="U561" i="8"/>
  <c r="U563" i="8"/>
  <c r="U565" i="8"/>
  <c r="U567" i="8"/>
  <c r="U569" i="8"/>
  <c r="U571" i="8"/>
  <c r="U573" i="8"/>
  <c r="U575" i="8"/>
  <c r="U577" i="8"/>
  <c r="U579" i="8"/>
  <c r="U581" i="8"/>
  <c r="U583" i="8"/>
  <c r="U585" i="8"/>
  <c r="U587" i="8"/>
  <c r="U589" i="8"/>
  <c r="U591" i="8"/>
  <c r="U593" i="8"/>
  <c r="U595" i="8"/>
  <c r="U597" i="8"/>
  <c r="U599" i="8"/>
  <c r="U601" i="8"/>
  <c r="U603" i="8"/>
  <c r="U605" i="8"/>
  <c r="U607" i="8"/>
  <c r="U609" i="8"/>
  <c r="U611" i="8"/>
  <c r="U613" i="8"/>
  <c r="U615" i="8"/>
  <c r="U617" i="8"/>
  <c r="U619" i="8"/>
  <c r="U621" i="8"/>
  <c r="U623" i="8"/>
  <c r="U625" i="8"/>
  <c r="U627" i="8"/>
  <c r="U629" i="8"/>
  <c r="U631" i="8"/>
  <c r="U633" i="8"/>
  <c r="U635" i="8"/>
  <c r="U637" i="8"/>
  <c r="U639" i="8"/>
  <c r="U641" i="8"/>
  <c r="U643" i="8"/>
  <c r="U645" i="8"/>
  <c r="U647" i="8"/>
  <c r="U649" i="8"/>
  <c r="U651" i="8"/>
  <c r="U653" i="8"/>
  <c r="U655" i="8"/>
  <c r="U657" i="8"/>
  <c r="U659" i="8"/>
  <c r="U661" i="8"/>
  <c r="U663" i="8"/>
  <c r="U665" i="8"/>
  <c r="U667" i="8"/>
  <c r="U669" i="8"/>
  <c r="U671" i="8"/>
  <c r="U673" i="8"/>
  <c r="U675" i="8"/>
  <c r="U677" i="8"/>
  <c r="U679" i="8"/>
  <c r="U681" i="8"/>
  <c r="U683" i="8"/>
  <c r="U685" i="8"/>
  <c r="U687" i="8"/>
  <c r="U689" i="8"/>
  <c r="U691" i="8"/>
  <c r="U693" i="8"/>
  <c r="U695" i="8"/>
  <c r="U697" i="8"/>
  <c r="U699" i="8"/>
  <c r="U701" i="8"/>
  <c r="U703" i="8"/>
  <c r="U705" i="8"/>
  <c r="U707" i="8"/>
  <c r="U709" i="8"/>
  <c r="U711" i="8"/>
  <c r="U713" i="8"/>
  <c r="U715" i="8"/>
  <c r="U717" i="8"/>
  <c r="U719" i="8"/>
  <c r="U721" i="8"/>
  <c r="U723" i="8"/>
  <c r="U725" i="8"/>
  <c r="U727" i="8"/>
  <c r="U729" i="8"/>
  <c r="U731" i="8"/>
  <c r="U733" i="8"/>
  <c r="U735" i="8"/>
  <c r="U737" i="8"/>
  <c r="U739" i="8"/>
  <c r="U741" i="8"/>
  <c r="U743" i="8"/>
  <c r="U745" i="8"/>
  <c r="U747" i="8"/>
  <c r="U749" i="8"/>
  <c r="U751" i="8"/>
  <c r="U753" i="8"/>
  <c r="U755" i="8"/>
  <c r="U757" i="8"/>
  <c r="U759" i="8"/>
  <c r="U761" i="8"/>
  <c r="U763" i="8"/>
  <c r="U765" i="8"/>
  <c r="U767" i="8"/>
  <c r="U769" i="8"/>
  <c r="U771" i="8"/>
  <c r="U773" i="8"/>
  <c r="U775" i="8"/>
  <c r="U777" i="8"/>
  <c r="U779" i="8"/>
  <c r="U781" i="8"/>
  <c r="U783" i="8"/>
  <c r="U785" i="8"/>
  <c r="U787" i="8"/>
  <c r="U789" i="8"/>
  <c r="U791" i="8"/>
  <c r="U793" i="8"/>
  <c r="U795" i="8"/>
  <c r="U797" i="8"/>
  <c r="U799" i="8"/>
  <c r="U801" i="8"/>
  <c r="U803" i="8"/>
  <c r="U805" i="8"/>
  <c r="U807" i="8"/>
  <c r="U809" i="8"/>
  <c r="U811" i="8"/>
  <c r="U813" i="8"/>
  <c r="U815" i="8"/>
  <c r="U817" i="8"/>
  <c r="U819" i="8"/>
  <c r="U821" i="8"/>
  <c r="U823" i="8"/>
  <c r="U825" i="8"/>
  <c r="U827" i="8"/>
  <c r="U829" i="8"/>
  <c r="U831" i="8"/>
  <c r="U833" i="8"/>
  <c r="U835" i="8"/>
  <c r="U837" i="8"/>
  <c r="U839" i="8"/>
  <c r="U841" i="8"/>
  <c r="U843" i="8"/>
  <c r="U845" i="8"/>
  <c r="U847" i="8"/>
  <c r="U849" i="8"/>
  <c r="U851" i="8"/>
  <c r="U853" i="8"/>
  <c r="U855" i="8"/>
  <c r="U857" i="8"/>
  <c r="U859" i="8"/>
  <c r="U861" i="8"/>
  <c r="U863" i="8"/>
  <c r="U865" i="8"/>
  <c r="U867" i="8"/>
  <c r="U869" i="8"/>
  <c r="U871" i="8"/>
  <c r="U873" i="8"/>
  <c r="U875" i="8"/>
  <c r="U877" i="8"/>
  <c r="U879" i="8"/>
  <c r="U881" i="8"/>
  <c r="U883" i="8"/>
  <c r="U885" i="8"/>
  <c r="U887" i="8"/>
  <c r="U889" i="8"/>
  <c r="U891" i="8"/>
  <c r="U893" i="8"/>
  <c r="U895" i="8"/>
  <c r="U897" i="8"/>
  <c r="U899" i="8"/>
  <c r="U901" i="8"/>
  <c r="U903" i="8"/>
  <c r="U905" i="8"/>
  <c r="U907" i="8"/>
  <c r="U909" i="8"/>
  <c r="U911" i="8"/>
  <c r="U913" i="8"/>
  <c r="U915" i="8"/>
  <c r="U917" i="8"/>
  <c r="U919" i="8"/>
  <c r="U921" i="8"/>
  <c r="U923" i="8"/>
  <c r="U925" i="8"/>
  <c r="U927" i="8"/>
  <c r="U929" i="8"/>
  <c r="U931" i="8"/>
  <c r="U933" i="8"/>
  <c r="U935" i="8"/>
  <c r="U937" i="8"/>
  <c r="U939" i="8"/>
  <c r="U941" i="8"/>
  <c r="U943" i="8"/>
  <c r="U945" i="8"/>
  <c r="U947" i="8"/>
  <c r="U949" i="8"/>
  <c r="U951" i="8"/>
  <c r="U953" i="8"/>
  <c r="U955" i="8"/>
  <c r="U957" i="8"/>
  <c r="U959" i="8"/>
  <c r="U961" i="8"/>
  <c r="U963" i="8"/>
  <c r="U965" i="8"/>
  <c r="U967" i="8"/>
  <c r="U969" i="8"/>
  <c r="U971" i="8"/>
  <c r="U973" i="8"/>
  <c r="U975" i="8"/>
  <c r="U977" i="8"/>
  <c r="U979" i="8"/>
  <c r="U981" i="8"/>
  <c r="U983" i="8"/>
  <c r="U985" i="8"/>
  <c r="U987" i="8"/>
  <c r="U989" i="8"/>
  <c r="U991" i="8"/>
  <c r="U993" i="8"/>
  <c r="U995" i="8"/>
  <c r="U997" i="8"/>
  <c r="U999" i="8"/>
  <c r="U1001" i="8"/>
  <c r="U1003" i="8"/>
  <c r="U1005" i="8"/>
  <c r="U1007" i="8"/>
  <c r="U1009" i="8"/>
  <c r="U1011" i="8"/>
  <c r="U1013" i="8"/>
  <c r="U1015" i="8"/>
  <c r="U1017" i="8"/>
  <c r="U1019" i="8"/>
  <c r="U1021" i="8"/>
  <c r="U1023" i="8"/>
  <c r="U1025" i="8"/>
  <c r="U1027" i="8"/>
  <c r="U1029" i="8"/>
  <c r="U1031" i="8"/>
  <c r="U1033" i="8"/>
  <c r="U1035" i="8"/>
  <c r="U1037" i="8"/>
  <c r="U1039" i="8"/>
  <c r="U1041" i="8"/>
  <c r="U1043" i="8"/>
  <c r="U1045" i="8"/>
  <c r="U1047" i="8"/>
  <c r="U1049" i="8"/>
  <c r="U1051" i="8"/>
  <c r="U1053" i="8"/>
  <c r="U1055" i="8"/>
  <c r="U1057" i="8"/>
  <c r="U1059" i="8"/>
  <c r="U1061" i="8"/>
  <c r="U1063" i="8"/>
  <c r="U1065" i="8"/>
  <c r="U1067" i="8"/>
  <c r="U1069" i="8"/>
  <c r="U1071" i="8"/>
  <c r="U1073" i="8"/>
  <c r="U1075" i="8"/>
  <c r="U1077" i="8"/>
  <c r="U1079" i="8"/>
  <c r="U1081" i="8"/>
  <c r="U1083" i="8"/>
  <c r="U1085" i="8"/>
  <c r="U1087" i="8"/>
  <c r="U1089" i="8"/>
  <c r="U1091" i="8"/>
  <c r="U1093" i="8"/>
  <c r="U1095" i="8"/>
  <c r="U1097" i="8"/>
  <c r="U1099" i="8"/>
  <c r="U1101" i="8"/>
  <c r="U1103" i="8"/>
  <c r="U1105" i="8"/>
  <c r="U1107" i="8"/>
  <c r="U1109" i="8"/>
  <c r="U1111" i="8"/>
  <c r="U1113" i="8"/>
  <c r="U1115" i="8"/>
  <c r="U1117" i="8"/>
  <c r="U1119" i="8"/>
  <c r="U1121" i="8"/>
  <c r="U1123" i="8"/>
  <c r="U1125" i="8"/>
  <c r="U1127" i="8"/>
  <c r="U1129" i="8"/>
  <c r="U1131" i="8"/>
  <c r="U1133" i="8"/>
  <c r="U1135" i="8"/>
  <c r="U1137" i="8"/>
  <c r="U1139" i="8"/>
  <c r="U1141" i="8"/>
  <c r="U1143" i="8"/>
  <c r="U1145" i="8"/>
  <c r="U1147" i="8"/>
  <c r="U1149" i="8"/>
  <c r="U1151" i="8"/>
  <c r="U1153" i="8"/>
  <c r="U1155" i="8"/>
  <c r="U1157" i="8"/>
  <c r="U1159" i="8"/>
  <c r="U1161" i="8"/>
  <c r="U1163" i="8"/>
  <c r="U1165" i="8"/>
  <c r="U1167" i="8"/>
  <c r="U1169" i="8"/>
  <c r="U1171" i="8"/>
  <c r="U1173" i="8"/>
  <c r="U1175" i="8"/>
  <c r="U1177" i="8"/>
  <c r="U1179" i="8"/>
  <c r="U1181" i="8"/>
  <c r="U1183" i="8"/>
  <c r="U1185" i="8"/>
  <c r="U1187" i="8"/>
  <c r="U1189" i="8"/>
  <c r="U1191" i="8"/>
  <c r="U1193" i="8"/>
  <c r="U1195" i="8"/>
  <c r="U1197" i="8"/>
  <c r="U1199" i="8"/>
  <c r="U1201" i="8"/>
  <c r="U1203" i="8"/>
  <c r="U1205" i="8"/>
  <c r="U1207" i="8"/>
  <c r="U1209" i="8"/>
  <c r="U1211" i="8"/>
  <c r="U1213" i="8"/>
  <c r="U1215" i="8"/>
  <c r="U1217" i="8"/>
  <c r="U1219" i="8"/>
  <c r="U1221" i="8"/>
  <c r="U1223" i="8"/>
  <c r="U1225" i="8"/>
  <c r="U1227" i="8"/>
  <c r="U1229" i="8"/>
  <c r="U1231" i="8"/>
  <c r="U1233" i="8"/>
  <c r="U1235" i="8"/>
  <c r="U1237" i="8"/>
  <c r="U1239" i="8"/>
  <c r="U1241" i="8"/>
  <c r="U1243" i="8"/>
  <c r="U1245" i="8"/>
  <c r="U1247" i="8"/>
  <c r="U1249" i="8"/>
  <c r="U1251" i="8"/>
  <c r="U1253" i="8"/>
  <c r="U1255" i="8"/>
  <c r="U1257" i="8"/>
  <c r="M6" i="7"/>
  <c r="H6" i="7"/>
  <c r="M12" i="7"/>
  <c r="K11" i="7"/>
  <c r="K10" i="7"/>
  <c r="K9" i="7"/>
  <c r="J8" i="7"/>
  <c r="K7" i="7"/>
  <c r="G7" i="7"/>
  <c r="K3" i="7"/>
  <c r="G3" i="7"/>
  <c r="N11" i="7"/>
  <c r="N14" i="7"/>
  <c r="H3" i="12"/>
  <c r="J3" i="12"/>
  <c r="F6" i="12"/>
  <c r="J6" i="12"/>
  <c r="H7" i="12"/>
  <c r="L7" i="12"/>
  <c r="M8" i="12"/>
  <c r="K9" i="12"/>
  <c r="J10" i="12"/>
  <c r="N10" i="12"/>
  <c r="L12" i="12"/>
  <c r="N13" i="12"/>
  <c r="M14" i="12" s="1"/>
  <c r="J6" i="7"/>
  <c r="F6" i="7"/>
  <c r="M11" i="7"/>
  <c r="M9" i="7"/>
  <c r="I9" i="7"/>
  <c r="M7" i="7"/>
  <c r="I7" i="7"/>
  <c r="M3" i="7"/>
  <c r="I3" i="7"/>
  <c r="N9" i="7"/>
  <c r="N7" i="7"/>
  <c r="F3" i="12"/>
  <c r="L3" i="12"/>
  <c r="H6" i="12"/>
  <c r="M6" i="12"/>
  <c r="N7" i="12"/>
  <c r="K8" i="12"/>
  <c r="I9" i="12"/>
  <c r="M9" i="12"/>
  <c r="M11" i="12"/>
  <c r="I8" i="7"/>
  <c r="L6" i="7"/>
  <c r="I6" i="7"/>
  <c r="G6" i="7"/>
  <c r="M13" i="7"/>
  <c r="L12" i="7"/>
  <c r="L11" i="7"/>
  <c r="K12" i="7" s="1" a="1"/>
  <c r="K12" i="7" s="1"/>
  <c r="M10" i="7"/>
  <c r="J10" i="7"/>
  <c r="L9" i="7"/>
  <c r="J9" i="7"/>
  <c r="M8" i="7"/>
  <c r="K8" i="7"/>
  <c r="H8" i="7"/>
  <c r="L7" i="7"/>
  <c r="J7" i="7"/>
  <c r="H7" i="7"/>
  <c r="F3" i="7"/>
  <c r="L3" i="7"/>
  <c r="J3" i="7"/>
  <c r="H3" i="7"/>
  <c r="K6" i="7"/>
  <c r="N12" i="7"/>
  <c r="N10" i="7"/>
  <c r="J11" i="7" s="1" a="1"/>
  <c r="J12" i="7" s="1"/>
  <c r="N8" i="7"/>
  <c r="N13" i="7"/>
  <c r="M14" i="7" s="1"/>
  <c r="N3" i="7"/>
  <c r="G3" i="12"/>
  <c r="I3" i="12"/>
  <c r="K3" i="12"/>
  <c r="M3" i="12"/>
  <c r="K6" i="12"/>
  <c r="G7" i="12"/>
  <c r="I7" i="12"/>
  <c r="K7" i="12"/>
  <c r="H8" i="12"/>
  <c r="J8" i="12"/>
  <c r="N8" i="12"/>
  <c r="J9" i="12"/>
  <c r="L9" i="12"/>
  <c r="K10" i="12"/>
  <c r="J11" i="12" s="1" a="1"/>
  <c r="J14" i="12" s="1"/>
  <c r="K11" i="12"/>
  <c r="N11" i="12"/>
  <c r="A6" i="12" a="1"/>
  <c r="A6" i="12" s="1"/>
  <c r="A6" i="7" a="1"/>
  <c r="A7" i="7" s="1"/>
  <c r="N16" i="7"/>
  <c r="AJ16" i="7" s="1"/>
  <c r="M19" i="13"/>
  <c r="R27" i="13"/>
  <c r="N27" i="13"/>
  <c r="S26" i="13"/>
  <c r="O26" i="13"/>
  <c r="T25" i="13"/>
  <c r="P25" i="13"/>
  <c r="L25" i="13"/>
  <c r="Q24" i="13"/>
  <c r="M24" i="13"/>
  <c r="R23" i="13"/>
  <c r="N23" i="13"/>
  <c r="S22" i="13"/>
  <c r="O22" i="13"/>
  <c r="T21" i="13"/>
  <c r="P21" i="13"/>
  <c r="L21" i="13"/>
  <c r="Q20" i="13"/>
  <c r="M20" i="13"/>
  <c r="R19" i="13"/>
  <c r="N19" i="13"/>
  <c r="S27" i="13"/>
  <c r="O27" i="13"/>
  <c r="T26" i="13"/>
  <c r="P26" i="13"/>
  <c r="L26" i="13"/>
  <c r="Q25" i="13"/>
  <c r="M25" i="13"/>
  <c r="R24" i="13"/>
  <c r="N24" i="13"/>
  <c r="S23" i="13"/>
  <c r="O23" i="13"/>
  <c r="T22" i="13"/>
  <c r="P22" i="13"/>
  <c r="L22" i="13"/>
  <c r="Q21" i="13"/>
  <c r="M21" i="13"/>
  <c r="R20" i="13"/>
  <c r="N20" i="13"/>
  <c r="S19" i="13"/>
  <c r="O19" i="13"/>
  <c r="T27" i="13"/>
  <c r="P27" i="13"/>
  <c r="L27" i="13"/>
  <c r="Q26" i="13"/>
  <c r="M26" i="13"/>
  <c r="R25" i="13"/>
  <c r="N25" i="13"/>
  <c r="S24" i="13"/>
  <c r="O24" i="13"/>
  <c r="T23" i="13"/>
  <c r="P23" i="13"/>
  <c r="L23" i="13"/>
  <c r="Q22" i="13"/>
  <c r="M22" i="13"/>
  <c r="R21" i="13"/>
  <c r="N21" i="13"/>
  <c r="S20" i="13"/>
  <c r="O20" i="13"/>
  <c r="T19" i="13"/>
  <c r="P19" i="13"/>
  <c r="L19" i="13"/>
  <c r="Q27" i="13"/>
  <c r="M27" i="13"/>
  <c r="R26" i="13"/>
  <c r="N26" i="13"/>
  <c r="S25" i="13"/>
  <c r="O25" i="13"/>
  <c r="T24" i="13"/>
  <c r="P24" i="13"/>
  <c r="L24" i="13"/>
  <c r="Q23" i="13"/>
  <c r="M23" i="13"/>
  <c r="R22" i="13"/>
  <c r="N22" i="13"/>
  <c r="S21" i="13"/>
  <c r="O21" i="13"/>
  <c r="T20" i="13"/>
  <c r="P20" i="13"/>
  <c r="L20" i="13"/>
  <c r="Q19" i="13"/>
  <c r="Y5" i="7"/>
  <c r="Y16" i="7" s="1"/>
  <c r="L13" i="12" a="1"/>
  <c r="L14" i="12" s="1"/>
  <c r="S5" i="12"/>
  <c r="S16" i="12" s="1"/>
  <c r="T5" i="12"/>
  <c r="T16" i="12" s="1"/>
  <c r="U5" i="12"/>
  <c r="U16" i="12" s="1"/>
  <c r="V5" i="12"/>
  <c r="V16" i="12" s="1"/>
  <c r="B14" i="12"/>
  <c r="B13" i="12"/>
  <c r="B9" i="12"/>
  <c r="B12" i="12"/>
  <c r="B11" i="12"/>
  <c r="B10" i="12"/>
  <c r="B7" i="12"/>
  <c r="B8" i="12"/>
  <c r="B6" i="12"/>
  <c r="F16" i="12"/>
  <c r="AB16" i="12" s="1"/>
  <c r="Q5" i="12"/>
  <c r="Q16" i="12" s="1"/>
  <c r="H16" i="12"/>
  <c r="AD16" i="12" s="1"/>
  <c r="B14" i="7"/>
  <c r="B9" i="7"/>
  <c r="B8" i="7"/>
  <c r="B13" i="7"/>
  <c r="B12" i="7"/>
  <c r="B11" i="7"/>
  <c r="B10" i="7"/>
  <c r="B7" i="7"/>
  <c r="L13" i="7" a="1"/>
  <c r="L13" i="7" s="1"/>
  <c r="G8" i="7" a="1"/>
  <c r="G8" i="7" s="1"/>
  <c r="X5" i="7"/>
  <c r="X16" i="7" s="1"/>
  <c r="W5" i="7"/>
  <c r="W16" i="7" s="1"/>
  <c r="V5" i="7"/>
  <c r="V16" i="7" s="1"/>
  <c r="Q5" i="7"/>
  <c r="Q16" i="7" s="1"/>
  <c r="F16" i="7"/>
  <c r="AB16" i="7" s="1"/>
  <c r="A2" i="9"/>
  <c r="A3" i="9"/>
  <c r="A4" i="9"/>
  <c r="A5" i="9"/>
  <c r="A6" i="9"/>
  <c r="A7" i="9"/>
  <c r="A8" i="9"/>
  <c r="A9" i="9"/>
  <c r="A8" i="7" l="1"/>
  <c r="C6" i="12" a="1"/>
  <c r="C6" i="12" s="1"/>
  <c r="A12" i="7"/>
  <c r="Z7" i="8"/>
  <c r="A10" i="7"/>
  <c r="A14" i="7"/>
  <c r="A9" i="7"/>
  <c r="A11" i="7"/>
  <c r="A13" i="7"/>
  <c r="A6" i="7"/>
  <c r="I10" i="12" a="1"/>
  <c r="I11" i="12" s="1"/>
  <c r="G8" i="12" a="1"/>
  <c r="G13" i="12" s="1"/>
  <c r="F7" i="12" a="1"/>
  <c r="F13" i="12" s="1"/>
  <c r="I10" i="7" a="1"/>
  <c r="I10" i="7" s="1"/>
  <c r="H9" i="12" a="1"/>
  <c r="H13" i="12" s="1"/>
  <c r="A7" i="12"/>
  <c r="A8" i="12"/>
  <c r="A9" i="12"/>
  <c r="A10" i="12"/>
  <c r="A11" i="12"/>
  <c r="A12" i="12"/>
  <c r="A13" i="12"/>
  <c r="F7" i="7" a="1"/>
  <c r="F7" i="7" s="1"/>
  <c r="H9" i="7" a="1"/>
  <c r="H9" i="7" s="1"/>
  <c r="K12" i="12" a="1"/>
  <c r="K13" i="12" s="1"/>
  <c r="C6" i="7" a="1"/>
  <c r="C13" i="7" s="1"/>
  <c r="N24" i="7" s="1"/>
  <c r="J12" i="12"/>
  <c r="A14" i="12"/>
  <c r="B31" i="13" a="1"/>
  <c r="J11" i="12"/>
  <c r="L13" i="12"/>
  <c r="J14" i="7"/>
  <c r="J11" i="7"/>
  <c r="G9" i="7"/>
  <c r="J13" i="12"/>
  <c r="K16" i="12"/>
  <c r="AG16" i="12" s="1"/>
  <c r="I13" i="12"/>
  <c r="E6" i="12" a="1"/>
  <c r="E10" i="12" s="1"/>
  <c r="AA10" i="12" s="1"/>
  <c r="I16" i="12"/>
  <c r="AE16" i="12" s="1"/>
  <c r="J16" i="12"/>
  <c r="AF16" i="12" s="1"/>
  <c r="G10" i="7"/>
  <c r="G11" i="7"/>
  <c r="K13" i="7"/>
  <c r="J13" i="7"/>
  <c r="AH16" i="12"/>
  <c r="W5" i="12"/>
  <c r="W16" i="12" s="1"/>
  <c r="R5" i="12"/>
  <c r="R16" i="12" s="1"/>
  <c r="G16" i="12"/>
  <c r="AC16" i="12" s="1"/>
  <c r="C10" i="12"/>
  <c r="N21" i="12" s="1"/>
  <c r="AI16" i="12"/>
  <c r="X5" i="12"/>
  <c r="X16" i="12" s="1"/>
  <c r="Y5" i="12"/>
  <c r="Y16" i="12" s="1"/>
  <c r="AJ16" i="12"/>
  <c r="K12" i="12"/>
  <c r="E6" i="7" a="1"/>
  <c r="E10" i="7" s="1"/>
  <c r="AA10" i="7" s="1"/>
  <c r="K14" i="7"/>
  <c r="L14" i="7"/>
  <c r="G12" i="7"/>
  <c r="G13" i="7"/>
  <c r="G14" i="7"/>
  <c r="L16" i="7"/>
  <c r="AH16" i="7" s="1"/>
  <c r="K16" i="7"/>
  <c r="AG16" i="7" s="1"/>
  <c r="M16" i="7"/>
  <c r="AI16" i="7" s="1"/>
  <c r="T5" i="7"/>
  <c r="T16" i="7" s="1"/>
  <c r="I16" i="7"/>
  <c r="AE16" i="7" s="1"/>
  <c r="G16" i="7"/>
  <c r="AC16" i="7" s="1"/>
  <c r="R5" i="7"/>
  <c r="R16" i="7" s="1"/>
  <c r="H16" i="7"/>
  <c r="AD16" i="7" s="1"/>
  <c r="S5" i="7"/>
  <c r="S16" i="7" s="1"/>
  <c r="J16" i="7"/>
  <c r="AF16" i="7" s="1"/>
  <c r="U5" i="7"/>
  <c r="U16" i="7" s="1"/>
  <c r="I13" i="7" l="1"/>
  <c r="C13" i="12"/>
  <c r="N24" i="12" s="1"/>
  <c r="C12" i="7"/>
  <c r="N23" i="7" s="1"/>
  <c r="C8" i="12"/>
  <c r="N19" i="12" s="1"/>
  <c r="C11" i="12"/>
  <c r="N22" i="12" s="1"/>
  <c r="F10" i="7"/>
  <c r="AA22" i="8"/>
  <c r="AC22" i="8" s="1"/>
  <c r="AB16" i="8"/>
  <c r="AD16" i="8" s="1"/>
  <c r="AB14" i="8"/>
  <c r="AD14" i="8" s="1"/>
  <c r="AA16" i="8"/>
  <c r="AC16" i="8" s="1"/>
  <c r="AE16" i="8" s="1"/>
  <c r="AF16" i="8" s="1"/>
  <c r="AB15" i="8"/>
  <c r="AD15" i="8" s="1"/>
  <c r="AA15" i="8"/>
  <c r="AC15" i="8" s="1"/>
  <c r="AA14" i="8"/>
  <c r="AC14" i="8" s="1"/>
  <c r="AE14" i="8" s="1"/>
  <c r="AB31" i="8"/>
  <c r="AD31" i="8" s="1"/>
  <c r="AA30" i="8"/>
  <c r="AC30" i="8" s="1"/>
  <c r="AA29" i="8"/>
  <c r="AC29" i="8" s="1"/>
  <c r="AB22" i="8"/>
  <c r="AD22" i="8" s="1"/>
  <c r="AB30" i="8"/>
  <c r="AD30" i="8" s="1"/>
  <c r="AB29" i="8"/>
  <c r="AD29" i="8" s="1"/>
  <c r="AA31" i="8"/>
  <c r="AC31" i="8" s="1"/>
  <c r="AE31" i="8" s="1"/>
  <c r="N17" i="12"/>
  <c r="M17" i="12"/>
  <c r="L17" i="12"/>
  <c r="M22" i="12"/>
  <c r="I12" i="7"/>
  <c r="C7" i="12"/>
  <c r="G18" i="12" s="1"/>
  <c r="C9" i="12"/>
  <c r="C12" i="12"/>
  <c r="C14" i="12"/>
  <c r="M25" i="12" s="1"/>
  <c r="C8" i="7"/>
  <c r="N19" i="7" s="1"/>
  <c r="I11" i="7"/>
  <c r="L24" i="12"/>
  <c r="L22" i="12"/>
  <c r="L21" i="12"/>
  <c r="M24" i="12"/>
  <c r="M21" i="12"/>
  <c r="G9" i="12"/>
  <c r="G20" i="12" s="1"/>
  <c r="G12" i="12"/>
  <c r="G10" i="12"/>
  <c r="G21" i="12" s="1"/>
  <c r="G14" i="12"/>
  <c r="H9" i="12"/>
  <c r="K14" i="12"/>
  <c r="I10" i="12"/>
  <c r="I21" i="12" s="1"/>
  <c r="H11" i="12"/>
  <c r="H22" i="12" s="1"/>
  <c r="F14" i="12"/>
  <c r="F25" i="12" s="1"/>
  <c r="F11" i="12"/>
  <c r="F22" i="12" s="1"/>
  <c r="F8" i="12"/>
  <c r="F8" i="7"/>
  <c r="F13" i="7"/>
  <c r="F12" i="7"/>
  <c r="F23" i="7" s="1"/>
  <c r="F12" i="12"/>
  <c r="F10" i="12"/>
  <c r="F21" i="12" s="1"/>
  <c r="F7" i="12"/>
  <c r="F9" i="12"/>
  <c r="H14" i="12"/>
  <c r="H25" i="12" s="1"/>
  <c r="H10" i="12"/>
  <c r="H21" i="12" s="1"/>
  <c r="I14" i="12"/>
  <c r="I25" i="12" s="1"/>
  <c r="I12" i="12"/>
  <c r="H12" i="12"/>
  <c r="AB23" i="8"/>
  <c r="AD23" i="8" s="1"/>
  <c r="AA24" i="8"/>
  <c r="AC24" i="8" s="1"/>
  <c r="AB24" i="8"/>
  <c r="AD24" i="8" s="1"/>
  <c r="AA23" i="8"/>
  <c r="AC23" i="8" s="1"/>
  <c r="F9" i="7"/>
  <c r="F14" i="7"/>
  <c r="F11" i="7"/>
  <c r="G8" i="12"/>
  <c r="G11" i="12"/>
  <c r="I14" i="7"/>
  <c r="C14" i="7"/>
  <c r="M25" i="7" s="1"/>
  <c r="H12" i="7"/>
  <c r="H23" i="7" s="1"/>
  <c r="H10" i="7"/>
  <c r="C10" i="7"/>
  <c r="N21" i="7" s="1"/>
  <c r="C7" i="7"/>
  <c r="N18" i="7" s="1"/>
  <c r="C11" i="7"/>
  <c r="N22" i="7" s="1"/>
  <c r="C6" i="7"/>
  <c r="M17" i="7" s="1"/>
  <c r="C9" i="7"/>
  <c r="N20" i="7" s="1"/>
  <c r="H11" i="7"/>
  <c r="H14" i="7"/>
  <c r="H13" i="7"/>
  <c r="H24" i="7" s="1"/>
  <c r="B31" i="13"/>
  <c r="D31" i="13"/>
  <c r="F31" i="13"/>
  <c r="H31" i="13"/>
  <c r="J31" i="13"/>
  <c r="C32" i="13"/>
  <c r="E32" i="13"/>
  <c r="G32" i="13"/>
  <c r="I32" i="13"/>
  <c r="B33" i="13"/>
  <c r="D33" i="13"/>
  <c r="F33" i="13"/>
  <c r="H33" i="13"/>
  <c r="J33" i="13"/>
  <c r="C34" i="13"/>
  <c r="E34" i="13"/>
  <c r="G34" i="13"/>
  <c r="I34" i="13"/>
  <c r="B35" i="13"/>
  <c r="D35" i="13"/>
  <c r="F35" i="13"/>
  <c r="H35" i="13"/>
  <c r="J35" i="13"/>
  <c r="C36" i="13"/>
  <c r="E36" i="13"/>
  <c r="G36" i="13"/>
  <c r="I36" i="13"/>
  <c r="B37" i="13"/>
  <c r="D37" i="13"/>
  <c r="F37" i="13"/>
  <c r="H37" i="13"/>
  <c r="J37" i="13"/>
  <c r="C38" i="13"/>
  <c r="E38" i="13"/>
  <c r="C31" i="13"/>
  <c r="G31" i="13"/>
  <c r="B32" i="13"/>
  <c r="F32" i="13"/>
  <c r="J32" i="13"/>
  <c r="E33" i="13"/>
  <c r="I33" i="13"/>
  <c r="D34" i="13"/>
  <c r="H34" i="13"/>
  <c r="C35" i="13"/>
  <c r="G35" i="13"/>
  <c r="B36" i="13"/>
  <c r="F36" i="13"/>
  <c r="J36" i="13"/>
  <c r="E37" i="13"/>
  <c r="I37" i="13"/>
  <c r="H50" i="13" s="1" a="1"/>
  <c r="D38" i="13"/>
  <c r="G38" i="13"/>
  <c r="I38" i="13"/>
  <c r="B39" i="13"/>
  <c r="D39" i="13"/>
  <c r="F39" i="13"/>
  <c r="H39" i="13"/>
  <c r="J39" i="13"/>
  <c r="E31" i="13"/>
  <c r="I31" i="13"/>
  <c r="D32" i="13"/>
  <c r="C45" i="13" s="1" a="1"/>
  <c r="H32" i="13"/>
  <c r="C33" i="13"/>
  <c r="G33" i="13"/>
  <c r="B34" i="13"/>
  <c r="F34" i="13"/>
  <c r="J34" i="13"/>
  <c r="E35" i="13"/>
  <c r="I35" i="13"/>
  <c r="D36" i="13"/>
  <c r="H36" i="13"/>
  <c r="G49" i="13" s="1" a="1"/>
  <c r="C37" i="13"/>
  <c r="G37" i="13"/>
  <c r="B38" i="13"/>
  <c r="F38" i="13"/>
  <c r="H38" i="13"/>
  <c r="J38" i="13"/>
  <c r="I51" i="13" s="1" a="1"/>
  <c r="I51" i="13" s="1"/>
  <c r="J50" i="13" s="1" a="1"/>
  <c r="J50" i="13" s="1"/>
  <c r="I63" i="13" s="1" a="1"/>
  <c r="I63" i="13" s="1"/>
  <c r="J62" i="13" s="1" a="1"/>
  <c r="J62" i="13" s="1"/>
  <c r="C39" i="13"/>
  <c r="E39" i="13"/>
  <c r="G39" i="13"/>
  <c r="I39" i="13"/>
  <c r="E11" i="7"/>
  <c r="AA11" i="7" s="1"/>
  <c r="E6" i="7"/>
  <c r="AA6" i="7" s="1"/>
  <c r="E7" i="12"/>
  <c r="AA7" i="12" s="1"/>
  <c r="E8" i="12"/>
  <c r="AA8" i="12" s="1"/>
  <c r="E9" i="12"/>
  <c r="AA9" i="12" s="1"/>
  <c r="E12" i="12"/>
  <c r="AA12" i="12" s="1"/>
  <c r="E11" i="12"/>
  <c r="E13" i="12"/>
  <c r="AA13" i="12" s="1"/>
  <c r="E6" i="12"/>
  <c r="AA6" i="12" s="1"/>
  <c r="E14" i="12"/>
  <c r="E25" i="12" s="1"/>
  <c r="E7" i="7"/>
  <c r="AA7" i="7" s="1"/>
  <c r="I22" i="12"/>
  <c r="J22" i="12"/>
  <c r="K22" i="12"/>
  <c r="H17" i="12"/>
  <c r="F17" i="12"/>
  <c r="I17" i="12"/>
  <c r="J17" i="12"/>
  <c r="K17" i="12"/>
  <c r="G17" i="12"/>
  <c r="P10" i="12"/>
  <c r="E21" i="12"/>
  <c r="P21" i="12" s="1"/>
  <c r="P6" i="12"/>
  <c r="J25" i="12"/>
  <c r="L25" i="12"/>
  <c r="E18" i="12"/>
  <c r="P18" i="12" s="1"/>
  <c r="K21" i="12"/>
  <c r="J21" i="12"/>
  <c r="I20" i="12"/>
  <c r="J20" i="12"/>
  <c r="K19" i="12"/>
  <c r="H19" i="12"/>
  <c r="I19" i="12"/>
  <c r="J19" i="12"/>
  <c r="G23" i="12"/>
  <c r="I24" i="12"/>
  <c r="J24" i="12"/>
  <c r="K24" i="12"/>
  <c r="F24" i="12"/>
  <c r="H24" i="12"/>
  <c r="G24" i="12"/>
  <c r="E8" i="7"/>
  <c r="AA8" i="7" s="1"/>
  <c r="E9" i="7"/>
  <c r="AA9" i="7" s="1"/>
  <c r="E12" i="7"/>
  <c r="AA12" i="7" s="1"/>
  <c r="E13" i="7"/>
  <c r="AA13" i="7" s="1"/>
  <c r="E14" i="7"/>
  <c r="AA14" i="7" s="1"/>
  <c r="I18" i="7"/>
  <c r="M19" i="7"/>
  <c r="K22" i="7"/>
  <c r="L23" i="7"/>
  <c r="I23" i="7"/>
  <c r="G23" i="7"/>
  <c r="K23" i="7"/>
  <c r="J23" i="7"/>
  <c r="M23" i="7"/>
  <c r="J24" i="7"/>
  <c r="L24" i="7"/>
  <c r="G24" i="7"/>
  <c r="K24" i="7"/>
  <c r="I24" i="7"/>
  <c r="F24" i="7"/>
  <c r="M24" i="7"/>
  <c r="M21" i="7"/>
  <c r="G21" i="7"/>
  <c r="L20" i="7"/>
  <c r="F20" i="7"/>
  <c r="Q6" i="12" a="1"/>
  <c r="Q6" i="7" a="1"/>
  <c r="M18" i="7" l="1"/>
  <c r="K18" i="12"/>
  <c r="G19" i="12"/>
  <c r="M19" i="12"/>
  <c r="F19" i="12"/>
  <c r="L19" i="12"/>
  <c r="H20" i="12"/>
  <c r="J20" i="7"/>
  <c r="I20" i="7"/>
  <c r="I21" i="7"/>
  <c r="J21" i="7"/>
  <c r="K20" i="12"/>
  <c r="P7" i="12"/>
  <c r="G25" i="12"/>
  <c r="N25" i="12"/>
  <c r="E17" i="12"/>
  <c r="P17" i="12" s="1"/>
  <c r="J25" i="7"/>
  <c r="L25" i="7"/>
  <c r="F25" i="7"/>
  <c r="F20" i="12"/>
  <c r="K25" i="12"/>
  <c r="I23" i="12"/>
  <c r="AE29" i="8"/>
  <c r="AE15" i="8"/>
  <c r="F19" i="7"/>
  <c r="F18" i="7"/>
  <c r="H19" i="7"/>
  <c r="AE30" i="8"/>
  <c r="AE22" i="8"/>
  <c r="N23" i="12"/>
  <c r="M23" i="12"/>
  <c r="L23" i="12"/>
  <c r="N18" i="12"/>
  <c r="M18" i="12"/>
  <c r="L18" i="12"/>
  <c r="G19" i="7"/>
  <c r="L19" i="7"/>
  <c r="K19" i="7"/>
  <c r="I19" i="7"/>
  <c r="J19" i="7"/>
  <c r="G18" i="7"/>
  <c r="K23" i="12"/>
  <c r="J23" i="12"/>
  <c r="E23" i="12"/>
  <c r="P23" i="12" s="1"/>
  <c r="J18" i="12"/>
  <c r="H18" i="12"/>
  <c r="I18" i="12"/>
  <c r="E24" i="12"/>
  <c r="P24" i="12" s="1"/>
  <c r="G17" i="7"/>
  <c r="H23" i="12"/>
  <c r="F18" i="12"/>
  <c r="F23" i="12"/>
  <c r="N20" i="12"/>
  <c r="L20" i="12"/>
  <c r="M20" i="12"/>
  <c r="AE23" i="8"/>
  <c r="AE24" i="8"/>
  <c r="AF15" i="8"/>
  <c r="AF14" i="8"/>
  <c r="K18" i="7"/>
  <c r="J18" i="7"/>
  <c r="H18" i="7"/>
  <c r="F17" i="7"/>
  <c r="L18" i="7"/>
  <c r="K17" i="7"/>
  <c r="T13" i="12"/>
  <c r="T24" i="12" s="1"/>
  <c r="W10" i="12"/>
  <c r="AH10" i="12" s="1"/>
  <c r="Q8" i="12"/>
  <c r="V14" i="12"/>
  <c r="AG14" i="12" s="1"/>
  <c r="Y11" i="12"/>
  <c r="S9" i="12"/>
  <c r="S20" i="12" s="1"/>
  <c r="V6" i="12"/>
  <c r="R13" i="12"/>
  <c r="U10" i="12"/>
  <c r="X7" i="12"/>
  <c r="AI7" i="12" s="1"/>
  <c r="T14" i="12"/>
  <c r="W11" i="12"/>
  <c r="AH11" i="12" s="1"/>
  <c r="Q9" i="12"/>
  <c r="Q20" i="12" s="1"/>
  <c r="T6" i="12"/>
  <c r="V12" i="12"/>
  <c r="AG12" i="12" s="1"/>
  <c r="Y9" i="12"/>
  <c r="AJ9" i="12" s="1"/>
  <c r="S7" i="12"/>
  <c r="S18" i="12" s="1"/>
  <c r="Y12" i="12"/>
  <c r="S10" i="12"/>
  <c r="S21" i="12" s="1"/>
  <c r="V7" i="12"/>
  <c r="AG7" i="12" s="1"/>
  <c r="Q14" i="12"/>
  <c r="AB14" i="12" s="1"/>
  <c r="T11" i="12"/>
  <c r="W8" i="12"/>
  <c r="Q6" i="12"/>
  <c r="X12" i="12"/>
  <c r="R10" i="12"/>
  <c r="U7" i="12"/>
  <c r="X13" i="12"/>
  <c r="AI13" i="12" s="1"/>
  <c r="R11" i="12"/>
  <c r="U8" i="12"/>
  <c r="U19" i="12" s="1"/>
  <c r="W13" i="12"/>
  <c r="Q11" i="12"/>
  <c r="T8" i="12"/>
  <c r="Y14" i="12"/>
  <c r="AJ14" i="12" s="1"/>
  <c r="S12" i="12"/>
  <c r="S23" i="12" s="1"/>
  <c r="V9" i="12"/>
  <c r="Y6" i="12"/>
  <c r="R12" i="12"/>
  <c r="U9" i="12"/>
  <c r="X14" i="12"/>
  <c r="AI14" i="12" s="1"/>
  <c r="W14" i="12"/>
  <c r="AH14" i="12" s="1"/>
  <c r="Q12" i="12"/>
  <c r="T9" i="12"/>
  <c r="W6" i="12"/>
  <c r="AH6" i="12" s="1"/>
  <c r="S13" i="12"/>
  <c r="V10" i="12"/>
  <c r="AG10" i="12" s="1"/>
  <c r="Y7" i="12"/>
  <c r="AJ7" i="12" s="1"/>
  <c r="U14" i="12"/>
  <c r="AF14" i="12" s="1"/>
  <c r="X11" i="12"/>
  <c r="AI11" i="12" s="1"/>
  <c r="R9" i="12"/>
  <c r="U6" i="12"/>
  <c r="Q13" i="12"/>
  <c r="T10" i="12"/>
  <c r="W7" i="12"/>
  <c r="AH7" i="12" s="1"/>
  <c r="Y13" i="12"/>
  <c r="AJ13" i="12" s="1"/>
  <c r="S11" i="12"/>
  <c r="V8" i="12"/>
  <c r="AG8" i="12" s="1"/>
  <c r="S14" i="12"/>
  <c r="AD14" i="12" s="1"/>
  <c r="V11" i="12"/>
  <c r="AG11" i="12" s="1"/>
  <c r="Y8" i="12"/>
  <c r="AJ8" i="12" s="1"/>
  <c r="S6" i="12"/>
  <c r="W12" i="12"/>
  <c r="AH12" i="12" s="1"/>
  <c r="Q10" i="12"/>
  <c r="T7" i="12"/>
  <c r="R14" i="12"/>
  <c r="AC14" i="12" s="1"/>
  <c r="U11" i="12"/>
  <c r="X8" i="12"/>
  <c r="AI8" i="12" s="1"/>
  <c r="R6" i="12"/>
  <c r="U12" i="12"/>
  <c r="X9" i="12"/>
  <c r="AI9" i="12" s="1"/>
  <c r="R7" i="12"/>
  <c r="T12" i="12"/>
  <c r="W9" i="12"/>
  <c r="AH9" i="12" s="1"/>
  <c r="Q7" i="12"/>
  <c r="V13" i="12"/>
  <c r="Y10" i="12"/>
  <c r="AJ10" i="12" s="1"/>
  <c r="S8" i="12"/>
  <c r="U13" i="12"/>
  <c r="X10" i="12"/>
  <c r="AI10" i="12" s="1"/>
  <c r="R8" i="12"/>
  <c r="X6" i="12"/>
  <c r="AI6" i="12" s="1"/>
  <c r="M20" i="7"/>
  <c r="H20" i="7"/>
  <c r="K20" i="7"/>
  <c r="G20" i="7"/>
  <c r="F21" i="7"/>
  <c r="K21" i="7"/>
  <c r="L21" i="7"/>
  <c r="H21" i="7"/>
  <c r="F22" i="7"/>
  <c r="M22" i="7"/>
  <c r="I22" i="7"/>
  <c r="H22" i="7"/>
  <c r="L22" i="7"/>
  <c r="P12" i="12"/>
  <c r="P13" i="12"/>
  <c r="G22" i="12"/>
  <c r="N25" i="7"/>
  <c r="K25" i="7"/>
  <c r="G25" i="7"/>
  <c r="I25" i="7"/>
  <c r="W12" i="7"/>
  <c r="AH12" i="7" s="1"/>
  <c r="X11" i="7"/>
  <c r="AI11" i="7" s="1"/>
  <c r="X10" i="7"/>
  <c r="AI10" i="7" s="1"/>
  <c r="V8" i="7"/>
  <c r="AG8" i="7" s="1"/>
  <c r="T6" i="7"/>
  <c r="AE6" i="7" s="1"/>
  <c r="W6" i="7"/>
  <c r="AH6" i="7" s="1"/>
  <c r="R7" i="7"/>
  <c r="AC7" i="7" s="1"/>
  <c r="Q10" i="7"/>
  <c r="AB10" i="7" s="1"/>
  <c r="Y9" i="7"/>
  <c r="AJ9" i="7" s="1"/>
  <c r="W7" i="7"/>
  <c r="AH7" i="7" s="1"/>
  <c r="Q8" i="7"/>
  <c r="AB8" i="7" s="1"/>
  <c r="U8" i="7"/>
  <c r="AF8" i="7" s="1"/>
  <c r="S13" i="7"/>
  <c r="AD13" i="7" s="1"/>
  <c r="R6" i="7"/>
  <c r="AC6" i="7" s="1"/>
  <c r="Y10" i="7"/>
  <c r="AJ10" i="7" s="1"/>
  <c r="X14" i="7"/>
  <c r="AI14" i="7" s="1"/>
  <c r="W9" i="7"/>
  <c r="AH9" i="7" s="1"/>
  <c r="U10" i="7"/>
  <c r="AF10" i="7" s="1"/>
  <c r="V12" i="7"/>
  <c r="AG12" i="7" s="1"/>
  <c r="T10" i="7"/>
  <c r="AE10" i="7" s="1"/>
  <c r="W10" i="7"/>
  <c r="AH10" i="7" s="1"/>
  <c r="R11" i="7"/>
  <c r="AC11" i="7" s="1"/>
  <c r="V7" i="7"/>
  <c r="AG7" i="7" s="1"/>
  <c r="Y13" i="7"/>
  <c r="AJ13" i="7" s="1"/>
  <c r="W11" i="7"/>
  <c r="AH11" i="7" s="1"/>
  <c r="Q12" i="7"/>
  <c r="AB12" i="7" s="1"/>
  <c r="U12" i="7"/>
  <c r="AF12" i="7" s="1"/>
  <c r="V14" i="7"/>
  <c r="AG14" i="7" s="1"/>
  <c r="R10" i="7"/>
  <c r="AC10" i="7" s="1"/>
  <c r="Y7" i="7"/>
  <c r="AJ7" i="7" s="1"/>
  <c r="V13" i="7"/>
  <c r="AG13" i="7" s="1"/>
  <c r="X6" i="7"/>
  <c r="AI6" i="7" s="1"/>
  <c r="Q6" i="7"/>
  <c r="AB6" i="7" s="1"/>
  <c r="T14" i="7"/>
  <c r="AE14" i="7" s="1"/>
  <c r="W14" i="7"/>
  <c r="AH14" i="7" s="1"/>
  <c r="S6" i="7"/>
  <c r="AD6" i="7" s="1"/>
  <c r="T7" i="7"/>
  <c r="AE7" i="7" s="1"/>
  <c r="U6" i="7"/>
  <c r="AF6" i="7" s="1"/>
  <c r="S8" i="7"/>
  <c r="AD8" i="7" s="1"/>
  <c r="S14" i="7"/>
  <c r="AD14" i="7" s="1"/>
  <c r="S7" i="7"/>
  <c r="AD7" i="7" s="1"/>
  <c r="Y12" i="7"/>
  <c r="AJ12" i="7" s="1"/>
  <c r="V9" i="7"/>
  <c r="AG9" i="7" s="1"/>
  <c r="W13" i="7"/>
  <c r="AH13" i="7" s="1"/>
  <c r="Q14" i="7"/>
  <c r="AB14" i="7" s="1"/>
  <c r="R13" i="7"/>
  <c r="AC13" i="7" s="1"/>
  <c r="R12" i="7"/>
  <c r="AC12" i="7" s="1"/>
  <c r="W8" i="7"/>
  <c r="AH8" i="7" s="1"/>
  <c r="T11" i="7"/>
  <c r="AE11" i="7" s="1"/>
  <c r="Y8" i="7"/>
  <c r="AJ8" i="7" s="1"/>
  <c r="U14" i="7"/>
  <c r="AF14" i="7" s="1"/>
  <c r="U13" i="7"/>
  <c r="AF13" i="7" s="1"/>
  <c r="X7" i="7"/>
  <c r="AI7" i="7" s="1"/>
  <c r="S11" i="7"/>
  <c r="AD11" i="7" s="1"/>
  <c r="Q9" i="7"/>
  <c r="AB9" i="7" s="1"/>
  <c r="T9" i="7"/>
  <c r="AE9" i="7" s="1"/>
  <c r="X9" i="7"/>
  <c r="AI9" i="7" s="1"/>
  <c r="R9" i="7"/>
  <c r="AC9" i="7" s="1"/>
  <c r="T12" i="7"/>
  <c r="AE12" i="7" s="1"/>
  <c r="U7" i="7"/>
  <c r="AF7" i="7" s="1"/>
  <c r="Y14" i="7"/>
  <c r="AJ14" i="7" s="1"/>
  <c r="Y6" i="7"/>
  <c r="AJ6" i="7" s="1"/>
  <c r="Y11" i="7"/>
  <c r="AJ11" i="7" s="1"/>
  <c r="U9" i="7"/>
  <c r="AF9" i="7" s="1"/>
  <c r="X8" i="7"/>
  <c r="AI8" i="7" s="1"/>
  <c r="V6" i="7"/>
  <c r="AG6" i="7" s="1"/>
  <c r="S12" i="7"/>
  <c r="AD12" i="7" s="1"/>
  <c r="Q11" i="7"/>
  <c r="AB11" i="7" s="1"/>
  <c r="S10" i="7"/>
  <c r="AD10" i="7" s="1"/>
  <c r="Q13" i="7"/>
  <c r="AB13" i="7" s="1"/>
  <c r="T13" i="7"/>
  <c r="AE13" i="7" s="1"/>
  <c r="X13" i="7"/>
  <c r="AI13" i="7" s="1"/>
  <c r="R8" i="7"/>
  <c r="AC8" i="7" s="1"/>
  <c r="U11" i="7"/>
  <c r="AF11" i="7" s="1"/>
  <c r="S9" i="7"/>
  <c r="AD9" i="7" s="1"/>
  <c r="Q7" i="7"/>
  <c r="AB7" i="7" s="1"/>
  <c r="R14" i="7"/>
  <c r="AC14" i="7" s="1"/>
  <c r="X12" i="7"/>
  <c r="AI12" i="7" s="1"/>
  <c r="V10" i="7"/>
  <c r="AG10" i="7" s="1"/>
  <c r="T8" i="7"/>
  <c r="AE8" i="7" s="1"/>
  <c r="V11" i="7"/>
  <c r="AG11" i="7" s="1"/>
  <c r="G22" i="7"/>
  <c r="J22" i="7"/>
  <c r="H25" i="7"/>
  <c r="N17" i="7"/>
  <c r="I17" i="7"/>
  <c r="J17" i="7"/>
  <c r="L17" i="7"/>
  <c r="H17" i="7"/>
  <c r="P14" i="12"/>
  <c r="AA14" i="12"/>
  <c r="E22" i="12"/>
  <c r="P22" i="12" s="1"/>
  <c r="AA11" i="12"/>
  <c r="W23" i="7"/>
  <c r="AH23" i="7" s="1"/>
  <c r="V22" i="7"/>
  <c r="AG22" i="7" s="1"/>
  <c r="E47" i="13" a="1"/>
  <c r="H50" i="13"/>
  <c r="H51" i="13"/>
  <c r="D46" i="13" a="1"/>
  <c r="G50" i="13"/>
  <c r="G49" i="13"/>
  <c r="H48" i="13" s="1" a="1"/>
  <c r="G51" i="13"/>
  <c r="C46" i="13"/>
  <c r="C48" i="13"/>
  <c r="C50" i="13"/>
  <c r="C47" i="13"/>
  <c r="C51" i="13"/>
  <c r="C45" i="13"/>
  <c r="C49" i="13"/>
  <c r="F48" i="13" a="1"/>
  <c r="B44" i="13" a="1"/>
  <c r="E20" i="12"/>
  <c r="P9" i="12"/>
  <c r="P11" i="12"/>
  <c r="E19" i="12"/>
  <c r="P19" i="12" s="1"/>
  <c r="P8" i="12"/>
  <c r="W23" i="12"/>
  <c r="S25" i="7"/>
  <c r="AD25" i="7" s="1"/>
  <c r="Y20" i="7"/>
  <c r="AJ20" i="7" s="1"/>
  <c r="AA21" i="12"/>
  <c r="AA25" i="12"/>
  <c r="P25" i="12"/>
  <c r="AA18" i="12"/>
  <c r="P14" i="7"/>
  <c r="E25" i="7"/>
  <c r="R20" i="7"/>
  <c r="AC20" i="7" s="1"/>
  <c r="Q19" i="7"/>
  <c r="AB19" i="7" s="1"/>
  <c r="S21" i="7"/>
  <c r="T24" i="7"/>
  <c r="AE24" i="7" s="1"/>
  <c r="X19" i="7"/>
  <c r="AI19" i="7" s="1"/>
  <c r="R19" i="7"/>
  <c r="S20" i="7"/>
  <c r="V24" i="7"/>
  <c r="AG24" i="7" s="1"/>
  <c r="R21" i="7"/>
  <c r="AC21" i="7" s="1"/>
  <c r="P12" i="7"/>
  <c r="E23" i="7"/>
  <c r="P6" i="7"/>
  <c r="E17" i="7"/>
  <c r="P11" i="7"/>
  <c r="E22" i="7"/>
  <c r="P9" i="7"/>
  <c r="E20" i="7"/>
  <c r="P8" i="7"/>
  <c r="E19" i="7"/>
  <c r="E24" i="7"/>
  <c r="P13" i="7"/>
  <c r="P10" i="7"/>
  <c r="E21" i="7"/>
  <c r="P7" i="7"/>
  <c r="E18" i="7"/>
  <c r="R17" i="7" l="1"/>
  <c r="AC17" i="7" s="1"/>
  <c r="R22" i="7"/>
  <c r="AC22" i="7" s="1"/>
  <c r="AC19" i="7"/>
  <c r="U18" i="7"/>
  <c r="AF18" i="7" s="1"/>
  <c r="Q22" i="7"/>
  <c r="AD20" i="7"/>
  <c r="S17" i="7"/>
  <c r="W24" i="7"/>
  <c r="AH24" i="7" s="1"/>
  <c r="AD21" i="7"/>
  <c r="W19" i="7"/>
  <c r="AH19" i="7" s="1"/>
  <c r="T19" i="7"/>
  <c r="AE19" i="7" s="1"/>
  <c r="AA23" i="12"/>
  <c r="Y23" i="7"/>
  <c r="AJ23" i="7" s="1"/>
  <c r="Y19" i="7"/>
  <c r="AJ19" i="7" s="1"/>
  <c r="Q23" i="7"/>
  <c r="AB23" i="7" s="1"/>
  <c r="Y18" i="7"/>
  <c r="AJ18" i="7" s="1"/>
  <c r="U21" i="7"/>
  <c r="W18" i="7"/>
  <c r="AH18" i="7" s="1"/>
  <c r="U17" i="7"/>
  <c r="AF17" i="7" s="1"/>
  <c r="T20" i="7"/>
  <c r="U19" i="7"/>
  <c r="AF19" i="7" s="1"/>
  <c r="W17" i="7"/>
  <c r="AH17" i="7" s="1"/>
  <c r="T21" i="7"/>
  <c r="AE21" i="7" s="1"/>
  <c r="X22" i="7"/>
  <c r="AI22" i="7" s="1"/>
  <c r="X23" i="7"/>
  <c r="AI23" i="7" s="1"/>
  <c r="U24" i="7"/>
  <c r="AF24" i="7" s="1"/>
  <c r="Q21" i="7"/>
  <c r="S22" i="7"/>
  <c r="AD22" i="7" s="1"/>
  <c r="AA24" i="12"/>
  <c r="AA17" i="12"/>
  <c r="X25" i="7"/>
  <c r="AI25" i="7" s="1"/>
  <c r="X17" i="7"/>
  <c r="AI17" i="7" s="1"/>
  <c r="AH23" i="12"/>
  <c r="V25" i="7"/>
  <c r="AG25" i="7" s="1"/>
  <c r="AA22" i="12"/>
  <c r="E28" i="12"/>
  <c r="AF21" i="7"/>
  <c r="AE20" i="7"/>
  <c r="W20" i="7"/>
  <c r="AH20" i="7" s="1"/>
  <c r="AD17" i="7"/>
  <c r="X18" i="7"/>
  <c r="AI18" i="7" s="1"/>
  <c r="V23" i="7"/>
  <c r="AG23" i="7" s="1"/>
  <c r="V20" i="7"/>
  <c r="AG20" i="7" s="1"/>
  <c r="AB21" i="7"/>
  <c r="T18" i="7"/>
  <c r="AE18" i="7" s="1"/>
  <c r="R23" i="7"/>
  <c r="AC23" i="7" s="1"/>
  <c r="AA19" i="12"/>
  <c r="S25" i="12"/>
  <c r="AD25" i="12" s="1"/>
  <c r="Y19" i="12"/>
  <c r="AJ19" i="12" s="1"/>
  <c r="T22" i="7"/>
  <c r="AE22" i="7" s="1"/>
  <c r="U25" i="7"/>
  <c r="AF25" i="7" s="1"/>
  <c r="Y22" i="7"/>
  <c r="AJ22" i="7" s="1"/>
  <c r="Q25" i="7"/>
  <c r="AB25" i="7" s="1"/>
  <c r="V17" i="7"/>
  <c r="AG17" i="7" s="1"/>
  <c r="U20" i="7"/>
  <c r="AF20" i="7" s="1"/>
  <c r="U22" i="7"/>
  <c r="AF22" i="7" s="1"/>
  <c r="Q24" i="7"/>
  <c r="AB24" i="7" s="1"/>
  <c r="R24" i="7"/>
  <c r="AC24" i="7" s="1"/>
  <c r="V19" i="7"/>
  <c r="AG19" i="7" s="1"/>
  <c r="X24" i="7"/>
  <c r="AI24" i="7" s="1"/>
  <c r="Y17" i="7"/>
  <c r="AJ17" i="7" s="1"/>
  <c r="T25" i="7"/>
  <c r="AE25" i="7" s="1"/>
  <c r="Y24" i="7"/>
  <c r="AJ24" i="7" s="1"/>
  <c r="W22" i="12"/>
  <c r="AH22" i="12" s="1"/>
  <c r="Y24" i="12"/>
  <c r="AJ24" i="12" s="1"/>
  <c r="Y18" i="12"/>
  <c r="AJ18" i="12" s="1"/>
  <c r="AD8" i="12"/>
  <c r="S19" i="12"/>
  <c r="AD19" i="12" s="1"/>
  <c r="AC7" i="12"/>
  <c r="R18" i="12"/>
  <c r="AC18" i="12" s="1"/>
  <c r="AF12" i="12"/>
  <c r="U23" i="12"/>
  <c r="AB10" i="12"/>
  <c r="Q21" i="12"/>
  <c r="AB21" i="12" s="1"/>
  <c r="AD6" i="12"/>
  <c r="S17" i="12"/>
  <c r="AD17" i="12" s="1"/>
  <c r="AE10" i="12"/>
  <c r="T21" i="12"/>
  <c r="AE21" i="12" s="1"/>
  <c r="AF6" i="12"/>
  <c r="U17" i="12"/>
  <c r="AF17" i="12" s="1"/>
  <c r="AD13" i="12"/>
  <c r="S24" i="12"/>
  <c r="AD24" i="12" s="1"/>
  <c r="AE9" i="12"/>
  <c r="T20" i="12"/>
  <c r="AE20" i="12" s="1"/>
  <c r="AF9" i="12"/>
  <c r="U20" i="12"/>
  <c r="AF20" i="12" s="1"/>
  <c r="AE8" i="12"/>
  <c r="T19" i="12"/>
  <c r="AE19" i="12" s="1"/>
  <c r="AC11" i="12"/>
  <c r="R22" i="12"/>
  <c r="AC22" i="12" s="1"/>
  <c r="AF7" i="12"/>
  <c r="U18" i="12"/>
  <c r="AF18" i="12" s="1"/>
  <c r="AF10" i="12"/>
  <c r="U21" i="12"/>
  <c r="AF21" i="12" s="1"/>
  <c r="AB8" i="12"/>
  <c r="Q19" i="12"/>
  <c r="AB19" i="12" s="1"/>
  <c r="AA20" i="12"/>
  <c r="P20" i="12"/>
  <c r="AC8" i="12"/>
  <c r="R19" i="12"/>
  <c r="AC19" i="12" s="1"/>
  <c r="AF13" i="12"/>
  <c r="U24" i="12"/>
  <c r="AF24" i="12" s="1"/>
  <c r="AB7" i="12"/>
  <c r="Q18" i="12"/>
  <c r="AB18" i="12" s="1"/>
  <c r="AE12" i="12"/>
  <c r="T23" i="12"/>
  <c r="AE23" i="12" s="1"/>
  <c r="AC6" i="12"/>
  <c r="R17" i="12"/>
  <c r="AC17" i="12" s="1"/>
  <c r="AF11" i="12"/>
  <c r="U22" i="12"/>
  <c r="AE7" i="12"/>
  <c r="T18" i="12"/>
  <c r="AE18" i="12" s="1"/>
  <c r="AD11" i="12"/>
  <c r="S22" i="12"/>
  <c r="AD22" i="12" s="1"/>
  <c r="AB13" i="12"/>
  <c r="Q24" i="12"/>
  <c r="AB24" i="12" s="1"/>
  <c r="AC9" i="12"/>
  <c r="R20" i="12"/>
  <c r="AC20" i="12" s="1"/>
  <c r="AB12" i="12"/>
  <c r="Q23" i="12"/>
  <c r="AB23" i="12" s="1"/>
  <c r="AC12" i="12"/>
  <c r="R23" i="12"/>
  <c r="AC23" i="12" s="1"/>
  <c r="AB11" i="12"/>
  <c r="Q22" i="12"/>
  <c r="AB22" i="12" s="1"/>
  <c r="AC10" i="12"/>
  <c r="R21" i="12"/>
  <c r="AC21" i="12" s="1"/>
  <c r="AB6" i="12"/>
  <c r="Q17" i="12"/>
  <c r="AB17" i="12" s="1"/>
  <c r="AE11" i="12"/>
  <c r="T22" i="12"/>
  <c r="AE22" i="12" s="1"/>
  <c r="AE6" i="12"/>
  <c r="T17" i="12"/>
  <c r="AE17" i="12" s="1"/>
  <c r="AC13" i="12"/>
  <c r="R24" i="12"/>
  <c r="AC24" i="12" s="1"/>
  <c r="R25" i="12"/>
  <c r="AC25" i="12" s="1"/>
  <c r="AF23" i="12"/>
  <c r="W25" i="12"/>
  <c r="AH25" i="12" s="1"/>
  <c r="V22" i="12"/>
  <c r="AG22" i="12" s="1"/>
  <c r="X20" i="12"/>
  <c r="AI20" i="12" s="1"/>
  <c r="V18" i="12"/>
  <c r="AG18" i="12" s="1"/>
  <c r="X25" i="12"/>
  <c r="AI25" i="12" s="1"/>
  <c r="W18" i="12"/>
  <c r="AH18" i="12" s="1"/>
  <c r="V25" i="12"/>
  <c r="AG25" i="12" s="1"/>
  <c r="V21" i="12"/>
  <c r="AG21" i="12" s="1"/>
  <c r="Y21" i="12"/>
  <c r="AJ21" i="12" s="1"/>
  <c r="AF22" i="12"/>
  <c r="Y25" i="12"/>
  <c r="AJ25" i="12" s="1"/>
  <c r="U25" i="12"/>
  <c r="AF25" i="12" s="1"/>
  <c r="W21" i="12"/>
  <c r="AH21" i="12" s="1"/>
  <c r="W17" i="12"/>
  <c r="AH17" i="12" s="1"/>
  <c r="X18" i="12"/>
  <c r="AI18" i="12" s="1"/>
  <c r="X24" i="12"/>
  <c r="AI24" i="12" s="1"/>
  <c r="Y20" i="12"/>
  <c r="AJ20" i="12" s="1"/>
  <c r="X17" i="12"/>
  <c r="AI17" i="12" s="1"/>
  <c r="X22" i="12"/>
  <c r="AI22" i="12" s="1"/>
  <c r="W20" i="12"/>
  <c r="AH20" i="12" s="1"/>
  <c r="X19" i="12"/>
  <c r="AI19" i="12" s="1"/>
  <c r="X21" i="12"/>
  <c r="AI21" i="12" s="1"/>
  <c r="V19" i="12"/>
  <c r="AG19" i="12" s="1"/>
  <c r="Q25" i="12"/>
  <c r="AB25" i="12" s="1"/>
  <c r="V23" i="12"/>
  <c r="AG23" i="12" s="1"/>
  <c r="E28" i="7" a="1"/>
  <c r="E28" i="7" s="1"/>
  <c r="W21" i="7"/>
  <c r="AH21" i="7" s="1"/>
  <c r="Q17" i="7"/>
  <c r="AB17" i="7" s="1"/>
  <c r="W22" i="7"/>
  <c r="AH22" i="7" s="1"/>
  <c r="AB22" i="7"/>
  <c r="T17" i="7"/>
  <c r="AE17" i="7" s="1"/>
  <c r="V18" i="7"/>
  <c r="AG18" i="7" s="1"/>
  <c r="S18" i="7"/>
  <c r="AD18" i="7" s="1"/>
  <c r="X20" i="7"/>
  <c r="AI20" i="7" s="1"/>
  <c r="U23" i="7"/>
  <c r="AF23" i="7" s="1"/>
  <c r="X21" i="7"/>
  <c r="AI21" i="7" s="1"/>
  <c r="T23" i="7"/>
  <c r="AE23" i="7" s="1"/>
  <c r="S24" i="7"/>
  <c r="AD24" i="7" s="1"/>
  <c r="S23" i="7"/>
  <c r="AD23" i="7" s="1"/>
  <c r="R25" i="7"/>
  <c r="AC25" i="7" s="1"/>
  <c r="Y25" i="7"/>
  <c r="AJ25" i="7" s="1"/>
  <c r="Y21" i="7"/>
  <c r="AJ21" i="7" s="1"/>
  <c r="Q20" i="7"/>
  <c r="AB20" i="7" s="1"/>
  <c r="W25" i="7"/>
  <c r="AH25" i="7" s="1"/>
  <c r="V21" i="7"/>
  <c r="AG21" i="7" s="1"/>
  <c r="R18" i="7"/>
  <c r="AC18" i="7" s="1"/>
  <c r="S19" i="7"/>
  <c r="AD19" i="7" s="1"/>
  <c r="AG9" i="12"/>
  <c r="V20" i="12"/>
  <c r="AG20" i="12" s="1"/>
  <c r="AF8" i="12"/>
  <c r="AF19" i="12"/>
  <c r="AJ12" i="12"/>
  <c r="Y23" i="12"/>
  <c r="AJ23" i="12" s="1"/>
  <c r="AD9" i="12"/>
  <c r="AD20" i="12"/>
  <c r="AG13" i="12"/>
  <c r="V24" i="12"/>
  <c r="AG24" i="12" s="1"/>
  <c r="AJ6" i="12"/>
  <c r="Y17" i="12"/>
  <c r="AJ17" i="12" s="1"/>
  <c r="AD12" i="12"/>
  <c r="AD23" i="12"/>
  <c r="AH13" i="12"/>
  <c r="W24" i="12"/>
  <c r="AH24" i="12" s="1"/>
  <c r="AI12" i="12"/>
  <c r="X23" i="12"/>
  <c r="AI23" i="12" s="1"/>
  <c r="AH8" i="12"/>
  <c r="W19" i="12"/>
  <c r="AH19" i="12" s="1"/>
  <c r="AD10" i="12"/>
  <c r="AD21" i="12"/>
  <c r="AD7" i="12"/>
  <c r="AD18" i="12"/>
  <c r="AB9" i="12"/>
  <c r="AB20" i="12"/>
  <c r="AE14" i="12"/>
  <c r="T25" i="12"/>
  <c r="AE25" i="12" s="1"/>
  <c r="AG6" i="12"/>
  <c r="V17" i="12"/>
  <c r="AG17" i="12" s="1"/>
  <c r="AJ11" i="12"/>
  <c r="Y22" i="12"/>
  <c r="AJ22" i="12" s="1"/>
  <c r="AE13" i="12"/>
  <c r="AE24" i="12"/>
  <c r="Q18" i="7"/>
  <c r="AB18" i="7" s="1"/>
  <c r="B45" i="13"/>
  <c r="B47" i="13"/>
  <c r="B49" i="13"/>
  <c r="B51" i="13"/>
  <c r="B46" i="13"/>
  <c r="B50" i="13"/>
  <c r="B44" i="13"/>
  <c r="C43" i="13" s="1" a="1"/>
  <c r="B48" i="13"/>
  <c r="J48" i="13"/>
  <c r="I48" i="13"/>
  <c r="H48" i="13"/>
  <c r="G61" i="13" s="1" a="1"/>
  <c r="D46" i="13"/>
  <c r="D48" i="13"/>
  <c r="D50" i="13"/>
  <c r="D47" i="13"/>
  <c r="D51" i="13"/>
  <c r="D49" i="13"/>
  <c r="I49" i="13" a="1"/>
  <c r="F49" i="13"/>
  <c r="F51" i="13"/>
  <c r="F48" i="13"/>
  <c r="G47" i="13" s="1" a="1"/>
  <c r="F50" i="13"/>
  <c r="D44" i="13" a="1"/>
  <c r="E47" i="13"/>
  <c r="E49" i="13"/>
  <c r="E51" i="13"/>
  <c r="E50" i="13"/>
  <c r="E48" i="13"/>
  <c r="AA25" i="7"/>
  <c r="P25" i="7"/>
  <c r="P20" i="7"/>
  <c r="AA20" i="7"/>
  <c r="AA17" i="7"/>
  <c r="P17" i="7"/>
  <c r="AA23" i="7"/>
  <c r="P23" i="7"/>
  <c r="P18" i="7"/>
  <c r="AA18" i="7"/>
  <c r="AA22" i="7"/>
  <c r="P22" i="7"/>
  <c r="AA21" i="7"/>
  <c r="P21" i="7"/>
  <c r="AA24" i="7"/>
  <c r="P24" i="7"/>
  <c r="P19" i="7"/>
  <c r="AA19" i="7"/>
  <c r="P28" i="12" l="1" a="1"/>
  <c r="P28" i="12" s="1"/>
  <c r="E31" i="12" s="1"/>
  <c r="P28" i="7" a="1"/>
  <c r="P28" i="7" s="1"/>
  <c r="F46" i="13" a="1"/>
  <c r="J49" i="13"/>
  <c r="I49" i="13"/>
  <c r="H62" i="13" s="1" a="1"/>
  <c r="E45" i="13" a="1"/>
  <c r="E44" i="13"/>
  <c r="G44" i="13"/>
  <c r="I44" i="13"/>
  <c r="F44" i="13"/>
  <c r="J44" i="13"/>
  <c r="D44" i="13"/>
  <c r="H44" i="13"/>
  <c r="H47" i="13"/>
  <c r="J47" i="13"/>
  <c r="G47" i="13"/>
  <c r="F60" i="13" s="1" a="1"/>
  <c r="I47" i="13"/>
  <c r="G63" i="13"/>
  <c r="G62" i="13"/>
  <c r="G61" i="13"/>
  <c r="H60" i="13" s="1" a="1"/>
  <c r="D43" i="13"/>
  <c r="F43" i="13"/>
  <c r="H43" i="13"/>
  <c r="J43" i="13"/>
  <c r="E43" i="13"/>
  <c r="I43" i="13"/>
  <c r="C43" i="13"/>
  <c r="G43" i="13"/>
  <c r="F63" i="13" l="1"/>
  <c r="F62" i="13"/>
  <c r="F60" i="13"/>
  <c r="F61" i="13"/>
  <c r="G59" i="13" s="1" a="1"/>
  <c r="C57" i="13" a="1"/>
  <c r="E45" i="13"/>
  <c r="G45" i="13"/>
  <c r="I45" i="13"/>
  <c r="F45" i="13"/>
  <c r="J45" i="13"/>
  <c r="H45" i="13"/>
  <c r="H60" i="13"/>
  <c r="J60" i="13"/>
  <c r="I60" i="13"/>
  <c r="B56" i="13" a="1"/>
  <c r="H63" i="13"/>
  <c r="I61" i="13" s="1" a="1"/>
  <c r="H62" i="13"/>
  <c r="F46" i="13"/>
  <c r="H46" i="13"/>
  <c r="J46" i="13"/>
  <c r="I46" i="13"/>
  <c r="G46" i="13"/>
  <c r="E59" i="13" l="1" a="1"/>
  <c r="D58" i="13" a="1"/>
  <c r="G59" i="13"/>
  <c r="H59" i="13"/>
  <c r="I59" i="13"/>
  <c r="J59" i="13"/>
  <c r="I61" i="13"/>
  <c r="J61" i="13"/>
  <c r="B63" i="13"/>
  <c r="B60" i="13"/>
  <c r="B56" i="13"/>
  <c r="B62" i="13"/>
  <c r="B58" i="13"/>
  <c r="B57" i="13"/>
  <c r="B61" i="13"/>
  <c r="B59" i="13"/>
  <c r="C63" i="13"/>
  <c r="C58" i="13"/>
  <c r="C62" i="13"/>
  <c r="C59" i="13"/>
  <c r="C60" i="13"/>
  <c r="C57" i="13"/>
  <c r="C61" i="13"/>
  <c r="D56" i="13" l="1" a="1"/>
  <c r="D63" i="13"/>
  <c r="D62" i="13"/>
  <c r="D58" i="13"/>
  <c r="D60" i="13"/>
  <c r="D59" i="13"/>
  <c r="D61" i="13"/>
  <c r="C55" i="13" a="1"/>
  <c r="E63" i="13"/>
  <c r="E62" i="13"/>
  <c r="E59" i="13"/>
  <c r="E60" i="13"/>
  <c r="E61" i="13"/>
  <c r="E57" i="13" l="1" a="1"/>
  <c r="G55" i="13"/>
  <c r="C55" i="13"/>
  <c r="H55" i="13"/>
  <c r="D55" i="13"/>
  <c r="I55" i="13"/>
  <c r="E55" i="13"/>
  <c r="J55" i="13"/>
  <c r="F55" i="13"/>
  <c r="F58" i="13" a="1"/>
  <c r="J56" i="13"/>
  <c r="F56" i="13"/>
  <c r="I56" i="13"/>
  <c r="E56" i="13"/>
  <c r="H56" i="13"/>
  <c r="D56" i="13"/>
  <c r="G56" i="13"/>
  <c r="H58" i="13" l="1"/>
  <c r="I58" i="13"/>
  <c r="J58" i="13"/>
  <c r="F58" i="13"/>
  <c r="G58" i="13"/>
  <c r="I57" i="13"/>
  <c r="E57" i="13"/>
  <c r="H57" i="13"/>
  <c r="G57" i="13"/>
  <c r="J57" i="13"/>
  <c r="F57" i="13"/>
</calcChain>
</file>

<file path=xl/sharedStrings.xml><?xml version="1.0" encoding="utf-8"?>
<sst xmlns="http://schemas.openxmlformats.org/spreadsheetml/2006/main" count="115" uniqueCount="64">
  <si>
    <t>MATRIX TO BE TESTED</t>
  </si>
  <si>
    <t>CLOSEST CONSISTENT MATRIX</t>
  </si>
  <si>
    <t>GOLD</t>
  </si>
  <si>
    <t>SILVER</t>
  </si>
  <si>
    <t>CRUDE OIL</t>
  </si>
  <si>
    <t>NASDAQ</t>
  </si>
  <si>
    <t>S&amp;P</t>
  </si>
  <si>
    <t>DOW JONES</t>
  </si>
  <si>
    <t>FIDELITY US BOND</t>
  </si>
  <si>
    <t>BLACKROCK</t>
  </si>
  <si>
    <t>MPBFX</t>
  </si>
  <si>
    <t>RETUEN OIL</t>
  </si>
  <si>
    <t xml:space="preserve"> SILVER</t>
  </si>
  <si>
    <t xml:space="preserve"> NASDAQ</t>
  </si>
  <si>
    <t xml:space="preserve"> S&amp;P</t>
  </si>
  <si>
    <t xml:space="preserve"> DOW JONES</t>
  </si>
  <si>
    <t xml:space="preserve"> FIDELITY US BOND</t>
  </si>
  <si>
    <t xml:space="preserve"> BLACKROCK</t>
  </si>
  <si>
    <t xml:space="preserve"> BNY MELLON</t>
  </si>
  <si>
    <t xml:space="preserve"> </t>
  </si>
  <si>
    <t>Test</t>
  </si>
  <si>
    <t>Weights</t>
  </si>
  <si>
    <t>Portfolio volatility</t>
  </si>
  <si>
    <t>Volatilities</t>
  </si>
  <si>
    <t>OIL</t>
  </si>
  <si>
    <t>Correlations</t>
  </si>
  <si>
    <t>Covariances</t>
  </si>
  <si>
    <r>
      <t>Volatilities</t>
    </r>
    <r>
      <rPr>
        <b/>
        <vertAlign val="superscript"/>
        <sz val="11"/>
        <rFont val="Calibri"/>
        <family val="2"/>
        <scheme val="minor"/>
      </rPr>
      <t>T</t>
    </r>
  </si>
  <si>
    <r>
      <t>Weights</t>
    </r>
    <r>
      <rPr>
        <vertAlign val="superscript"/>
        <sz val="10"/>
        <rFont val="Arial"/>
        <family val="2"/>
      </rPr>
      <t>T</t>
    </r>
  </si>
  <si>
    <t>D</t>
  </si>
  <si>
    <t>S-(col vectors)</t>
  </si>
  <si>
    <t>T-(diagonal eigenvaluesmatrix)</t>
  </si>
  <si>
    <t>B=ST</t>
  </si>
  <si>
    <t>B^(Transpose)</t>
  </si>
  <si>
    <t>C=BB^T</t>
  </si>
  <si>
    <t>Adjusting matrix to get 1's in the diagonal</t>
  </si>
  <si>
    <t xml:space="preserve"> OIL</t>
  </si>
  <si>
    <t>Adj_Correlation matrix</t>
  </si>
  <si>
    <t>V_1</t>
  </si>
  <si>
    <t>V_2</t>
  </si>
  <si>
    <t>(V_1 - V_2)</t>
  </si>
  <si>
    <t>(V_1 - V_2)^2</t>
  </si>
  <si>
    <t>TOTAL</t>
  </si>
  <si>
    <t>Covid-19</t>
  </si>
  <si>
    <t>Donald Trump</t>
  </si>
  <si>
    <t>war</t>
  </si>
  <si>
    <t>INCOSISTENT VOLATILTY</t>
  </si>
  <si>
    <t xml:space="preserve"> avg Portfolio returns</t>
  </si>
  <si>
    <t>Confidence Interval</t>
  </si>
  <si>
    <t>Z-STATS</t>
  </si>
  <si>
    <t>VCV VAR % INCONSISTENT MATRIX</t>
  </si>
  <si>
    <t>VCV VAR % CONSISTENT MATRIX</t>
  </si>
  <si>
    <t>portfolio value</t>
  </si>
  <si>
    <t>VCV VALE INCONSISTENT MATRIX</t>
  </si>
  <si>
    <t>VCV VALE CONSISTENT MATRIX</t>
  </si>
  <si>
    <t>Difference</t>
  </si>
  <si>
    <t>average return</t>
  </si>
  <si>
    <t>covid</t>
  </si>
  <si>
    <t>Donlad Trump</t>
  </si>
  <si>
    <t>yearly loss</t>
  </si>
  <si>
    <t>CONSISTENT VOLATILITY</t>
  </si>
  <si>
    <t>War</t>
  </si>
  <si>
    <t>SCENARIOS</t>
  </si>
  <si>
    <t>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</si>
</sst>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-* #,##0.00_-;\-* #,##0.00_-;_-* &quot;-&quot;??_-;_-@_-"/>
    <numFmt numFmtId="164" formatCode="_-* #,##0.0000_-;\-* #,##0.0000_-;_-* &quot;-&quot;??_-;_-@_-"/>
    <numFmt numFmtId="165" formatCode="0.000"/>
    <numFmt numFmtId="166" formatCode="0.0000%"/>
    <numFmt numFmtId="167" formatCode="0.00000"/>
    <numFmt numFmtId="168" formatCode="0.0000"/>
    <numFmt numFmtId="169" formatCode="0.0%"/>
    <numFmt numFmtId="170" formatCode="#,##0.00000_ ;\-#,##0.00000\ "/>
    <numFmt numFmtId="171" formatCode="0.000%"/>
  </numFmts>
  <fonts count="2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Symbol"/>
      <family val="1"/>
      <charset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vertAlign val="superscript"/>
      <sz val="10"/>
      <name val="Arial"/>
      <family val="2"/>
    </font>
    <font>
      <sz val="11"/>
      <color theme="0" tint="-0.14999847407452621"/>
      <name val="Calibri"/>
      <family val="2"/>
      <scheme val="minor"/>
    </font>
    <font>
      <b/>
      <sz val="14"/>
      <name val="Calibri"/>
      <family val="2"/>
      <scheme val="minor"/>
    </font>
    <font>
      <sz val="9"/>
      <color rgb="FFC00000"/>
      <name val="Calibri"/>
      <family val="2"/>
      <scheme val="minor"/>
    </font>
    <font>
      <sz val="10"/>
      <name val="Var(--jp-code-font-family)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43" fontId="6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80">
    <xf numFmtId="0" fontId="0" fillId="0" borderId="0" xfId="0"/>
    <xf numFmtId="0" fontId="5" fillId="0" borderId="0" xfId="2"/>
    <xf numFmtId="0" fontId="9" fillId="0" borderId="3" xfId="2" applyFont="1" applyBorder="1" applyAlignment="1">
      <alignment horizontal="center"/>
    </xf>
    <xf numFmtId="0" fontId="5" fillId="0" borderId="4" xfId="2" applyBorder="1"/>
    <xf numFmtId="165" fontId="5" fillId="0" borderId="0" xfId="2" applyNumberFormat="1" applyAlignment="1">
      <alignment horizontal="center" vertical="center"/>
    </xf>
    <xf numFmtId="165" fontId="5" fillId="0" borderId="4" xfId="2" applyNumberFormat="1" applyBorder="1" applyAlignment="1">
      <alignment horizontal="center" vertical="center"/>
    </xf>
    <xf numFmtId="0" fontId="8" fillId="0" borderId="0" xfId="0" applyFont="1"/>
    <xf numFmtId="0" fontId="15" fillId="2" borderId="0" xfId="0" applyFont="1" applyFill="1" applyAlignment="1">
      <alignment horizontal="center" vertical="center"/>
    </xf>
    <xf numFmtId="164" fontId="12" fillId="0" borderId="0" xfId="1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5" fillId="0" borderId="0" xfId="0" applyFont="1"/>
    <xf numFmtId="0" fontId="15" fillId="0" borderId="0" xfId="0" applyFont="1" applyAlignment="1">
      <alignment horizontal="center" vertical="center"/>
    </xf>
    <xf numFmtId="1" fontId="17" fillId="4" borderId="2" xfId="0" applyNumberFormat="1" applyFont="1" applyFill="1" applyBorder="1" applyAlignment="1">
      <alignment horizontal="center" vertical="center"/>
    </xf>
    <xf numFmtId="165" fontId="12" fillId="0" borderId="1" xfId="0" applyNumberFormat="1" applyFont="1" applyBorder="1" applyAlignment="1">
      <alignment horizontal="center" vertical="center"/>
    </xf>
    <xf numFmtId="2" fontId="12" fillId="2" borderId="0" xfId="0" applyNumberFormat="1" applyFont="1" applyFill="1" applyAlignment="1">
      <alignment horizontal="center" vertical="center"/>
    </xf>
    <xf numFmtId="1" fontId="18" fillId="5" borderId="2" xfId="0" applyNumberFormat="1" applyFont="1" applyFill="1" applyBorder="1" applyAlignment="1">
      <alignment horizontal="center" vertical="center"/>
    </xf>
    <xf numFmtId="169" fontId="12" fillId="0" borderId="1" xfId="4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Font="1"/>
    <xf numFmtId="0" fontId="12" fillId="2" borderId="0" xfId="0" applyFont="1" applyFill="1" applyAlignment="1">
      <alignment horizontal="center" vertical="center"/>
    </xf>
    <xf numFmtId="165" fontId="12" fillId="0" borderId="7" xfId="0" applyNumberFormat="1" applyFont="1" applyBorder="1" applyAlignment="1">
      <alignment horizontal="center" vertical="center"/>
    </xf>
    <xf numFmtId="164" fontId="13" fillId="6" borderId="7" xfId="1" applyNumberFormat="1" applyFont="1" applyFill="1" applyBorder="1" applyAlignment="1">
      <alignment horizontal="center" vertical="center"/>
    </xf>
    <xf numFmtId="10" fontId="12" fillId="0" borderId="1" xfId="4" applyNumberFormat="1" applyFont="1" applyBorder="1" applyAlignment="1">
      <alignment horizontal="center" vertical="center"/>
    </xf>
    <xf numFmtId="164" fontId="12" fillId="7" borderId="1" xfId="1" applyNumberFormat="1" applyFont="1" applyFill="1" applyBorder="1" applyAlignment="1">
      <alignment horizontal="center" vertical="center"/>
    </xf>
    <xf numFmtId="0" fontId="4" fillId="6" borderId="1" xfId="2" applyFont="1" applyFill="1" applyBorder="1" applyAlignment="1">
      <alignment horizontal="center"/>
    </xf>
    <xf numFmtId="0" fontId="4" fillId="0" borderId="0" xfId="2" applyFont="1"/>
    <xf numFmtId="0" fontId="4" fillId="6" borderId="1" xfId="2" applyFont="1" applyFill="1" applyBorder="1"/>
    <xf numFmtId="0" fontId="4" fillId="5" borderId="0" xfId="2" applyFont="1" applyFill="1"/>
    <xf numFmtId="15" fontId="4" fillId="0" borderId="0" xfId="2" applyNumberFormat="1" applyFont="1" applyAlignment="1">
      <alignment horizontal="center" vertical="center"/>
    </xf>
    <xf numFmtId="3" fontId="4" fillId="0" borderId="0" xfId="2" applyNumberFormat="1" applyFont="1" applyAlignment="1">
      <alignment horizontal="center" vertical="center"/>
    </xf>
    <xf numFmtId="10" fontId="8" fillId="0" borderId="0" xfId="3" applyNumberFormat="1" applyFont="1" applyAlignment="1">
      <alignment horizontal="center" vertical="center"/>
    </xf>
    <xf numFmtId="0" fontId="16" fillId="3" borderId="2" xfId="0" applyFont="1" applyFill="1" applyBorder="1" applyAlignment="1">
      <alignment vertical="center"/>
    </xf>
    <xf numFmtId="1" fontId="17" fillId="4" borderId="5" xfId="0" applyNumberFormat="1" applyFont="1" applyFill="1" applyBorder="1" applyAlignment="1">
      <alignment horizontal="center" vertical="center"/>
    </xf>
    <xf numFmtId="165" fontId="12" fillId="0" borderId="6" xfId="0" applyNumberFormat="1" applyFont="1" applyBorder="1" applyAlignment="1">
      <alignment horizontal="center" vertical="center"/>
    </xf>
    <xf numFmtId="164" fontId="12" fillId="7" borderId="1" xfId="1" applyNumberFormat="1" applyFont="1" applyFill="1" applyBorder="1" applyAlignment="1">
      <alignment horizontal="right" vertical="center"/>
    </xf>
    <xf numFmtId="164" fontId="12" fillId="0" borderId="0" xfId="0" applyNumberFormat="1" applyFont="1" applyAlignment="1">
      <alignment horizontal="center" vertical="center"/>
    </xf>
    <xf numFmtId="164" fontId="12" fillId="8" borderId="1" xfId="1" applyNumberFormat="1" applyFont="1" applyFill="1" applyBorder="1" applyAlignment="1">
      <alignment horizontal="center" vertical="center"/>
    </xf>
    <xf numFmtId="164" fontId="12" fillId="8" borderId="1" xfId="1" applyNumberFormat="1" applyFont="1" applyFill="1" applyBorder="1" applyAlignment="1">
      <alignment horizontal="right" vertical="center"/>
    </xf>
    <xf numFmtId="164" fontId="12" fillId="8" borderId="8" xfId="1" applyNumberFormat="1" applyFont="1" applyFill="1" applyBorder="1" applyAlignment="1">
      <alignment horizontal="center" vertical="center"/>
    </xf>
    <xf numFmtId="164" fontId="14" fillId="4" borderId="9" xfId="1" applyNumberFormat="1" applyFont="1" applyFill="1" applyBorder="1" applyAlignment="1">
      <alignment vertical="center"/>
    </xf>
    <xf numFmtId="164" fontId="12" fillId="8" borderId="6" xfId="1" applyNumberFormat="1" applyFont="1" applyFill="1" applyBorder="1" applyAlignment="1">
      <alignment horizontal="right" vertical="center"/>
    </xf>
    <xf numFmtId="164" fontId="13" fillId="6" borderId="2" xfId="1" applyNumberFormat="1" applyFont="1" applyFill="1" applyBorder="1" applyAlignment="1">
      <alignment horizontal="center" vertical="center"/>
    </xf>
    <xf numFmtId="170" fontId="12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right"/>
    </xf>
    <xf numFmtId="10" fontId="12" fillId="0" borderId="0" xfId="4" applyNumberFormat="1" applyFont="1" applyBorder="1" applyAlignment="1">
      <alignment horizontal="center" vertical="center"/>
    </xf>
    <xf numFmtId="167" fontId="12" fillId="0" borderId="1" xfId="0" applyNumberFormat="1" applyFont="1" applyBorder="1" applyAlignment="1">
      <alignment horizontal="center" vertical="center"/>
    </xf>
    <xf numFmtId="169" fontId="12" fillId="0" borderId="6" xfId="4" applyNumberFormat="1" applyFont="1" applyBorder="1" applyAlignment="1">
      <alignment horizontal="center" vertical="center"/>
    </xf>
    <xf numFmtId="165" fontId="21" fillId="0" borderId="1" xfId="0" applyNumberFormat="1" applyFont="1" applyBorder="1" applyAlignment="1">
      <alignment horizontal="center" vertical="center"/>
    </xf>
    <xf numFmtId="166" fontId="22" fillId="0" borderId="6" xfId="4" applyNumberFormat="1" applyFont="1" applyBorder="1" applyAlignment="1">
      <alignment horizontal="center" vertical="center"/>
    </xf>
    <xf numFmtId="164" fontId="11" fillId="6" borderId="2" xfId="0" applyNumberFormat="1" applyFont="1" applyFill="1" applyBorder="1" applyAlignment="1">
      <alignment horizontal="center" vertical="center"/>
    </xf>
    <xf numFmtId="168" fontId="23" fillId="0" borderId="1" xfId="0" applyNumberFormat="1" applyFont="1" applyBorder="1" applyAlignment="1">
      <alignment horizontal="center" vertical="center"/>
    </xf>
    <xf numFmtId="166" fontId="22" fillId="0" borderId="6" xfId="0" applyNumberFormat="1" applyFont="1" applyBorder="1" applyAlignment="1">
      <alignment horizontal="center" vertical="center"/>
    </xf>
    <xf numFmtId="165" fontId="0" fillId="0" borderId="0" xfId="0" applyNumberFormat="1"/>
    <xf numFmtId="0" fontId="0" fillId="9" borderId="0" xfId="0" applyFill="1"/>
    <xf numFmtId="0" fontId="6" fillId="0" borderId="0" xfId="0" applyFont="1"/>
    <xf numFmtId="43" fontId="0" fillId="0" borderId="0" xfId="1" applyFont="1"/>
    <xf numFmtId="43" fontId="24" fillId="0" borderId="0" xfId="1" applyFont="1" applyAlignment="1">
      <alignment horizontal="left" vertical="center"/>
    </xf>
    <xf numFmtId="43" fontId="6" fillId="0" borderId="0" xfId="1" applyFont="1"/>
    <xf numFmtId="43" fontId="0" fillId="9" borderId="0" xfId="1" applyFont="1" applyFill="1"/>
    <xf numFmtId="165" fontId="12" fillId="10" borderId="1" xfId="0" applyNumberFormat="1" applyFont="1" applyFill="1" applyBorder="1" applyAlignment="1">
      <alignment horizontal="center" vertical="center"/>
    </xf>
    <xf numFmtId="0" fontId="3" fillId="0" borderId="0" xfId="2" applyFont="1"/>
    <xf numFmtId="10" fontId="12" fillId="0" borderId="0" xfId="0" applyNumberFormat="1" applyFont="1"/>
    <xf numFmtId="10" fontId="4" fillId="0" borderId="0" xfId="2" applyNumberFormat="1" applyFont="1"/>
    <xf numFmtId="10" fontId="4" fillId="0" borderId="0" xfId="4" applyNumberFormat="1" applyFont="1"/>
    <xf numFmtId="9" fontId="4" fillId="0" borderId="0" xfId="2" applyNumberFormat="1" applyFont="1"/>
    <xf numFmtId="168" fontId="4" fillId="0" borderId="0" xfId="2" applyNumberFormat="1" applyFont="1"/>
    <xf numFmtId="166" fontId="4" fillId="0" borderId="0" xfId="4" applyNumberFormat="1" applyFont="1"/>
    <xf numFmtId="166" fontId="4" fillId="0" borderId="0" xfId="2" applyNumberFormat="1" applyFont="1"/>
    <xf numFmtId="2" fontId="4" fillId="0" borderId="0" xfId="2" applyNumberFormat="1" applyFont="1"/>
    <xf numFmtId="0" fontId="2" fillId="0" borderId="0" xfId="2" applyFont="1"/>
    <xf numFmtId="171" fontId="12" fillId="0" borderId="1" xfId="4" applyNumberFormat="1" applyFont="1" applyBorder="1" applyAlignment="1">
      <alignment horizontal="center" vertical="center"/>
    </xf>
    <xf numFmtId="171" fontId="12" fillId="0" borderId="7" xfId="4" applyNumberFormat="1" applyFont="1" applyBorder="1" applyAlignment="1">
      <alignment horizontal="center" vertical="center"/>
    </xf>
    <xf numFmtId="171" fontId="18" fillId="5" borderId="2" xfId="4" applyNumberFormat="1" applyFont="1" applyFill="1" applyBorder="1" applyAlignment="1">
      <alignment horizontal="center" vertical="center"/>
    </xf>
    <xf numFmtId="171" fontId="21" fillId="0" borderId="1" xfId="4" applyNumberFormat="1" applyFont="1" applyBorder="1" applyAlignment="1">
      <alignment horizontal="center" vertical="center"/>
    </xf>
    <xf numFmtId="9" fontId="12" fillId="0" borderId="0" xfId="4" applyFont="1" applyAlignment="1">
      <alignment horizontal="center" vertical="center"/>
    </xf>
    <xf numFmtId="169" fontId="4" fillId="10" borderId="0" xfId="4" applyNumberFormat="1" applyFont="1" applyFill="1"/>
    <xf numFmtId="0" fontId="4" fillId="11" borderId="0" xfId="2" applyFont="1" applyFill="1"/>
    <xf numFmtId="0" fontId="4" fillId="2" borderId="0" xfId="2" applyFont="1" applyFill="1"/>
    <xf numFmtId="0" fontId="1" fillId="0" borderId="0" xfId="2" applyFont="1"/>
    <xf numFmtId="166" fontId="4" fillId="2" borderId="0" xfId="4" applyNumberFormat="1" applyFont="1" applyFill="1"/>
  </cellXfs>
  <cellStyles count="5">
    <cellStyle name="Comma" xfId="1" builtinId="3"/>
    <cellStyle name="Normal" xfId="0" builtinId="0"/>
    <cellStyle name="Normal 2" xfId="2"/>
    <cellStyle name="Percent" xfId="4" builtinId="5"/>
    <cellStyle name="Percent 2" xfId="3"/>
  </cellStyles>
  <dxfs count="3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4"/>
  <sheetViews>
    <sheetView workbookViewId="0">
      <selection activeCell="D6" sqref="D6"/>
    </sheetView>
  </sheetViews>
  <sheetFormatPr defaultRowHeight="15"/>
  <cols>
    <col min="1" max="1" width="17.42578125" style="1" bestFit="1" customWidth="1"/>
    <col min="2" max="2" width="7.42578125" style="1" bestFit="1" customWidth="1"/>
    <col min="3" max="3" width="7.85546875" style="1" bestFit="1" customWidth="1"/>
    <col min="4" max="4" width="11.85546875" style="1" bestFit="1" customWidth="1"/>
    <col min="5" max="5" width="9.7109375" style="1" bestFit="1" customWidth="1"/>
    <col min="6" max="6" width="6.28515625" style="1" bestFit="1" customWidth="1"/>
    <col min="7" max="7" width="12.5703125" style="1" bestFit="1" customWidth="1"/>
    <col min="8" max="8" width="18.140625" style="1" bestFit="1" customWidth="1"/>
    <col min="9" max="9" width="12.42578125" style="1" bestFit="1" customWidth="1"/>
    <col min="10" max="10" width="13.5703125" style="1" bestFit="1" customWidth="1"/>
    <col min="11" max="16384" width="9.140625" style="1"/>
  </cols>
  <sheetData>
    <row r="1" spans="1:10">
      <c r="A1" s="2"/>
      <c r="B1" s="2" t="s">
        <v>2</v>
      </c>
      <c r="C1" s="2" t="s">
        <v>12</v>
      </c>
      <c r="D1" s="2" t="s">
        <v>11</v>
      </c>
      <c r="E1" s="2" t="s">
        <v>13</v>
      </c>
      <c r="F1" s="2" t="s">
        <v>14</v>
      </c>
      <c r="G1" s="2" t="s">
        <v>15</v>
      </c>
      <c r="H1" s="2" t="s">
        <v>16</v>
      </c>
      <c r="I1" s="2" t="s">
        <v>17</v>
      </c>
      <c r="J1" s="2" t="s">
        <v>18</v>
      </c>
    </row>
    <row r="2" spans="1:10">
      <c r="A2" s="1" t="str">
        <f t="array" ref="A2:A10">TRANSPOSE(B1:J1)</f>
        <v>GOLD</v>
      </c>
      <c r="B2" s="4">
        <v>1</v>
      </c>
      <c r="C2" s="4"/>
      <c r="D2" s="4"/>
      <c r="E2" s="4"/>
      <c r="F2" s="4"/>
      <c r="G2" s="4"/>
      <c r="H2" s="4"/>
      <c r="I2" s="4"/>
      <c r="J2" s="4"/>
    </row>
    <row r="3" spans="1:10">
      <c r="A3" s="1" t="str">
        <v xml:space="preserve"> SILVER</v>
      </c>
      <c r="B3" s="4">
        <v>0.78364081483188497</v>
      </c>
      <c r="C3" s="4">
        <v>1</v>
      </c>
      <c r="D3" s="4"/>
      <c r="E3" s="4"/>
      <c r="F3" s="4"/>
      <c r="G3" s="4"/>
      <c r="H3" s="4"/>
      <c r="I3" s="4"/>
      <c r="J3" s="4"/>
    </row>
    <row r="4" spans="1:10">
      <c r="A4" s="1" t="str">
        <v>RETUEN OIL</v>
      </c>
      <c r="B4" s="4">
        <v>3.7876698610782841E-2</v>
      </c>
      <c r="C4" s="4">
        <v>5.996488175773277E-2</v>
      </c>
      <c r="D4" s="4">
        <v>1</v>
      </c>
      <c r="E4" s="4"/>
      <c r="F4" s="4"/>
      <c r="G4" s="4"/>
      <c r="H4" s="4"/>
      <c r="I4" s="4"/>
      <c r="J4" s="4"/>
    </row>
    <row r="5" spans="1:10">
      <c r="A5" s="1" t="str">
        <v xml:space="preserve"> NASDAQ</v>
      </c>
      <c r="B5" s="4">
        <v>8.9330523297379449E-2</v>
      </c>
      <c r="C5" s="4">
        <v>0.17084572250108221</v>
      </c>
      <c r="D5" s="4">
        <v>0.10781028458520943</v>
      </c>
      <c r="E5" s="4">
        <v>1</v>
      </c>
      <c r="F5" s="4"/>
      <c r="G5" s="4"/>
      <c r="H5" s="4"/>
      <c r="I5" s="4"/>
      <c r="J5" s="4"/>
    </row>
    <row r="6" spans="1:10">
      <c r="A6" s="1" t="str">
        <v xml:space="preserve"> S&amp;P</v>
      </c>
      <c r="B6" s="4">
        <v>8.3125245775659315E-2</v>
      </c>
      <c r="C6" s="4">
        <v>0.18209810262740572</v>
      </c>
      <c r="D6" s="4">
        <v>0.14011802801193288</v>
      </c>
      <c r="E6" s="4">
        <v>0.9333651002733484</v>
      </c>
      <c r="F6" s="4">
        <v>1</v>
      </c>
      <c r="G6" s="4"/>
      <c r="H6" s="4"/>
      <c r="I6" s="4"/>
      <c r="J6" s="4"/>
    </row>
    <row r="7" spans="1:10">
      <c r="A7" s="1" t="str">
        <v xml:space="preserve"> DOW JONES</v>
      </c>
      <c r="B7" s="4">
        <v>6.9190071291288069E-2</v>
      </c>
      <c r="C7" s="4">
        <v>0.17285198604149196</v>
      </c>
      <c r="D7" s="4">
        <v>0.15766208131082884</v>
      </c>
      <c r="E7" s="4">
        <v>0.82563995010298141</v>
      </c>
      <c r="F7" s="4">
        <v>0.96164543137804526</v>
      </c>
      <c r="G7" s="4">
        <v>1</v>
      </c>
      <c r="H7" s="4"/>
      <c r="I7" s="4"/>
      <c r="J7" s="4"/>
    </row>
    <row r="8" spans="1:10">
      <c r="A8" s="1" t="str">
        <v xml:space="preserve"> FIDELITY US BOND</v>
      </c>
      <c r="B8" s="4">
        <v>0.3218368647715249</v>
      </c>
      <c r="C8" s="4">
        <v>0.20778336246021176</v>
      </c>
      <c r="D8" s="4">
        <v>-3.111469140357721E-2</v>
      </c>
      <c r="E8" s="4">
        <v>2.4694858384780555E-2</v>
      </c>
      <c r="F8" s="4">
        <v>-2.5127623018738776E-2</v>
      </c>
      <c r="G8" s="4">
        <v>-6.9008758624430316E-2</v>
      </c>
      <c r="H8" s="4">
        <v>1</v>
      </c>
      <c r="I8" s="4"/>
      <c r="J8" s="4"/>
    </row>
    <row r="9" spans="1:10">
      <c r="A9" s="1" t="str">
        <v xml:space="preserve"> BLACKROCK</v>
      </c>
      <c r="B9" s="4">
        <v>0.34652088680717641</v>
      </c>
      <c r="C9" s="4">
        <v>0.23289638915004934</v>
      </c>
      <c r="D9" s="4">
        <v>-1.3656524864735493E-2</v>
      </c>
      <c r="E9" s="4">
        <v>8.6000289088056001E-2</v>
      </c>
      <c r="F9" s="4">
        <v>5.1828025853565843E-2</v>
      </c>
      <c r="G9" s="4">
        <v>1.4613730152944432E-2</v>
      </c>
      <c r="H9" s="4">
        <v>0.95429361335817842</v>
      </c>
      <c r="I9" s="4">
        <v>1</v>
      </c>
      <c r="J9" s="4"/>
    </row>
    <row r="10" spans="1:10" ht="15.75" thickBot="1">
      <c r="A10" s="3" t="str">
        <v xml:space="preserve"> BNY MELLON</v>
      </c>
      <c r="B10" s="5">
        <v>0.33937408466231783</v>
      </c>
      <c r="C10" s="5">
        <v>0.23571118191641025</v>
      </c>
      <c r="D10" s="5">
        <v>-8.2674919474596629E-3</v>
      </c>
      <c r="E10" s="5">
        <v>6.1643536129865395E-2</v>
      </c>
      <c r="F10" s="5">
        <v>2.7779501449593864E-2</v>
      </c>
      <c r="G10" s="5">
        <v>-9.9535145194070453E-3</v>
      </c>
      <c r="H10" s="5">
        <v>0.96836562338395227</v>
      </c>
      <c r="I10" s="5">
        <v>0.94786963399731883</v>
      </c>
      <c r="J10" s="5">
        <v>1</v>
      </c>
    </row>
    <row r="14" spans="1:10">
      <c r="F14" s="1" t="s">
        <v>19</v>
      </c>
    </row>
  </sheetData>
  <conditionalFormatting sqref="B2:J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258"/>
  <sheetViews>
    <sheetView topLeftCell="O1" zoomScale="70" zoomScaleNormal="70" workbookViewId="0"/>
  </sheetViews>
  <sheetFormatPr defaultRowHeight="15"/>
  <cols>
    <col min="1" max="1" width="15.7109375" style="25" customWidth="1"/>
    <col min="2" max="2" width="5.85546875" style="25" bestFit="1" customWidth="1"/>
    <col min="3" max="3" width="6.85546875" style="25" bestFit="1" customWidth="1"/>
    <col min="4" max="4" width="10.140625" style="25" bestFit="1" customWidth="1"/>
    <col min="5" max="5" width="8.7109375" style="25" bestFit="1" customWidth="1"/>
    <col min="6" max="6" width="5.42578125" style="25" bestFit="1" customWidth="1"/>
    <col min="7" max="7" width="11.5703125" style="25" bestFit="1" customWidth="1"/>
    <col min="8" max="8" width="16.85546875" style="25" bestFit="1" customWidth="1"/>
    <col min="9" max="9" width="11.42578125" style="25" bestFit="1" customWidth="1"/>
    <col min="10" max="10" width="7.140625" style="25" bestFit="1" customWidth="1"/>
    <col min="11" max="11" width="1.7109375" style="27" customWidth="1"/>
    <col min="12" max="12" width="10" style="25" bestFit="1" customWidth="1"/>
    <col min="13" max="13" width="7.85546875" style="25" bestFit="1" customWidth="1"/>
    <col min="14" max="14" width="8.85546875" style="25" bestFit="1" customWidth="1"/>
    <col min="15" max="15" width="9.140625" style="25" bestFit="1" customWidth="1"/>
    <col min="16" max="16" width="7.85546875" style="25" bestFit="1" customWidth="1"/>
    <col min="17" max="17" width="12" style="25" bestFit="1" customWidth="1"/>
    <col min="18" max="18" width="17.42578125" style="25" bestFit="1" customWidth="1"/>
    <col min="19" max="19" width="16.140625" style="25" customWidth="1"/>
    <col min="20" max="20" width="18.7109375" style="25" customWidth="1"/>
    <col min="21" max="21" width="22.140625" style="25" customWidth="1"/>
    <col min="22" max="22" width="9.140625" style="76"/>
    <col min="23" max="23" width="15.28515625" style="25" customWidth="1"/>
    <col min="24" max="24" width="6.28515625" style="77" customWidth="1"/>
    <col min="25" max="25" width="21.5703125" style="25" customWidth="1"/>
    <col min="26" max="26" width="29" style="25" customWidth="1"/>
    <col min="27" max="27" width="37" style="25" customWidth="1"/>
    <col min="28" max="28" width="34.7109375" style="25" customWidth="1"/>
    <col min="29" max="29" width="34" style="25" customWidth="1"/>
    <col min="30" max="30" width="36.28515625" style="25" customWidth="1"/>
    <col min="31" max="31" width="14.28515625" style="25" customWidth="1"/>
    <col min="32" max="32" width="15.7109375" style="25" customWidth="1"/>
    <col min="33" max="16384" width="9.140625" style="25"/>
  </cols>
  <sheetData>
    <row r="1" spans="1:33">
      <c r="A1" s="78" t="s">
        <v>63</v>
      </c>
      <c r="B1" s="26" t="s">
        <v>2</v>
      </c>
      <c r="C1" s="26" t="s">
        <v>3</v>
      </c>
      <c r="D1" s="26" t="s">
        <v>4</v>
      </c>
      <c r="E1" s="26" t="s">
        <v>5</v>
      </c>
      <c r="F1" s="26" t="s">
        <v>6</v>
      </c>
      <c r="G1" s="26" t="s">
        <v>7</v>
      </c>
      <c r="H1" s="26" t="s">
        <v>8</v>
      </c>
      <c r="I1" s="26" t="s">
        <v>9</v>
      </c>
      <c r="J1" s="26" t="s">
        <v>10</v>
      </c>
      <c r="L1" s="24" t="s">
        <v>2</v>
      </c>
      <c r="M1" s="24" t="s">
        <v>12</v>
      </c>
      <c r="N1" s="24" t="s">
        <v>24</v>
      </c>
      <c r="O1" s="24" t="s">
        <v>13</v>
      </c>
      <c r="P1" s="24" t="s">
        <v>14</v>
      </c>
      <c r="Q1" s="24" t="s">
        <v>15</v>
      </c>
      <c r="R1" s="24" t="s">
        <v>16</v>
      </c>
      <c r="S1" s="24" t="s">
        <v>17</v>
      </c>
      <c r="T1" s="24" t="s">
        <v>18</v>
      </c>
      <c r="W1" s="77"/>
      <c r="Y1" s="77"/>
      <c r="Z1" s="77"/>
      <c r="AA1" s="77"/>
      <c r="AB1" s="77"/>
      <c r="AC1" s="77"/>
      <c r="AD1" s="77"/>
      <c r="AE1" s="77"/>
      <c r="AF1" s="77"/>
      <c r="AG1" s="77"/>
    </row>
    <row r="2" spans="1:33">
      <c r="A2" s="28">
        <v>43328</v>
      </c>
      <c r="B2" s="29">
        <v>1176.1999510000001</v>
      </c>
      <c r="C2" s="29">
        <v>14.696999549999999</v>
      </c>
      <c r="D2" s="29">
        <v>65.459999080000003</v>
      </c>
      <c r="E2" s="29">
        <v>7374.2900390000004</v>
      </c>
      <c r="F2" s="29">
        <v>2840.6899410000001</v>
      </c>
      <c r="G2" s="29">
        <v>25558.730469999999</v>
      </c>
      <c r="H2" s="29">
        <v>9.9898929600000006</v>
      </c>
      <c r="I2" s="29">
        <v>8.1146774290000003</v>
      </c>
      <c r="J2" s="29">
        <v>10.68052864</v>
      </c>
      <c r="L2" s="75">
        <v>5.54767023716701E-2</v>
      </c>
      <c r="M2" s="75">
        <v>0.15152865251827999</v>
      </c>
      <c r="N2" s="75">
        <v>7.5754810862270622E-2</v>
      </c>
      <c r="O2" s="75">
        <v>0.11443949754625016</v>
      </c>
      <c r="P2" s="75">
        <v>0.31352280543793326</v>
      </c>
      <c r="Q2" s="75">
        <v>2.6304202007901914E-2</v>
      </c>
      <c r="R2" s="75">
        <v>3.5980865635078657E-2</v>
      </c>
      <c r="S2" s="75">
        <v>0.12699246362061561</v>
      </c>
      <c r="T2" s="75">
        <v>0.1</v>
      </c>
      <c r="U2" s="60" t="s">
        <v>47</v>
      </c>
      <c r="W2" s="77"/>
      <c r="Y2" s="78" t="s">
        <v>62</v>
      </c>
      <c r="Z2" s="60" t="s">
        <v>46</v>
      </c>
      <c r="AA2" s="60" t="s">
        <v>60</v>
      </c>
      <c r="AB2" s="77"/>
      <c r="AC2" s="77"/>
      <c r="AD2" s="77"/>
      <c r="AE2" s="77"/>
      <c r="AF2" s="77"/>
      <c r="AG2" s="77"/>
    </row>
    <row r="3" spans="1:33">
      <c r="A3" s="28">
        <v>43329</v>
      </c>
      <c r="B3" s="29">
        <v>1176.5</v>
      </c>
      <c r="C3" s="29">
        <v>14.61600018</v>
      </c>
      <c r="D3" s="29">
        <v>65.910003660000001</v>
      </c>
      <c r="E3" s="29">
        <v>7377.5400390000004</v>
      </c>
      <c r="F3" s="29">
        <v>2850.1298830000001</v>
      </c>
      <c r="G3" s="29">
        <v>25669.320309999999</v>
      </c>
      <c r="H3" s="29">
        <v>9.9898929600000006</v>
      </c>
      <c r="I3" s="29">
        <v>8.1146774290000003</v>
      </c>
      <c r="J3" s="29">
        <v>10.68052864</v>
      </c>
      <c r="L3" s="30">
        <f t="shared" ref="L3:T18" si="0">(B3/B2)-1</f>
        <v>2.551003337016855E-4</v>
      </c>
      <c r="M3" s="30">
        <f t="shared" si="0"/>
        <v>-5.5112861454771345E-3</v>
      </c>
      <c r="N3" s="30">
        <f t="shared" si="0"/>
        <v>6.8744971940808419E-3</v>
      </c>
      <c r="O3" s="30">
        <f t="shared" si="0"/>
        <v>4.407203924461367E-4</v>
      </c>
      <c r="P3" s="30">
        <f t="shared" si="0"/>
        <v>3.3231159317150816E-3</v>
      </c>
      <c r="Q3" s="30">
        <f t="shared" si="0"/>
        <v>4.3268909670535205E-3</v>
      </c>
      <c r="R3" s="30">
        <f t="shared" si="0"/>
        <v>0</v>
      </c>
      <c r="S3" s="30">
        <f t="shared" si="0"/>
        <v>0</v>
      </c>
      <c r="T3" s="30">
        <f t="shared" si="0"/>
        <v>0</v>
      </c>
      <c r="U3" s="63">
        <f>SUMPRODUCT($L$2:$T$2,L3:T3)</f>
        <v>9.0593446077193878E-4</v>
      </c>
      <c r="W3" s="77"/>
      <c r="Y3" s="60" t="s">
        <v>43</v>
      </c>
      <c r="Z3" s="67">
        <v>1.1710999999999999E-2</v>
      </c>
      <c r="AA3" s="67">
        <v>1.1701E-2</v>
      </c>
      <c r="AB3" s="77"/>
      <c r="AC3" s="77"/>
      <c r="AD3" s="77"/>
      <c r="AE3" s="77"/>
      <c r="AF3" s="77"/>
      <c r="AG3" s="77"/>
    </row>
    <row r="4" spans="1:33">
      <c r="A4" s="28">
        <v>43332</v>
      </c>
      <c r="B4" s="29">
        <v>1186.8000489999999</v>
      </c>
      <c r="C4" s="29">
        <v>14.65499973</v>
      </c>
      <c r="D4" s="29">
        <v>66.430000309999997</v>
      </c>
      <c r="E4" s="29">
        <v>7371.419922</v>
      </c>
      <c r="F4" s="29">
        <v>2857.0500489999999</v>
      </c>
      <c r="G4" s="29">
        <v>25758.689450000002</v>
      </c>
      <c r="H4" s="29">
        <v>10.00761795</v>
      </c>
      <c r="I4" s="29">
        <v>8.1407108309999998</v>
      </c>
      <c r="J4" s="29">
        <v>10.706468579999999</v>
      </c>
      <c r="L4" s="30">
        <f t="shared" si="0"/>
        <v>8.7548227794305156E-3</v>
      </c>
      <c r="M4" s="30">
        <f t="shared" si="0"/>
        <v>2.6682778817535002E-3</v>
      </c>
      <c r="N4" s="30">
        <f t="shared" si="0"/>
        <v>7.8894950860939339E-3</v>
      </c>
      <c r="O4" s="30">
        <f t="shared" si="0"/>
        <v>-8.2956066217843016E-4</v>
      </c>
      <c r="P4" s="30">
        <f t="shared" si="0"/>
        <v>2.4280177690414462E-3</v>
      </c>
      <c r="Q4" s="30">
        <f t="shared" si="0"/>
        <v>3.4815545920467983E-3</v>
      </c>
      <c r="R4" s="30">
        <f t="shared" si="0"/>
        <v>1.7742922843089204E-3</v>
      </c>
      <c r="S4" s="30">
        <f t="shared" si="0"/>
        <v>3.2081869215110359E-3</v>
      </c>
      <c r="T4" s="30">
        <f t="shared" si="0"/>
        <v>2.4287131165821041E-3</v>
      </c>
      <c r="U4" s="63">
        <f t="shared" ref="U4:U67" si="1">SUMPRODUCT($L$2:$T$2,L4:T4)</f>
        <v>2.9596878550488229E-3</v>
      </c>
      <c r="W4" s="77"/>
      <c r="Y4" s="60" t="s">
        <v>44</v>
      </c>
      <c r="Z4" s="67">
        <v>1.1703E-2</v>
      </c>
      <c r="AA4" s="67">
        <v>1.1686999999999999E-2</v>
      </c>
      <c r="AB4" s="77"/>
      <c r="AC4" s="77"/>
      <c r="AD4" s="77"/>
      <c r="AE4" s="77"/>
      <c r="AF4" s="77"/>
      <c r="AG4" s="77"/>
    </row>
    <row r="5" spans="1:33">
      <c r="A5" s="28">
        <v>43333</v>
      </c>
      <c r="B5" s="29">
        <v>1192.599976</v>
      </c>
      <c r="C5" s="29">
        <v>14.751000400000001</v>
      </c>
      <c r="D5" s="29">
        <v>67.349998470000003</v>
      </c>
      <c r="E5" s="29">
        <v>7397.2299800000001</v>
      </c>
      <c r="F5" s="29">
        <v>2862.959961</v>
      </c>
      <c r="G5" s="29">
        <v>25822.289059999999</v>
      </c>
      <c r="H5" s="29">
        <v>9.9987564090000003</v>
      </c>
      <c r="I5" s="29">
        <v>8.1320333480000002</v>
      </c>
      <c r="J5" s="29">
        <v>10.68917942</v>
      </c>
      <c r="L5" s="30">
        <f t="shared" si="0"/>
        <v>4.8870296263359148E-3</v>
      </c>
      <c r="M5" s="30">
        <f t="shared" si="0"/>
        <v>6.5507111408182883E-3</v>
      </c>
      <c r="N5" s="30">
        <f t="shared" si="0"/>
        <v>1.3849136771139081E-2</v>
      </c>
      <c r="O5" s="30">
        <f t="shared" si="0"/>
        <v>3.5013685657725446E-3</v>
      </c>
      <c r="P5" s="30">
        <f t="shared" si="0"/>
        <v>2.0685363919574762E-3</v>
      </c>
      <c r="Q5" s="30">
        <f t="shared" si="0"/>
        <v>2.4690545737371394E-3</v>
      </c>
      <c r="R5" s="30">
        <f t="shared" si="0"/>
        <v>-8.8547954610918023E-4</v>
      </c>
      <c r="S5" s="30">
        <f t="shared" si="0"/>
        <v>-1.0659367689311861E-3</v>
      </c>
      <c r="T5" s="30">
        <f t="shared" si="0"/>
        <v>-1.6148331142815664E-3</v>
      </c>
      <c r="U5" s="63">
        <f t="shared" si="1"/>
        <v>3.0983405910444462E-3</v>
      </c>
      <c r="W5" s="77"/>
      <c r="Y5" s="60" t="s">
        <v>45</v>
      </c>
      <c r="Z5" s="67">
        <v>1.1063E-2</v>
      </c>
      <c r="AA5" s="67">
        <v>1.0989000000000001E-2</v>
      </c>
      <c r="AB5" s="77"/>
      <c r="AC5" s="77"/>
      <c r="AD5" s="77"/>
      <c r="AE5" s="77"/>
      <c r="AF5" s="77"/>
      <c r="AG5" s="77"/>
    </row>
    <row r="6" spans="1:33">
      <c r="A6" s="28">
        <v>43334</v>
      </c>
      <c r="B6" s="29">
        <v>1196.3000489999999</v>
      </c>
      <c r="C6" s="29">
        <v>14.73499966</v>
      </c>
      <c r="D6" s="29">
        <v>67.86000061</v>
      </c>
      <c r="E6" s="29">
        <v>7424.6000979999999</v>
      </c>
      <c r="F6" s="29">
        <v>2861.820068</v>
      </c>
      <c r="G6" s="29">
        <v>25733.599610000001</v>
      </c>
      <c r="H6" s="29">
        <v>10.00761795</v>
      </c>
      <c r="I6" s="29">
        <v>8.1320333480000002</v>
      </c>
      <c r="J6" s="29">
        <v>10.69782543</v>
      </c>
      <c r="L6" s="30">
        <f t="shared" si="0"/>
        <v>3.1025264753150594E-3</v>
      </c>
      <c r="M6" s="30">
        <f t="shared" si="0"/>
        <v>-1.0847223622880708E-3</v>
      </c>
      <c r="N6" s="30">
        <f t="shared" si="0"/>
        <v>7.5724150198335227E-3</v>
      </c>
      <c r="O6" s="30">
        <f t="shared" si="0"/>
        <v>3.7000496231698321E-3</v>
      </c>
      <c r="P6" s="30">
        <f t="shared" si="0"/>
        <v>-3.9815191812941908E-4</v>
      </c>
      <c r="Q6" s="30">
        <f t="shared" si="0"/>
        <v>-3.4346083646543679E-3</v>
      </c>
      <c r="R6" s="30">
        <f t="shared" si="0"/>
        <v>8.8626431503247005E-4</v>
      </c>
      <c r="S6" s="30">
        <f t="shared" si="0"/>
        <v>0</v>
      </c>
      <c r="T6" s="30">
        <f t="shared" si="0"/>
        <v>8.0885628917615193E-4</v>
      </c>
      <c r="U6" s="63">
        <f t="shared" si="1"/>
        <v>9.0242995487681255E-4</v>
      </c>
      <c r="W6" s="77"/>
      <c r="Y6" s="77"/>
      <c r="Z6" s="77"/>
      <c r="AA6" s="77"/>
      <c r="AB6" s="77"/>
      <c r="AC6" s="77"/>
      <c r="AD6" s="77"/>
      <c r="AE6" s="77"/>
      <c r="AF6" s="77"/>
      <c r="AG6" s="77"/>
    </row>
    <row r="7" spans="1:33">
      <c r="A7" s="28">
        <v>43335</v>
      </c>
      <c r="B7" s="29">
        <v>1187</v>
      </c>
      <c r="C7" s="29">
        <v>14.527000429999999</v>
      </c>
      <c r="D7" s="29">
        <v>67.83000183</v>
      </c>
      <c r="E7" s="29">
        <v>7413.8398440000001</v>
      </c>
      <c r="F7" s="29">
        <v>2856.9799800000001</v>
      </c>
      <c r="G7" s="29">
        <v>25656.980469999999</v>
      </c>
      <c r="H7" s="29">
        <v>10.00761795</v>
      </c>
      <c r="I7" s="29">
        <v>8.1320333480000002</v>
      </c>
      <c r="J7" s="29">
        <v>10.69782543</v>
      </c>
      <c r="L7" s="30">
        <f t="shared" si="0"/>
        <v>-7.7740103812367067E-3</v>
      </c>
      <c r="M7" s="30">
        <f t="shared" si="0"/>
        <v>-1.4115998289748188E-2</v>
      </c>
      <c r="N7" s="30">
        <f t="shared" si="0"/>
        <v>-4.4206866681895107E-4</v>
      </c>
      <c r="O7" s="30">
        <f t="shared" si="0"/>
        <v>-1.4492705139632633E-3</v>
      </c>
      <c r="P7" s="30">
        <f t="shared" si="0"/>
        <v>-1.6912621635861713E-3</v>
      </c>
      <c r="Q7" s="30">
        <f t="shared" si="0"/>
        <v>-2.977396911477137E-3</v>
      </c>
      <c r="R7" s="30">
        <f t="shared" si="0"/>
        <v>0</v>
      </c>
      <c r="S7" s="30">
        <f t="shared" si="0"/>
        <v>0</v>
      </c>
      <c r="T7" s="30">
        <f t="shared" si="0"/>
        <v>0</v>
      </c>
      <c r="U7" s="63">
        <f t="shared" si="1"/>
        <v>-3.3781645856953511E-3</v>
      </c>
      <c r="W7" s="77"/>
      <c r="Y7" s="60" t="s">
        <v>56</v>
      </c>
      <c r="Z7" s="62">
        <f>AVERAGE(U3:U1258)</f>
        <v>1.7152216887889084E-4</v>
      </c>
      <c r="AA7" s="77"/>
      <c r="AB7" s="77"/>
      <c r="AC7" s="77"/>
      <c r="AD7" s="77"/>
      <c r="AE7" s="77"/>
      <c r="AF7" s="77"/>
      <c r="AG7" s="77"/>
    </row>
    <row r="8" spans="1:33">
      <c r="A8" s="28">
        <v>43336</v>
      </c>
      <c r="B8" s="29">
        <v>1206.3000489999999</v>
      </c>
      <c r="C8" s="29">
        <v>14.77900028</v>
      </c>
      <c r="D8" s="29">
        <v>68.72000122</v>
      </c>
      <c r="E8" s="29">
        <v>7485.3999020000001</v>
      </c>
      <c r="F8" s="29">
        <v>2874.6899410000001</v>
      </c>
      <c r="G8" s="29">
        <v>25790.349610000001</v>
      </c>
      <c r="H8" s="29">
        <v>10.00761795</v>
      </c>
      <c r="I8" s="29">
        <v>8.1320333480000002</v>
      </c>
      <c r="J8" s="29">
        <v>10.706468579999999</v>
      </c>
      <c r="L8" s="30">
        <f t="shared" si="0"/>
        <v>1.6259518955349606E-2</v>
      </c>
      <c r="M8" s="30">
        <f t="shared" si="0"/>
        <v>1.7346998178618511E-2</v>
      </c>
      <c r="N8" s="30">
        <f t="shared" si="0"/>
        <v>1.3121028541773772E-2</v>
      </c>
      <c r="O8" s="30">
        <f t="shared" si="0"/>
        <v>9.6522260401825655E-3</v>
      </c>
      <c r="P8" s="30">
        <f t="shared" si="0"/>
        <v>6.1988397272563223E-3</v>
      </c>
      <c r="Q8" s="30">
        <f t="shared" si="0"/>
        <v>5.1981619643803878E-3</v>
      </c>
      <c r="R8" s="30">
        <f t="shared" si="0"/>
        <v>0</v>
      </c>
      <c r="S8" s="30">
        <f t="shared" si="0"/>
        <v>0</v>
      </c>
      <c r="T8" s="30">
        <f t="shared" si="0"/>
        <v>8.0793522539268636E-4</v>
      </c>
      <c r="U8" s="63">
        <f t="shared" si="1"/>
        <v>7.7901733334470669E-3</v>
      </c>
      <c r="W8" s="77"/>
      <c r="Y8" s="60" t="s">
        <v>52</v>
      </c>
      <c r="Z8" s="25">
        <v>1000000</v>
      </c>
      <c r="AA8" s="77"/>
      <c r="AB8" s="77"/>
      <c r="AC8" s="77"/>
      <c r="AD8" s="77"/>
      <c r="AE8" s="77"/>
      <c r="AF8" s="77"/>
      <c r="AG8" s="77"/>
    </row>
    <row r="9" spans="1:33">
      <c r="A9" s="28">
        <v>43339</v>
      </c>
      <c r="B9" s="29">
        <v>1209</v>
      </c>
      <c r="C9" s="29">
        <v>14.84399986</v>
      </c>
      <c r="D9" s="29">
        <v>68.870002749999998</v>
      </c>
      <c r="E9" s="29">
        <v>7559.1298829999996</v>
      </c>
      <c r="F9" s="29">
        <v>2896.73999</v>
      </c>
      <c r="G9" s="29">
        <v>26049.640630000002</v>
      </c>
      <c r="H9" s="29">
        <v>9.9987564090000003</v>
      </c>
      <c r="I9" s="29">
        <v>8.1233558650000006</v>
      </c>
      <c r="J9" s="29">
        <v>10.68917942</v>
      </c>
      <c r="L9" s="30">
        <f t="shared" si="0"/>
        <v>2.238208480749293E-3</v>
      </c>
      <c r="M9" s="30">
        <f t="shared" si="0"/>
        <v>4.3981039832554636E-3</v>
      </c>
      <c r="N9" s="30">
        <f t="shared" si="0"/>
        <v>2.1827928890714166E-3</v>
      </c>
      <c r="O9" s="30">
        <f t="shared" si="0"/>
        <v>9.8498386145406958E-3</v>
      </c>
      <c r="P9" s="30">
        <f t="shared" si="0"/>
        <v>7.6704094885202689E-3</v>
      </c>
      <c r="Q9" s="30">
        <f t="shared" si="0"/>
        <v>1.0053800119850465E-2</v>
      </c>
      <c r="R9" s="30">
        <f t="shared" si="0"/>
        <v>-8.8547954610918023E-4</v>
      </c>
      <c r="S9" s="30">
        <f t="shared" si="0"/>
        <v>-1.0670742025589153E-3</v>
      </c>
      <c r="T9" s="30">
        <f t="shared" si="0"/>
        <v>-1.6148331142815664E-3</v>
      </c>
      <c r="U9" s="63">
        <f t="shared" si="1"/>
        <v>4.4236263175230113E-3</v>
      </c>
      <c r="W9" s="77"/>
      <c r="Y9" s="77"/>
      <c r="Z9" s="77"/>
      <c r="AA9" s="77"/>
      <c r="AB9" s="77"/>
      <c r="AC9" s="77"/>
      <c r="AD9" s="77"/>
      <c r="AE9" s="77"/>
      <c r="AF9" s="77"/>
      <c r="AG9" s="77"/>
    </row>
    <row r="10" spans="1:33">
      <c r="A10" s="28">
        <v>43340</v>
      </c>
      <c r="B10" s="29">
        <v>1207.400024</v>
      </c>
      <c r="C10" s="29">
        <v>14.7670002</v>
      </c>
      <c r="D10" s="29">
        <v>68.52999878</v>
      </c>
      <c r="E10" s="29">
        <v>7570.25</v>
      </c>
      <c r="F10" s="29">
        <v>2897.5200199999999</v>
      </c>
      <c r="G10" s="29">
        <v>26064.019530000001</v>
      </c>
      <c r="H10" s="29">
        <v>9.9810285570000001</v>
      </c>
      <c r="I10" s="29">
        <v>8.1060018540000005</v>
      </c>
      <c r="J10" s="29">
        <v>10.671882630000001</v>
      </c>
      <c r="L10" s="30">
        <f t="shared" si="0"/>
        <v>-1.3233879239040736E-3</v>
      </c>
      <c r="M10" s="30">
        <f t="shared" si="0"/>
        <v>-5.1872582003649192E-3</v>
      </c>
      <c r="N10" s="30">
        <f t="shared" si="0"/>
        <v>-4.936894967671468E-3</v>
      </c>
      <c r="O10" s="30">
        <f t="shared" si="0"/>
        <v>1.4710842612994934E-3</v>
      </c>
      <c r="P10" s="30">
        <f t="shared" si="0"/>
        <v>2.6927856925129667E-4</v>
      </c>
      <c r="Q10" s="30">
        <f t="shared" si="0"/>
        <v>5.5198074339046777E-4</v>
      </c>
      <c r="R10" s="30">
        <f t="shared" si="0"/>
        <v>-1.7730056893918711E-3</v>
      </c>
      <c r="S10" s="30">
        <f t="shared" si="0"/>
        <v>-2.136310570212907E-3</v>
      </c>
      <c r="T10" s="30">
        <f t="shared" si="0"/>
        <v>-1.6181588240193889E-3</v>
      </c>
      <c r="U10" s="63">
        <f t="shared" si="1"/>
        <v>-1.4630399629516032E-3</v>
      </c>
      <c r="W10" s="77"/>
      <c r="Y10" s="77"/>
      <c r="Z10" s="77"/>
      <c r="AA10" s="77"/>
      <c r="AB10" s="77"/>
      <c r="AC10" s="77"/>
      <c r="AD10" s="77"/>
      <c r="AE10" s="77"/>
      <c r="AF10" s="77"/>
      <c r="AG10" s="77"/>
    </row>
    <row r="11" spans="1:33">
      <c r="A11" s="28">
        <v>43341</v>
      </c>
      <c r="B11" s="29">
        <v>1204.5</v>
      </c>
      <c r="C11" s="29">
        <v>14.68799973</v>
      </c>
      <c r="D11" s="29">
        <v>69.510002139999997</v>
      </c>
      <c r="E11" s="29">
        <v>7660.1801759999998</v>
      </c>
      <c r="F11" s="29">
        <v>2914.040039</v>
      </c>
      <c r="G11" s="29">
        <v>26124.570309999999</v>
      </c>
      <c r="H11" s="29">
        <v>9.972162247</v>
      </c>
      <c r="I11" s="29">
        <v>8.1060018540000005</v>
      </c>
      <c r="J11" s="29">
        <v>10.671882630000001</v>
      </c>
      <c r="L11" s="30">
        <f t="shared" si="0"/>
        <v>-2.401875055785152E-3</v>
      </c>
      <c r="M11" s="30">
        <f t="shared" si="0"/>
        <v>-5.3497981262301542E-3</v>
      </c>
      <c r="N11" s="30">
        <f t="shared" si="0"/>
        <v>1.4300355719340851E-2</v>
      </c>
      <c r="O11" s="30">
        <f t="shared" si="0"/>
        <v>1.1879419570027361E-2</v>
      </c>
      <c r="P11" s="30">
        <f t="shared" si="0"/>
        <v>5.7014339455712104E-3</v>
      </c>
      <c r="Q11" s="30">
        <f t="shared" si="0"/>
        <v>2.3231558712693001E-3</v>
      </c>
      <c r="R11" s="30">
        <f t="shared" si="0"/>
        <v>-8.8831626413710119E-4</v>
      </c>
      <c r="S11" s="30">
        <f t="shared" si="0"/>
        <v>0</v>
      </c>
      <c r="T11" s="30">
        <f t="shared" si="0"/>
        <v>0</v>
      </c>
      <c r="U11" s="63">
        <f t="shared" si="1"/>
        <v>3.3155756794275627E-3</v>
      </c>
      <c r="W11" s="77"/>
      <c r="Y11" s="77"/>
      <c r="Z11" s="77"/>
      <c r="AA11" s="77"/>
      <c r="AB11" s="77"/>
      <c r="AC11" s="77"/>
      <c r="AD11" s="77"/>
      <c r="AE11" s="77"/>
      <c r="AF11" s="77"/>
      <c r="AG11" s="77"/>
    </row>
    <row r="12" spans="1:33">
      <c r="A12" s="28">
        <v>43342</v>
      </c>
      <c r="B12" s="29">
        <v>1197.6999510000001</v>
      </c>
      <c r="C12" s="29">
        <v>14.477000240000001</v>
      </c>
      <c r="D12" s="29">
        <v>70.25</v>
      </c>
      <c r="E12" s="29">
        <v>7642.669922</v>
      </c>
      <c r="F12" s="29">
        <v>2901.1298830000001</v>
      </c>
      <c r="G12" s="29">
        <v>25986.91992</v>
      </c>
      <c r="H12" s="29">
        <v>9.9810285570000001</v>
      </c>
      <c r="I12" s="29">
        <v>8.1146774290000003</v>
      </c>
      <c r="J12" s="29">
        <v>10.68052864</v>
      </c>
      <c r="L12" s="30">
        <f t="shared" si="0"/>
        <v>-5.6455367372353349E-3</v>
      </c>
      <c r="M12" s="30">
        <f t="shared" si="0"/>
        <v>-1.4365433951434192E-2</v>
      </c>
      <c r="N12" s="30">
        <f t="shared" si="0"/>
        <v>1.0645919108297264E-2</v>
      </c>
      <c r="O12" s="30">
        <f t="shared" si="0"/>
        <v>-2.2858801748372182E-3</v>
      </c>
      <c r="P12" s="30">
        <f t="shared" si="0"/>
        <v>-4.4303289684483049E-3</v>
      </c>
      <c r="Q12" s="30">
        <f t="shared" si="0"/>
        <v>-5.2690011114674418E-3</v>
      </c>
      <c r="R12" s="30">
        <f t="shared" si="0"/>
        <v>8.8910607152103971E-4</v>
      </c>
      <c r="S12" s="30">
        <f t="shared" si="0"/>
        <v>1.0702656076644335E-3</v>
      </c>
      <c r="T12" s="30">
        <f t="shared" si="0"/>
        <v>8.101672684905914E-4</v>
      </c>
      <c r="U12" s="63">
        <f t="shared" si="1"/>
        <v>-3.223768838583566E-3</v>
      </c>
      <c r="W12" s="77"/>
      <c r="Y12" s="77"/>
      <c r="Z12" s="77"/>
      <c r="AA12" s="77"/>
      <c r="AB12" s="77"/>
      <c r="AC12" s="77"/>
      <c r="AD12" s="77"/>
      <c r="AE12" s="77"/>
      <c r="AF12" s="77"/>
      <c r="AG12" s="77"/>
    </row>
    <row r="13" spans="1:33">
      <c r="A13" s="28">
        <v>43343</v>
      </c>
      <c r="B13" s="29">
        <v>1200.3000489999999</v>
      </c>
      <c r="C13" s="29">
        <v>14.43799973</v>
      </c>
      <c r="D13" s="29">
        <v>69.800003050000001</v>
      </c>
      <c r="E13" s="29">
        <v>7654.5498049999997</v>
      </c>
      <c r="F13" s="29">
        <v>2901.5200199999999</v>
      </c>
      <c r="G13" s="29">
        <v>25964.820309999999</v>
      </c>
      <c r="H13" s="29">
        <v>10.004129410000001</v>
      </c>
      <c r="I13" s="29">
        <v>8.1329431529999994</v>
      </c>
      <c r="J13" s="29">
        <v>10.674466130000001</v>
      </c>
      <c r="L13" s="30">
        <f t="shared" si="0"/>
        <v>2.1709093315307459E-3</v>
      </c>
      <c r="M13" s="30">
        <f t="shared" si="0"/>
        <v>-2.6939634836947723E-3</v>
      </c>
      <c r="N13" s="30">
        <f t="shared" si="0"/>
        <v>-6.4056505338078162E-3</v>
      </c>
      <c r="O13" s="30">
        <f t="shared" si="0"/>
        <v>1.5544152922006838E-3</v>
      </c>
      <c r="P13" s="30">
        <f t="shared" si="0"/>
        <v>1.3447760553075838E-4</v>
      </c>
      <c r="Q13" s="30">
        <f t="shared" si="0"/>
        <v>-8.5041282568443233E-4</v>
      </c>
      <c r="R13" s="30">
        <f t="shared" si="0"/>
        <v>2.3144761953215465E-3</v>
      </c>
      <c r="S13" s="30">
        <f t="shared" si="0"/>
        <v>2.2509488713280401E-3</v>
      </c>
      <c r="T13" s="30">
        <f t="shared" si="0"/>
        <v>-5.6762265280529967E-4</v>
      </c>
      <c r="U13" s="63">
        <f t="shared" si="1"/>
        <v>-2.629896056066881E-4</v>
      </c>
      <c r="W13" s="60" t="s">
        <v>57</v>
      </c>
      <c r="Y13" s="60" t="s">
        <v>48</v>
      </c>
      <c r="Z13" s="60" t="s">
        <v>49</v>
      </c>
      <c r="AA13" s="60" t="s">
        <v>50</v>
      </c>
      <c r="AB13" s="60" t="s">
        <v>51</v>
      </c>
      <c r="AC13" s="60" t="s">
        <v>53</v>
      </c>
      <c r="AD13" s="60" t="s">
        <v>54</v>
      </c>
      <c r="AE13" s="60" t="s">
        <v>55</v>
      </c>
      <c r="AF13" s="60" t="s">
        <v>59</v>
      </c>
      <c r="AG13" s="77"/>
    </row>
    <row r="14" spans="1:33">
      <c r="A14" s="28">
        <v>43347</v>
      </c>
      <c r="B14" s="29">
        <v>1192.6999510000001</v>
      </c>
      <c r="C14" s="29">
        <v>14.06099987</v>
      </c>
      <c r="D14" s="29">
        <v>69.870002749999998</v>
      </c>
      <c r="E14" s="29">
        <v>7622.3198240000002</v>
      </c>
      <c r="F14" s="29">
        <v>2896.719971</v>
      </c>
      <c r="G14" s="29">
        <v>25952.480469999999</v>
      </c>
      <c r="H14" s="29">
        <v>9.9863567349999993</v>
      </c>
      <c r="I14" s="29">
        <v>8.1068458559999996</v>
      </c>
      <c r="J14" s="29">
        <v>10.657134060000001</v>
      </c>
      <c r="L14" s="30">
        <f t="shared" si="0"/>
        <v>-6.3318317835042714E-3</v>
      </c>
      <c r="M14" s="30">
        <f t="shared" si="0"/>
        <v>-2.611164060466431E-2</v>
      </c>
      <c r="N14" s="30">
        <f t="shared" si="0"/>
        <v>1.0028609876973071E-3</v>
      </c>
      <c r="O14" s="30">
        <f t="shared" si="0"/>
        <v>-4.2105651960023804E-3</v>
      </c>
      <c r="P14" s="30">
        <f t="shared" si="0"/>
        <v>-1.6543222059174356E-3</v>
      </c>
      <c r="Q14" s="30">
        <f t="shared" si="0"/>
        <v>-4.7525227799272152E-4</v>
      </c>
      <c r="R14" s="30">
        <f t="shared" si="0"/>
        <v>-1.7765338963164901E-3</v>
      </c>
      <c r="S14" s="30">
        <f t="shared" si="0"/>
        <v>-3.2088379949358758E-3</v>
      </c>
      <c r="T14" s="30">
        <f t="shared" si="0"/>
        <v>-1.6236943177222463E-3</v>
      </c>
      <c r="U14" s="63">
        <f t="shared" si="1"/>
        <v>-5.8787720567100542E-3</v>
      </c>
      <c r="W14" s="77"/>
      <c r="Y14" s="64">
        <v>0.9</v>
      </c>
      <c r="Z14" s="65">
        <f>_xlfn.NORM.S.INV(1-Y14)</f>
        <v>-1.2815515655446006</v>
      </c>
      <c r="AA14" s="66">
        <f>-($Z$7+Z14*$Z$3)</f>
        <v>1.4836728215213927E-2</v>
      </c>
      <c r="AB14" s="66">
        <f>-($Z$7+Z14*$AA$3)</f>
        <v>1.482391269955848E-2</v>
      </c>
      <c r="AC14" s="25">
        <f>Z8*AA14</f>
        <v>14836.728215213927</v>
      </c>
      <c r="AD14" s="25">
        <f>AB14*Z8</f>
        <v>14823.912699558481</v>
      </c>
      <c r="AE14" s="25">
        <f>AC14-AD14</f>
        <v>12.815515655445779</v>
      </c>
      <c r="AF14" s="68">
        <f>252*AE14</f>
        <v>3229.5099451723363</v>
      </c>
      <c r="AG14" s="77"/>
    </row>
    <row r="15" spans="1:33">
      <c r="A15" s="28">
        <v>43348</v>
      </c>
      <c r="B15" s="29">
        <v>1194.900024</v>
      </c>
      <c r="C15" s="29">
        <v>14.118000029999999</v>
      </c>
      <c r="D15" s="29">
        <v>68.72000122</v>
      </c>
      <c r="E15" s="29">
        <v>7523.2597660000001</v>
      </c>
      <c r="F15" s="29">
        <v>2888.6000979999999</v>
      </c>
      <c r="G15" s="29">
        <v>25974.990229999999</v>
      </c>
      <c r="H15" s="29">
        <v>9.9774732589999999</v>
      </c>
      <c r="I15" s="29">
        <v>8.1068458559999996</v>
      </c>
      <c r="J15" s="29">
        <v>10.657134060000001</v>
      </c>
      <c r="L15" s="30">
        <f t="shared" si="0"/>
        <v>1.8446156538829417E-3</v>
      </c>
      <c r="M15" s="30">
        <f t="shared" si="0"/>
        <v>4.0537771514821408E-3</v>
      </c>
      <c r="N15" s="30">
        <f t="shared" si="0"/>
        <v>-1.645915964988276E-2</v>
      </c>
      <c r="O15" s="30">
        <f t="shared" si="0"/>
        <v>-1.2996051108757567E-2</v>
      </c>
      <c r="P15" s="30">
        <f t="shared" si="0"/>
        <v>-2.8031266678487654E-3</v>
      </c>
      <c r="Q15" s="30">
        <f t="shared" si="0"/>
        <v>8.6734522451603624E-4</v>
      </c>
      <c r="R15" s="30">
        <f t="shared" si="0"/>
        <v>-8.8956125198935698E-4</v>
      </c>
      <c r="S15" s="30">
        <f t="shared" si="0"/>
        <v>0</v>
      </c>
      <c r="T15" s="30">
        <f t="shared" si="0"/>
        <v>0</v>
      </c>
      <c r="U15" s="63">
        <f t="shared" si="1"/>
        <v>-2.9055619989938938E-3</v>
      </c>
      <c r="W15" s="77"/>
      <c r="Y15" s="64">
        <v>0.95</v>
      </c>
      <c r="Z15" s="65">
        <f t="shared" ref="Z15:Z16" si="2">_xlfn.NORM.S.INV(1-Y15)</f>
        <v>-1.6448536269514715</v>
      </c>
      <c r="AA15" s="66">
        <f>-($Z$7+Z15*$Z$3)</f>
        <v>1.909135865634979E-2</v>
      </c>
      <c r="AB15" s="66">
        <f>-($Z$7+Z15*$AA$3)</f>
        <v>1.9074910120080276E-2</v>
      </c>
      <c r="AC15" s="25">
        <f>AA15*Z8</f>
        <v>19091.358656349788</v>
      </c>
      <c r="AD15" s="25">
        <f>Z8*AB15</f>
        <v>19074.910120080276</v>
      </c>
      <c r="AE15" s="25">
        <f>AC15-AD15</f>
        <v>16.44853626951226</v>
      </c>
      <c r="AF15" s="68">
        <f t="shared" ref="AF15:AF16" si="3">252*AE15</f>
        <v>4145.0311399170896</v>
      </c>
      <c r="AG15" s="77"/>
    </row>
    <row r="16" spans="1:33">
      <c r="A16" s="28">
        <v>43349</v>
      </c>
      <c r="B16" s="29">
        <v>1197.900024</v>
      </c>
      <c r="C16" s="29">
        <v>14.07499981</v>
      </c>
      <c r="D16" s="29">
        <v>67.769996640000002</v>
      </c>
      <c r="E16" s="29">
        <v>7453.169922</v>
      </c>
      <c r="F16" s="29">
        <v>2878.0500489999999</v>
      </c>
      <c r="G16" s="29">
        <v>25995.869139999999</v>
      </c>
      <c r="H16" s="29">
        <v>9.9952421190000003</v>
      </c>
      <c r="I16" s="29">
        <v>8.1242465970000008</v>
      </c>
      <c r="J16" s="29">
        <v>10.674466130000001</v>
      </c>
      <c r="L16" s="30">
        <f t="shared" si="0"/>
        <v>2.5106702985555618E-3</v>
      </c>
      <c r="M16" s="30">
        <f t="shared" si="0"/>
        <v>-3.0457727658752543E-3</v>
      </c>
      <c r="N16" s="30">
        <f t="shared" si="0"/>
        <v>-1.3824280604400108E-2</v>
      </c>
      <c r="O16" s="30">
        <f t="shared" si="0"/>
        <v>-9.3164195016578466E-3</v>
      </c>
      <c r="P16" s="30">
        <f t="shared" si="0"/>
        <v>-3.6523051450786381E-3</v>
      </c>
      <c r="Q16" s="30">
        <f t="shared" si="0"/>
        <v>8.0380819454117791E-4</v>
      </c>
      <c r="R16" s="30">
        <f t="shared" si="0"/>
        <v>1.7808977823090544E-3</v>
      </c>
      <c r="S16" s="30">
        <f t="shared" si="0"/>
        <v>2.1464255407204202E-3</v>
      </c>
      <c r="T16" s="30">
        <f t="shared" si="0"/>
        <v>1.6263349886020961E-3</v>
      </c>
      <c r="U16" s="63">
        <f t="shared" si="1"/>
        <v>-3.0603060755827441E-3</v>
      </c>
      <c r="W16" s="77"/>
      <c r="Y16" s="64">
        <v>0.99</v>
      </c>
      <c r="Z16" s="65">
        <f t="shared" si="2"/>
        <v>-2.3263478740408408</v>
      </c>
      <c r="AA16" s="66">
        <f>-($Z$7+Z16*$Z$3)</f>
        <v>2.7072337784013394E-2</v>
      </c>
      <c r="AB16" s="66">
        <f>-($Z$7+Z16*$AA$3)</f>
        <v>2.7049074305272987E-2</v>
      </c>
      <c r="AC16" s="25">
        <f>AA16*Z8</f>
        <v>27072.337784013394</v>
      </c>
      <c r="AD16" s="25">
        <f>Z8*AB16</f>
        <v>27049.074305272989</v>
      </c>
      <c r="AE16" s="25">
        <f>AC16-AD16</f>
        <v>23.263478740405844</v>
      </c>
      <c r="AF16" s="68">
        <f t="shared" si="3"/>
        <v>5862.3966425822728</v>
      </c>
      <c r="AG16" s="77"/>
    </row>
    <row r="17" spans="1:33">
      <c r="A17" s="28">
        <v>43350</v>
      </c>
      <c r="B17" s="29">
        <v>1193.599976</v>
      </c>
      <c r="C17" s="29">
        <v>14.06700039</v>
      </c>
      <c r="D17" s="29">
        <v>67.75</v>
      </c>
      <c r="E17" s="29">
        <v>7430.2597660000001</v>
      </c>
      <c r="F17" s="29">
        <v>2871.679932</v>
      </c>
      <c r="G17" s="29">
        <v>25916.539059999999</v>
      </c>
      <c r="H17" s="29">
        <v>9.9597053530000004</v>
      </c>
      <c r="I17" s="29">
        <v>8.0894489289999996</v>
      </c>
      <c r="J17" s="29">
        <v>10.63980675</v>
      </c>
      <c r="L17" s="30">
        <f t="shared" si="0"/>
        <v>-3.5896551580668623E-3</v>
      </c>
      <c r="M17" s="30">
        <f t="shared" si="0"/>
        <v>-5.6834245882653178E-4</v>
      </c>
      <c r="N17" s="30">
        <f t="shared" si="0"/>
        <v>-2.9506626813380343E-4</v>
      </c>
      <c r="O17" s="30">
        <f t="shared" si="0"/>
        <v>-3.0738808104152637E-3</v>
      </c>
      <c r="P17" s="30">
        <f t="shared" si="0"/>
        <v>-2.2133447617470603E-3</v>
      </c>
      <c r="Q17" s="30">
        <f t="shared" si="0"/>
        <v>-3.0516417655732653E-3</v>
      </c>
      <c r="R17" s="30">
        <f t="shared" si="0"/>
        <v>-3.5553682018815147E-3</v>
      </c>
      <c r="S17" s="30">
        <f t="shared" si="0"/>
        <v>-4.2831870727374488E-3</v>
      </c>
      <c r="T17" s="30">
        <f t="shared" si="0"/>
        <v>-3.2469427115040528E-3</v>
      </c>
      <c r="U17" s="63">
        <f t="shared" si="1"/>
        <v>-2.4301454983533303E-3</v>
      </c>
      <c r="W17" s="77"/>
      <c r="Y17" s="77"/>
      <c r="Z17" s="77"/>
      <c r="AA17" s="77"/>
      <c r="AB17" s="77"/>
      <c r="AC17" s="77"/>
      <c r="AD17" s="77"/>
      <c r="AE17" s="77"/>
      <c r="AF17" s="77"/>
      <c r="AG17" s="77"/>
    </row>
    <row r="18" spans="1:33">
      <c r="A18" s="28">
        <v>43353</v>
      </c>
      <c r="B18" s="29">
        <v>1193</v>
      </c>
      <c r="C18" s="29">
        <v>14.07900047</v>
      </c>
      <c r="D18" s="29">
        <v>67.540000919999997</v>
      </c>
      <c r="E18" s="29">
        <v>7447.6801759999998</v>
      </c>
      <c r="F18" s="29">
        <v>2877.1298830000001</v>
      </c>
      <c r="G18" s="29">
        <v>25857.070309999999</v>
      </c>
      <c r="H18" s="29">
        <v>9.9685878750000008</v>
      </c>
      <c r="I18" s="29">
        <v>8.0981492999999993</v>
      </c>
      <c r="J18" s="29">
        <v>10.648468019999999</v>
      </c>
      <c r="L18" s="30">
        <f t="shared" si="0"/>
        <v>-5.0266086801598053E-4</v>
      </c>
      <c r="M18" s="30">
        <f t="shared" si="0"/>
        <v>8.5306601743817545E-4</v>
      </c>
      <c r="N18" s="30">
        <f t="shared" si="0"/>
        <v>-3.0996174169741764E-3</v>
      </c>
      <c r="O18" s="30">
        <f t="shared" si="0"/>
        <v>2.3445223381979297E-3</v>
      </c>
      <c r="P18" s="30">
        <f t="shared" si="0"/>
        <v>1.8978267526508219E-3</v>
      </c>
      <c r="Q18" s="30">
        <f t="shared" si="0"/>
        <v>-2.2946254460258775E-3</v>
      </c>
      <c r="R18" s="30">
        <f t="shared" si="0"/>
        <v>8.918458614164404E-4</v>
      </c>
      <c r="S18" s="30">
        <f t="shared" si="0"/>
        <v>1.075520851464784E-3</v>
      </c>
      <c r="T18" s="30">
        <f t="shared" si="0"/>
        <v>8.1404392048756158E-4</v>
      </c>
      <c r="U18" s="63">
        <f t="shared" si="1"/>
        <v>9.1960350118373542E-4</v>
      </c>
      <c r="W18" s="77"/>
      <c r="Y18" s="77"/>
      <c r="Z18" s="77"/>
      <c r="AA18" s="77"/>
      <c r="AB18" s="77"/>
      <c r="AC18" s="77"/>
      <c r="AD18" s="77"/>
      <c r="AE18" s="77"/>
      <c r="AF18" s="77"/>
      <c r="AG18" s="77"/>
    </row>
    <row r="19" spans="1:33">
      <c r="A19" s="28">
        <v>43354</v>
      </c>
      <c r="B19" s="29">
        <v>1195.400024</v>
      </c>
      <c r="C19" s="29">
        <v>14.05200005</v>
      </c>
      <c r="D19" s="29">
        <v>69.25</v>
      </c>
      <c r="E19" s="29">
        <v>7507.8701170000004</v>
      </c>
      <c r="F19" s="29">
        <v>2887.889893</v>
      </c>
      <c r="G19" s="29">
        <v>25971.060549999998</v>
      </c>
      <c r="H19" s="29">
        <v>9.9419326780000006</v>
      </c>
      <c r="I19" s="29">
        <v>8.0807523729999993</v>
      </c>
      <c r="J19" s="29">
        <v>10.631144519999999</v>
      </c>
      <c r="L19" s="30">
        <f t="shared" ref="L19:T47" si="4">(B19/B18)-1</f>
        <v>2.0117552388936311E-3</v>
      </c>
      <c r="M19" s="30">
        <f t="shared" si="4"/>
        <v>-1.91777960783035E-3</v>
      </c>
      <c r="N19" s="30">
        <f t="shared" si="4"/>
        <v>2.531831591215794E-2</v>
      </c>
      <c r="O19" s="30">
        <f t="shared" si="4"/>
        <v>8.0817032388100785E-3</v>
      </c>
      <c r="P19" s="30">
        <f t="shared" si="4"/>
        <v>3.7398415912945904E-3</v>
      </c>
      <c r="Q19" s="30">
        <f t="shared" si="4"/>
        <v>4.4084746892580906E-3</v>
      </c>
      <c r="R19" s="30">
        <f t="shared" si="4"/>
        <v>-2.6739190479373454E-3</v>
      </c>
      <c r="S19" s="30">
        <f t="shared" si="4"/>
        <v>-2.1482596029688272E-3</v>
      </c>
      <c r="T19" s="30">
        <f t="shared" si="4"/>
        <v>-1.6268537377830405E-3</v>
      </c>
      <c r="U19" s="63">
        <f t="shared" si="1"/>
        <v>3.4206362392054913E-3</v>
      </c>
      <c r="W19" s="77"/>
      <c r="Y19" s="77"/>
      <c r="Z19" s="77"/>
      <c r="AA19" s="79"/>
      <c r="AB19" s="77"/>
      <c r="AC19" s="77"/>
      <c r="AD19" s="77"/>
      <c r="AE19" s="77"/>
      <c r="AF19" s="77"/>
      <c r="AG19" s="77"/>
    </row>
    <row r="20" spans="1:33">
      <c r="A20" s="28">
        <v>43355</v>
      </c>
      <c r="B20" s="29">
        <v>1204.6999510000001</v>
      </c>
      <c r="C20" s="29">
        <v>14.19200039</v>
      </c>
      <c r="D20" s="29">
        <v>70.370002749999998</v>
      </c>
      <c r="E20" s="29">
        <v>7488.0600590000004</v>
      </c>
      <c r="F20" s="29">
        <v>2888.919922</v>
      </c>
      <c r="G20" s="29">
        <v>25998.91992</v>
      </c>
      <c r="H20" s="29">
        <v>9.9597053530000004</v>
      </c>
      <c r="I20" s="29">
        <v>8.0894489289999996</v>
      </c>
      <c r="J20" s="29">
        <v>10.63980675</v>
      </c>
      <c r="L20" s="30">
        <f t="shared" si="4"/>
        <v>7.7797614298860118E-3</v>
      </c>
      <c r="M20" s="30">
        <f t="shared" si="4"/>
        <v>9.963018751910635E-3</v>
      </c>
      <c r="N20" s="30">
        <f t="shared" si="4"/>
        <v>1.6173324909747322E-2</v>
      </c>
      <c r="O20" s="30">
        <f t="shared" si="4"/>
        <v>-2.6385722836552716E-3</v>
      </c>
      <c r="P20" s="30">
        <f t="shared" si="4"/>
        <v>3.5667183935816915E-4</v>
      </c>
      <c r="Q20" s="30">
        <f t="shared" si="4"/>
        <v>1.0727082148365152E-3</v>
      </c>
      <c r="R20" s="30">
        <f t="shared" si="4"/>
        <v>1.7876478925800132E-3</v>
      </c>
      <c r="S20" s="30">
        <f t="shared" si="4"/>
        <v>1.0762062241949089E-3</v>
      </c>
      <c r="T20" s="30">
        <f t="shared" si="4"/>
        <v>8.1479750216018054E-4</v>
      </c>
      <c r="U20" s="63">
        <f t="shared" si="1"/>
        <v>3.2870410369217461E-3</v>
      </c>
      <c r="W20" s="77"/>
      <c r="Y20" s="77"/>
      <c r="Z20" s="77"/>
      <c r="AA20" s="79"/>
      <c r="AB20" s="77"/>
      <c r="AC20" s="77"/>
      <c r="AD20" s="77"/>
      <c r="AE20" s="77"/>
      <c r="AF20" s="77"/>
      <c r="AG20" s="77"/>
    </row>
    <row r="21" spans="1:33">
      <c r="A21" s="28">
        <v>43356</v>
      </c>
      <c r="B21" s="29">
        <v>1202</v>
      </c>
      <c r="C21" s="29">
        <v>14.14299965</v>
      </c>
      <c r="D21" s="29">
        <v>68.589996339999999</v>
      </c>
      <c r="E21" s="29">
        <v>7561.6899409999996</v>
      </c>
      <c r="F21" s="29">
        <v>2904.179932</v>
      </c>
      <c r="G21" s="29">
        <v>26145.990229999999</v>
      </c>
      <c r="H21" s="29">
        <v>9.9597053530000004</v>
      </c>
      <c r="I21" s="29">
        <v>8.0894489289999996</v>
      </c>
      <c r="J21" s="29">
        <v>10.63980675</v>
      </c>
      <c r="L21" s="30">
        <f t="shared" si="4"/>
        <v>-2.2411812980973611E-3</v>
      </c>
      <c r="M21" s="30">
        <f t="shared" si="4"/>
        <v>-3.4527014271030776E-3</v>
      </c>
      <c r="N21" s="30">
        <f t="shared" si="4"/>
        <v>-2.5294960074447315E-2</v>
      </c>
      <c r="O21" s="30">
        <f t="shared" si="4"/>
        <v>9.8329716134557543E-3</v>
      </c>
      <c r="P21" s="30">
        <f t="shared" si="4"/>
        <v>5.2822544106503333E-3</v>
      </c>
      <c r="Q21" s="30">
        <f t="shared" si="4"/>
        <v>5.6567853761826381E-3</v>
      </c>
      <c r="R21" s="30">
        <f t="shared" si="4"/>
        <v>0</v>
      </c>
      <c r="S21" s="30">
        <f t="shared" si="4"/>
        <v>0</v>
      </c>
      <c r="T21" s="30">
        <f t="shared" si="4"/>
        <v>0</v>
      </c>
      <c r="U21" s="63">
        <f t="shared" si="1"/>
        <v>3.6645331910404477E-4</v>
      </c>
      <c r="W21" s="60" t="s">
        <v>58</v>
      </c>
      <c r="Y21" s="60" t="s">
        <v>48</v>
      </c>
      <c r="Z21" s="60" t="s">
        <v>49</v>
      </c>
      <c r="AA21" s="60" t="s">
        <v>50</v>
      </c>
      <c r="AB21" s="60" t="s">
        <v>51</v>
      </c>
      <c r="AC21" s="60" t="s">
        <v>53</v>
      </c>
      <c r="AD21" s="60" t="s">
        <v>54</v>
      </c>
      <c r="AE21" s="60" t="s">
        <v>55</v>
      </c>
      <c r="AG21" s="77"/>
    </row>
    <row r="22" spans="1:33">
      <c r="A22" s="28">
        <v>43357</v>
      </c>
      <c r="B22" s="29">
        <v>1195</v>
      </c>
      <c r="C22" s="29">
        <v>14.041999819999999</v>
      </c>
      <c r="D22" s="29">
        <v>68.989997860000003</v>
      </c>
      <c r="E22" s="29">
        <v>7545.5</v>
      </c>
      <c r="F22" s="29">
        <v>2904.9799800000001</v>
      </c>
      <c r="G22" s="29">
        <v>26154.66992</v>
      </c>
      <c r="H22" s="29">
        <v>9.9419326780000006</v>
      </c>
      <c r="I22" s="29">
        <v>8.0807523729999993</v>
      </c>
      <c r="J22" s="29">
        <v>10.631144519999999</v>
      </c>
      <c r="L22" s="30">
        <f t="shared" si="4"/>
        <v>-5.8236272878535722E-3</v>
      </c>
      <c r="M22" s="30">
        <f t="shared" si="4"/>
        <v>-7.1413301632939907E-3</v>
      </c>
      <c r="N22" s="30">
        <f t="shared" si="4"/>
        <v>5.8317763718371829E-3</v>
      </c>
      <c r="O22" s="30">
        <f t="shared" si="4"/>
        <v>-2.1410479834959029E-3</v>
      </c>
      <c r="P22" s="30">
        <f t="shared" si="4"/>
        <v>2.7548155373735561E-4</v>
      </c>
      <c r="Q22" s="30">
        <f t="shared" si="4"/>
        <v>3.3197021507502811E-4</v>
      </c>
      <c r="R22" s="30">
        <f t="shared" si="4"/>
        <v>-1.7844579101575775E-3</v>
      </c>
      <c r="S22" s="30">
        <f t="shared" si="4"/>
        <v>-1.0750492495013031E-3</v>
      </c>
      <c r="T22" s="30">
        <f t="shared" si="4"/>
        <v>-8.1413414769027082E-4</v>
      </c>
      <c r="U22" s="63">
        <f t="shared" si="1"/>
        <v>-1.3954680606194224E-3</v>
      </c>
      <c r="W22" s="77"/>
      <c r="Y22" s="64">
        <v>0.9</v>
      </c>
      <c r="Z22" s="65">
        <f>_xlfn.NORM.S.INV(1-Y22)</f>
        <v>-1.2815515655446006</v>
      </c>
      <c r="AA22" s="66">
        <f>-($Z$7+Z22*$Z$4)</f>
        <v>1.482647580268957E-2</v>
      </c>
      <c r="AB22" s="66">
        <f>-($Z$7+Z22*$AA$4)</f>
        <v>1.4805970977640855E-2</v>
      </c>
      <c r="AC22" s="25">
        <f>AA22*Z8</f>
        <v>14826.475802689571</v>
      </c>
      <c r="AD22" s="25">
        <f>AB22*Z8</f>
        <v>14805.970977640854</v>
      </c>
      <c r="AE22" s="25">
        <f>AC22-AD22</f>
        <v>20.504825048716157</v>
      </c>
      <c r="AG22" s="77"/>
    </row>
    <row r="23" spans="1:33">
      <c r="A23" s="28">
        <v>43360</v>
      </c>
      <c r="B23" s="29">
        <v>1199.6999510000001</v>
      </c>
      <c r="C23" s="29">
        <v>14.12199974</v>
      </c>
      <c r="D23" s="29">
        <v>68.910003660000001</v>
      </c>
      <c r="E23" s="29">
        <v>7434.7299800000001</v>
      </c>
      <c r="F23" s="29">
        <v>2888.8000489999999</v>
      </c>
      <c r="G23" s="29">
        <v>26062.119139999999</v>
      </c>
      <c r="H23" s="29">
        <v>9.9419326780000006</v>
      </c>
      <c r="I23" s="29">
        <v>8.0807523729999993</v>
      </c>
      <c r="J23" s="29">
        <v>10.631144519999999</v>
      </c>
      <c r="L23" s="30">
        <f t="shared" si="4"/>
        <v>3.9330133891213315E-3</v>
      </c>
      <c r="M23" s="30">
        <f t="shared" si="4"/>
        <v>5.6971885077263806E-3</v>
      </c>
      <c r="N23" s="30">
        <f t="shared" si="4"/>
        <v>-1.159504311948667E-3</v>
      </c>
      <c r="O23" s="30">
        <f t="shared" si="4"/>
        <v>-1.468027566098995E-2</v>
      </c>
      <c r="P23" s="30">
        <f t="shared" si="4"/>
        <v>-5.5697220329897767E-3</v>
      </c>
      <c r="Q23" s="30">
        <f t="shared" si="4"/>
        <v>-3.5385948392041566E-3</v>
      </c>
      <c r="R23" s="30">
        <f t="shared" si="4"/>
        <v>0</v>
      </c>
      <c r="S23" s="30">
        <f t="shared" si="4"/>
        <v>0</v>
      </c>
      <c r="T23" s="30">
        <f t="shared" si="4"/>
        <v>0</v>
      </c>
      <c r="U23" s="63">
        <f t="shared" si="1"/>
        <v>-2.5256782801662768E-3</v>
      </c>
      <c r="W23" s="77"/>
      <c r="Y23" s="64">
        <v>0.95</v>
      </c>
      <c r="Z23" s="65">
        <f t="shared" ref="Z23:Z24" si="5">_xlfn.NORM.S.INV(1-Y23)</f>
        <v>-1.6448536269514715</v>
      </c>
      <c r="AA23" s="66">
        <f t="shared" ref="AA23:AA24" si="6">-($Z$7+Z23*$Z$4)</f>
        <v>1.9078199827334181E-2</v>
      </c>
      <c r="AB23" s="66">
        <f t="shared" ref="AB23:AB24" si="7">-($Z$7+Z23*$AA$4)</f>
        <v>1.9051882169302956E-2</v>
      </c>
      <c r="AC23" s="25">
        <f>AA23*Z8</f>
        <v>19078.199827334181</v>
      </c>
      <c r="AD23" s="25">
        <f>Z8*AB23</f>
        <v>19051.882169302957</v>
      </c>
      <c r="AE23" s="25">
        <f>AC23-AD23</f>
        <v>26.31765803122471</v>
      </c>
      <c r="AG23" s="77"/>
    </row>
    <row r="24" spans="1:33">
      <c r="A24" s="28">
        <v>43361</v>
      </c>
      <c r="B24" s="29">
        <v>1196.8000489999999</v>
      </c>
      <c r="C24" s="29">
        <v>14.083999629999999</v>
      </c>
      <c r="D24" s="29">
        <v>69.849998470000003</v>
      </c>
      <c r="E24" s="29">
        <v>7494.3999020000001</v>
      </c>
      <c r="F24" s="29">
        <v>2904.3100589999999</v>
      </c>
      <c r="G24" s="29">
        <v>26246.960940000001</v>
      </c>
      <c r="H24" s="29">
        <v>9.9152812959999999</v>
      </c>
      <c r="I24" s="29">
        <v>8.0546588900000007</v>
      </c>
      <c r="J24" s="29">
        <v>10.60514927</v>
      </c>
      <c r="L24" s="30">
        <f t="shared" si="4"/>
        <v>-2.4171893960509561E-3</v>
      </c>
      <c r="M24" s="30">
        <f t="shared" si="4"/>
        <v>-2.6908448307335631E-3</v>
      </c>
      <c r="N24" s="30">
        <f t="shared" si="4"/>
        <v>1.3640904949561605E-2</v>
      </c>
      <c r="O24" s="30">
        <f t="shared" si="4"/>
        <v>8.0258357950480086E-3</v>
      </c>
      <c r="P24" s="30">
        <f t="shared" si="4"/>
        <v>5.3690147247709152E-3</v>
      </c>
      <c r="Q24" s="30">
        <f t="shared" si="4"/>
        <v>7.0923549618921999E-3</v>
      </c>
      <c r="R24" s="30">
        <f t="shared" si="4"/>
        <v>-2.6807043321643853E-3</v>
      </c>
      <c r="S24" s="30">
        <f t="shared" si="4"/>
        <v>-3.2290907820891057E-3</v>
      </c>
      <c r="T24" s="30">
        <f t="shared" si="4"/>
        <v>-2.4451976878966386E-3</v>
      </c>
      <c r="U24" s="63">
        <f t="shared" si="1"/>
        <v>2.528822273913091E-3</v>
      </c>
      <c r="W24" s="77"/>
      <c r="Y24" s="64">
        <v>0.99</v>
      </c>
      <c r="Z24" s="65">
        <f t="shared" si="5"/>
        <v>-2.3263478740408408</v>
      </c>
      <c r="AA24" s="66">
        <f t="shared" si="6"/>
        <v>2.7053727001021068E-2</v>
      </c>
      <c r="AB24" s="66">
        <f t="shared" si="7"/>
        <v>2.7016505435036413E-2</v>
      </c>
      <c r="AC24" s="25">
        <f>Z8*AA24</f>
        <v>27053.727001021067</v>
      </c>
      <c r="AD24" s="25">
        <f>Z8*AB24</f>
        <v>27016.505435036412</v>
      </c>
      <c r="AE24" s="25">
        <f>AC24-AD24</f>
        <v>37.221565984655172</v>
      </c>
      <c r="AG24" s="77"/>
    </row>
    <row r="25" spans="1:33">
      <c r="A25" s="28">
        <v>43362</v>
      </c>
      <c r="B25" s="29">
        <v>1202.1999510000001</v>
      </c>
      <c r="C25" s="29">
        <v>14.18900013</v>
      </c>
      <c r="D25" s="29">
        <v>71.120002749999998</v>
      </c>
      <c r="E25" s="29">
        <v>7490.3198240000002</v>
      </c>
      <c r="F25" s="29">
        <v>2907.9499510000001</v>
      </c>
      <c r="G25" s="29">
        <v>26405.759770000001</v>
      </c>
      <c r="H25" s="29">
        <v>9.9063920969999995</v>
      </c>
      <c r="I25" s="29">
        <v>8.0372610089999998</v>
      </c>
      <c r="J25" s="29">
        <v>10.58781815</v>
      </c>
      <c r="L25" s="30">
        <f t="shared" si="4"/>
        <v>4.5119500158041781E-3</v>
      </c>
      <c r="M25" s="30">
        <f t="shared" si="4"/>
        <v>7.4553040867979536E-3</v>
      </c>
      <c r="N25" s="30">
        <f t="shared" si="4"/>
        <v>1.8181879854234362E-2</v>
      </c>
      <c r="O25" s="30">
        <f t="shared" si="4"/>
        <v>-5.4441690506945584E-4</v>
      </c>
      <c r="P25" s="30">
        <f t="shared" si="4"/>
        <v>1.2532725246467979E-3</v>
      </c>
      <c r="Q25" s="30">
        <f t="shared" si="4"/>
        <v>6.0501796898699833E-3</v>
      </c>
      <c r="R25" s="30">
        <f t="shared" si="4"/>
        <v>-8.9651505939492004E-4</v>
      </c>
      <c r="S25" s="30">
        <f t="shared" si="4"/>
        <v>-2.1599773792532195E-3</v>
      </c>
      <c r="T25" s="30">
        <f t="shared" si="4"/>
        <v>-1.6342174502933515E-3</v>
      </c>
      <c r="U25" s="63">
        <f t="shared" si="1"/>
        <v>2.7771570479099353E-3</v>
      </c>
      <c r="W25" s="77"/>
      <c r="Y25" s="77"/>
      <c r="Z25" s="77"/>
      <c r="AA25" s="77"/>
      <c r="AB25" s="77"/>
      <c r="AC25" s="77"/>
      <c r="AD25" s="77"/>
      <c r="AE25" s="77"/>
      <c r="AF25" s="77"/>
      <c r="AG25" s="77"/>
    </row>
    <row r="26" spans="1:33">
      <c r="A26" s="28">
        <v>43363</v>
      </c>
      <c r="B26" s="29">
        <v>1206.1999510000001</v>
      </c>
      <c r="C26" s="29">
        <v>14.21500015</v>
      </c>
      <c r="D26" s="29">
        <v>70.800003050000001</v>
      </c>
      <c r="E26" s="29">
        <v>7569.0297849999997</v>
      </c>
      <c r="F26" s="29">
        <v>2930.75</v>
      </c>
      <c r="G26" s="29">
        <v>26656.980469999999</v>
      </c>
      <c r="H26" s="29">
        <v>9.9152812959999999</v>
      </c>
      <c r="I26" s="29">
        <v>8.0459604260000006</v>
      </c>
      <c r="J26" s="29">
        <v>10.60514927</v>
      </c>
      <c r="L26" s="30">
        <f t="shared" si="4"/>
        <v>3.3272335410368115E-3</v>
      </c>
      <c r="M26" s="30">
        <f t="shared" si="4"/>
        <v>1.8324067772068631E-3</v>
      </c>
      <c r="N26" s="30">
        <f t="shared" si="4"/>
        <v>-4.4994331781011976E-3</v>
      </c>
      <c r="O26" s="30">
        <f t="shared" si="4"/>
        <v>1.0508224328125815E-2</v>
      </c>
      <c r="P26" s="30">
        <f t="shared" si="4"/>
        <v>7.8405919579733752E-3</v>
      </c>
      <c r="Q26" s="30">
        <f t="shared" si="4"/>
        <v>9.5138599376873856E-3</v>
      </c>
      <c r="R26" s="30">
        <f t="shared" si="4"/>
        <v>8.9731951985760894E-4</v>
      </c>
      <c r="S26" s="30">
        <f t="shared" si="4"/>
        <v>1.0823857767290335E-3</v>
      </c>
      <c r="T26" s="30">
        <f t="shared" si="4"/>
        <v>1.6368924885623581E-3</v>
      </c>
      <c r="U26" s="63">
        <f t="shared" si="1"/>
        <v>4.3658375764526001E-3</v>
      </c>
      <c r="W26" s="77"/>
      <c r="Y26" s="77"/>
      <c r="Z26" s="77"/>
      <c r="AA26" s="77"/>
      <c r="AB26" s="77"/>
      <c r="AC26" s="77"/>
      <c r="AD26" s="77"/>
      <c r="AE26" s="77"/>
      <c r="AF26" s="77"/>
      <c r="AG26" s="77"/>
    </row>
    <row r="27" spans="1:33">
      <c r="A27" s="28">
        <v>43364</v>
      </c>
      <c r="B27" s="29">
        <v>1196.1999510000001</v>
      </c>
      <c r="C27" s="29">
        <v>14.269000050000001</v>
      </c>
      <c r="D27" s="29">
        <v>70.77999878</v>
      </c>
      <c r="E27" s="29">
        <v>7531.0698240000002</v>
      </c>
      <c r="F27" s="29">
        <v>2929.669922</v>
      </c>
      <c r="G27" s="29">
        <v>26743.5</v>
      </c>
      <c r="H27" s="29">
        <v>9.9152812959999999</v>
      </c>
      <c r="I27" s="29">
        <v>8.0546588900000007</v>
      </c>
      <c r="J27" s="29">
        <v>10.60514927</v>
      </c>
      <c r="L27" s="30">
        <f t="shared" si="4"/>
        <v>-8.2904994248337305E-3</v>
      </c>
      <c r="M27" s="30">
        <f t="shared" si="4"/>
        <v>3.7987970052888453E-3</v>
      </c>
      <c r="N27" s="30">
        <f t="shared" si="4"/>
        <v>-2.8254617426881623E-4</v>
      </c>
      <c r="O27" s="30">
        <f t="shared" si="4"/>
        <v>-5.0151686647114113E-3</v>
      </c>
      <c r="P27" s="30">
        <f t="shared" si="4"/>
        <v>-3.6853296937644497E-4</v>
      </c>
      <c r="Q27" s="30">
        <f t="shared" si="4"/>
        <v>3.2456613042639582E-3</v>
      </c>
      <c r="R27" s="30">
        <f t="shared" si="4"/>
        <v>0</v>
      </c>
      <c r="S27" s="30">
        <f t="shared" si="4"/>
        <v>1.0810970399370845E-3</v>
      </c>
      <c r="T27" s="30">
        <f t="shared" si="4"/>
        <v>0</v>
      </c>
      <c r="U27" s="63">
        <f t="shared" si="1"/>
        <v>-3.7251837513709138E-4</v>
      </c>
      <c r="W27" s="77"/>
      <c r="Y27" s="77"/>
      <c r="Z27" s="77"/>
      <c r="AA27" s="77"/>
      <c r="AB27" s="77"/>
      <c r="AC27" s="77"/>
      <c r="AD27" s="77"/>
      <c r="AE27" s="77"/>
      <c r="AF27" s="77"/>
      <c r="AG27" s="77"/>
    </row>
    <row r="28" spans="1:33">
      <c r="A28" s="28">
        <v>43367</v>
      </c>
      <c r="B28" s="29">
        <v>1199.3000489999999</v>
      </c>
      <c r="C28" s="29">
        <v>14.251000400000001</v>
      </c>
      <c r="D28" s="29">
        <v>72.08000183</v>
      </c>
      <c r="E28" s="29">
        <v>7548.75</v>
      </c>
      <c r="F28" s="29">
        <v>2919.3701169999999</v>
      </c>
      <c r="G28" s="29">
        <v>26562.050780000001</v>
      </c>
      <c r="H28" s="29">
        <v>9.9063920969999995</v>
      </c>
      <c r="I28" s="29">
        <v>8.0459604260000006</v>
      </c>
      <c r="J28" s="29">
        <v>10.59648323</v>
      </c>
      <c r="L28" s="30">
        <f t="shared" si="4"/>
        <v>2.5916219085349024E-3</v>
      </c>
      <c r="M28" s="30">
        <f t="shared" si="4"/>
        <v>-1.2614513937155847E-3</v>
      </c>
      <c r="N28" s="30">
        <f t="shared" si="4"/>
        <v>1.8366813681937266E-2</v>
      </c>
      <c r="O28" s="30">
        <f t="shared" si="4"/>
        <v>2.3476314007415677E-3</v>
      </c>
      <c r="P28" s="30">
        <f t="shared" si="4"/>
        <v>-3.5156878673106018E-3</v>
      </c>
      <c r="Q28" s="30">
        <f t="shared" si="4"/>
        <v>-6.7847970534895552E-3</v>
      </c>
      <c r="R28" s="30">
        <f t="shared" si="4"/>
        <v>-8.9651505939492004E-4</v>
      </c>
      <c r="S28" s="30">
        <f t="shared" si="4"/>
        <v>-1.079929531317525E-3</v>
      </c>
      <c r="T28" s="30">
        <f t="shared" si="4"/>
        <v>-8.1715398617865365E-4</v>
      </c>
      <c r="U28" s="63">
        <f t="shared" si="1"/>
        <v>8.0832168205668755E-5</v>
      </c>
      <c r="W28" s="69" t="s">
        <v>61</v>
      </c>
      <c r="Y28" s="60" t="s">
        <v>48</v>
      </c>
      <c r="Z28" s="60" t="s">
        <v>49</v>
      </c>
      <c r="AA28" s="60" t="s">
        <v>50</v>
      </c>
      <c r="AB28" s="60" t="s">
        <v>51</v>
      </c>
      <c r="AC28" s="60" t="s">
        <v>53</v>
      </c>
      <c r="AD28" s="60" t="s">
        <v>54</v>
      </c>
      <c r="AE28" s="60" t="s">
        <v>55</v>
      </c>
      <c r="AG28" s="77"/>
    </row>
    <row r="29" spans="1:33">
      <c r="A29" s="28">
        <v>43368</v>
      </c>
      <c r="B29" s="29">
        <v>1200</v>
      </c>
      <c r="C29" s="29">
        <v>14.397999759999999</v>
      </c>
      <c r="D29" s="29">
        <v>72.27999878</v>
      </c>
      <c r="E29" s="29">
        <v>7563.1899409999996</v>
      </c>
      <c r="F29" s="29">
        <v>2915.5600589999999</v>
      </c>
      <c r="G29" s="29">
        <v>26492.210940000001</v>
      </c>
      <c r="H29" s="29">
        <v>9.8975124359999995</v>
      </c>
      <c r="I29" s="29">
        <v>8.0372610089999998</v>
      </c>
      <c r="J29" s="29">
        <v>10.59648323</v>
      </c>
      <c r="L29" s="30">
        <f t="shared" si="4"/>
        <v>5.8363292871010941E-4</v>
      </c>
      <c r="M29" s="30">
        <f t="shared" si="4"/>
        <v>1.0315020410777587E-2</v>
      </c>
      <c r="N29" s="30">
        <f t="shared" si="4"/>
        <v>2.7746523990341831E-3</v>
      </c>
      <c r="O29" s="30">
        <f t="shared" si="4"/>
        <v>1.9128916708064381E-3</v>
      </c>
      <c r="P29" s="30">
        <f t="shared" si="4"/>
        <v>-1.3050959101805759E-3</v>
      </c>
      <c r="Q29" s="30">
        <f t="shared" si="4"/>
        <v>-2.6293090310852696E-3</v>
      </c>
      <c r="R29" s="30">
        <f t="shared" si="4"/>
        <v>-8.9635670716980975E-4</v>
      </c>
      <c r="S29" s="30">
        <f t="shared" si="4"/>
        <v>-1.0812154844671573E-3</v>
      </c>
      <c r="T29" s="30">
        <f t="shared" si="4"/>
        <v>0</v>
      </c>
      <c r="U29" s="63">
        <f t="shared" si="1"/>
        <v>1.3766056878496398E-3</v>
      </c>
      <c r="W29" s="77"/>
      <c r="Y29" s="64">
        <v>0.9</v>
      </c>
      <c r="Z29" s="65">
        <f>_xlfn.NORM.S.INV(1-Y29)</f>
        <v>-1.2815515655446006</v>
      </c>
      <c r="AA29" s="66">
        <f>-($Z$7+Z29*$Z$5)</f>
        <v>1.4006282800741026E-2</v>
      </c>
      <c r="AB29" s="66">
        <f>-($Z$7+Z29*$AA$5)</f>
        <v>1.3911447984890727E-2</v>
      </c>
      <c r="AC29" s="25">
        <f>Z8*AA29</f>
        <v>14006.282800741026</v>
      </c>
      <c r="AD29" s="25">
        <f>Z8*AB29</f>
        <v>13911.447984890727</v>
      </c>
      <c r="AE29" s="25">
        <f>AC29-AD29</f>
        <v>94.834815850299492</v>
      </c>
      <c r="AG29" s="77"/>
    </row>
    <row r="30" spans="1:33">
      <c r="A30" s="28">
        <v>43369</v>
      </c>
      <c r="B30" s="29">
        <v>1194</v>
      </c>
      <c r="C30" s="29">
        <v>14.30500031</v>
      </c>
      <c r="D30" s="29">
        <v>71.569999690000003</v>
      </c>
      <c r="E30" s="29">
        <v>7563.0898440000001</v>
      </c>
      <c r="F30" s="29">
        <v>2905.969971</v>
      </c>
      <c r="G30" s="29">
        <v>26385.279299999998</v>
      </c>
      <c r="H30" s="29">
        <v>9.9241647719999992</v>
      </c>
      <c r="I30" s="29">
        <v>8.0546588900000007</v>
      </c>
      <c r="J30" s="29">
        <v>10.622474670000001</v>
      </c>
      <c r="L30" s="30">
        <f t="shared" si="4"/>
        <v>-5.0000000000000044E-3</v>
      </c>
      <c r="M30" s="30">
        <f t="shared" si="4"/>
        <v>-6.4591923565915366E-3</v>
      </c>
      <c r="N30" s="30">
        <f t="shared" si="4"/>
        <v>-9.8228984779182849E-3</v>
      </c>
      <c r="O30" s="30">
        <f t="shared" si="4"/>
        <v>-1.3234759510205585E-5</v>
      </c>
      <c r="P30" s="30">
        <f t="shared" si="4"/>
        <v>-3.2892781510009961E-3</v>
      </c>
      <c r="Q30" s="30">
        <f t="shared" si="4"/>
        <v>-4.0363426156534432E-3</v>
      </c>
      <c r="R30" s="30">
        <f t="shared" si="4"/>
        <v>2.6928317769077115E-3</v>
      </c>
      <c r="S30" s="30">
        <f t="shared" si="4"/>
        <v>2.1646529807255455E-3</v>
      </c>
      <c r="T30" s="30">
        <f t="shared" si="4"/>
        <v>2.4528364208999953E-3</v>
      </c>
      <c r="U30" s="63">
        <f t="shared" si="1"/>
        <v>-2.5221504315154691E-3</v>
      </c>
      <c r="W30" s="77"/>
      <c r="Y30" s="64">
        <v>0.95</v>
      </c>
      <c r="Z30" s="65">
        <f>_xlfn.NORM.S.INV(1-Y30)</f>
        <v>-1.6448536269514715</v>
      </c>
      <c r="AA30" s="66">
        <f>-($Z$7+Z30*$Z$5)</f>
        <v>1.802549350608524E-2</v>
      </c>
      <c r="AB30" s="66">
        <f>-($Z$7+Z30*$AA$5)</f>
        <v>1.7903774337690831E-2</v>
      </c>
      <c r="AC30" s="25">
        <f>Z8*AA30</f>
        <v>18025.49350608524</v>
      </c>
      <c r="AD30" s="25">
        <f>Z8*AB30</f>
        <v>17903.774337690829</v>
      </c>
      <c r="AE30" s="25">
        <f t="shared" ref="AE30:AE31" si="8">AC30-AD30</f>
        <v>121.7191683944111</v>
      </c>
      <c r="AG30" s="77"/>
    </row>
    <row r="31" spans="1:33">
      <c r="A31" s="28">
        <v>43370</v>
      </c>
      <c r="B31" s="29">
        <v>1182.3000489999999</v>
      </c>
      <c r="C31" s="29">
        <v>14.20100021</v>
      </c>
      <c r="D31" s="29">
        <v>72.120002749999998</v>
      </c>
      <c r="E31" s="29">
        <v>7629.5698240000002</v>
      </c>
      <c r="F31" s="29">
        <v>2914</v>
      </c>
      <c r="G31" s="29">
        <v>26439.929690000001</v>
      </c>
      <c r="H31" s="29">
        <v>9.9241647719999992</v>
      </c>
      <c r="I31" s="29">
        <v>8.0546588900000007</v>
      </c>
      <c r="J31" s="29">
        <v>10.622474670000001</v>
      </c>
      <c r="L31" s="30">
        <f t="shared" si="4"/>
        <v>-9.7989539363484424E-3</v>
      </c>
      <c r="M31" s="30">
        <f t="shared" si="4"/>
        <v>-7.2701920829248978E-3</v>
      </c>
      <c r="N31" s="30">
        <f t="shared" si="4"/>
        <v>7.6848269160583182E-3</v>
      </c>
      <c r="O31" s="30">
        <f t="shared" si="4"/>
        <v>8.7900555687223658E-3</v>
      </c>
      <c r="P31" s="30">
        <f t="shared" si="4"/>
        <v>2.7632869851152986E-3</v>
      </c>
      <c r="Q31" s="30">
        <f t="shared" si="4"/>
        <v>2.0712454614797426E-3</v>
      </c>
      <c r="R31" s="30">
        <f t="shared" si="4"/>
        <v>0</v>
      </c>
      <c r="S31" s="30">
        <f t="shared" si="4"/>
        <v>0</v>
      </c>
      <c r="T31" s="30">
        <f t="shared" si="4"/>
        <v>0</v>
      </c>
      <c r="U31" s="63">
        <f t="shared" si="1"/>
        <v>8.636720380984955E-4</v>
      </c>
      <c r="W31" s="77"/>
      <c r="Y31" s="64">
        <v>0.99</v>
      </c>
      <c r="Z31" s="65">
        <f t="shared" ref="Z31" si="9">_xlfn.NORM.S.INV(1-Y31)</f>
        <v>-2.3263478740408408</v>
      </c>
      <c r="AA31" s="66">
        <f t="shared" ref="AA31" si="10">-($Z$7+Z31*$Z$5)</f>
        <v>2.556486436163493E-2</v>
      </c>
      <c r="AB31" s="66">
        <f t="shared" ref="AB31" si="11">-($Z$7+Z31*$AA$5)</f>
        <v>2.5392714618955911E-2</v>
      </c>
      <c r="AC31" s="25">
        <f>AA31*Z8</f>
        <v>25564.864361634929</v>
      </c>
      <c r="AD31" s="25">
        <f>Z8*AB31</f>
        <v>25392.71461895591</v>
      </c>
      <c r="AE31" s="25">
        <f t="shared" si="8"/>
        <v>172.14974267901925</v>
      </c>
      <c r="AG31" s="77"/>
    </row>
    <row r="32" spans="1:33">
      <c r="A32" s="28">
        <v>43371</v>
      </c>
      <c r="B32" s="29">
        <v>1191.5</v>
      </c>
      <c r="C32" s="29">
        <v>14.62300014</v>
      </c>
      <c r="D32" s="29">
        <v>73.25</v>
      </c>
      <c r="E32" s="29">
        <v>7627.6499020000001</v>
      </c>
      <c r="F32" s="29">
        <v>2913.9799800000001</v>
      </c>
      <c r="G32" s="29">
        <v>26458.310549999998</v>
      </c>
      <c r="H32" s="29">
        <v>9.9473190309999993</v>
      </c>
      <c r="I32" s="29">
        <v>8.0729675289999996</v>
      </c>
      <c r="J32" s="29">
        <v>10.627686499999999</v>
      </c>
      <c r="L32" s="30">
        <f t="shared" si="4"/>
        <v>7.7814011830426022E-3</v>
      </c>
      <c r="M32" s="30">
        <f t="shared" si="4"/>
        <v>2.9716211799140524E-2</v>
      </c>
      <c r="N32" s="30">
        <f t="shared" si="4"/>
        <v>1.566829183183871E-2</v>
      </c>
      <c r="O32" s="30">
        <f t="shared" si="4"/>
        <v>-2.5164223465923286E-4</v>
      </c>
      <c r="P32" s="30">
        <f t="shared" si="4"/>
        <v>-6.8702814001175838E-6</v>
      </c>
      <c r="Q32" s="30">
        <f t="shared" si="4"/>
        <v>6.9519322537936468E-4</v>
      </c>
      <c r="R32" s="30">
        <f t="shared" si="4"/>
        <v>2.3331191623630065E-3</v>
      </c>
      <c r="S32" s="30">
        <f t="shared" si="4"/>
        <v>2.2730495791360994E-3</v>
      </c>
      <c r="T32" s="30">
        <f t="shared" si="4"/>
        <v>4.9064179128777141E-4</v>
      </c>
      <c r="U32" s="63">
        <f t="shared" si="1"/>
        <v>6.5304991880406511E-3</v>
      </c>
      <c r="W32" s="77"/>
      <c r="Y32" s="77"/>
      <c r="Z32" s="77"/>
      <c r="AA32" s="77"/>
      <c r="AB32" s="77"/>
      <c r="AC32" s="77"/>
      <c r="AD32" s="77"/>
      <c r="AE32" s="77"/>
      <c r="AF32" s="77"/>
      <c r="AG32" s="77"/>
    </row>
    <row r="33" spans="1:33">
      <c r="A33" s="28">
        <v>43374</v>
      </c>
      <c r="B33" s="29">
        <v>1187.099976</v>
      </c>
      <c r="C33" s="29">
        <v>14.42199993</v>
      </c>
      <c r="D33" s="29">
        <v>75.300003050000001</v>
      </c>
      <c r="E33" s="29">
        <v>7645.4501950000003</v>
      </c>
      <c r="F33" s="29">
        <v>2924.5900879999999</v>
      </c>
      <c r="G33" s="29">
        <v>26651.210940000001</v>
      </c>
      <c r="H33" s="29">
        <v>9.9295053479999993</v>
      </c>
      <c r="I33" s="29">
        <v>8.0642490389999999</v>
      </c>
      <c r="J33" s="29">
        <v>10.610321040000001</v>
      </c>
      <c r="L33" s="30">
        <f t="shared" si="4"/>
        <v>-3.6928443138900535E-3</v>
      </c>
      <c r="M33" s="30">
        <f t="shared" si="4"/>
        <v>-1.3745483695249416E-2</v>
      </c>
      <c r="N33" s="30">
        <f t="shared" si="4"/>
        <v>2.7986389761092134E-2</v>
      </c>
      <c r="O33" s="30">
        <f t="shared" si="4"/>
        <v>2.3336536454476864E-3</v>
      </c>
      <c r="P33" s="30">
        <f t="shared" si="4"/>
        <v>3.6411053174085772E-3</v>
      </c>
      <c r="Q33" s="30">
        <f t="shared" si="4"/>
        <v>7.2907296796393961E-3</v>
      </c>
      <c r="R33" s="30">
        <f t="shared" si="4"/>
        <v>-1.7908024206808593E-3</v>
      </c>
      <c r="S33" s="30">
        <f t="shared" si="4"/>
        <v>-1.079960989398332E-3</v>
      </c>
      <c r="T33" s="30">
        <f t="shared" si="4"/>
        <v>-1.6339830874761985E-3</v>
      </c>
      <c r="U33" s="63">
        <f t="shared" si="1"/>
        <v>1.0678309098457964E-3</v>
      </c>
      <c r="W33" s="77"/>
      <c r="Y33" s="77"/>
      <c r="Z33" s="77"/>
      <c r="AA33" s="77"/>
      <c r="AB33" s="77"/>
      <c r="AC33" s="77"/>
      <c r="AD33" s="77"/>
      <c r="AE33" s="77"/>
      <c r="AF33" s="77"/>
      <c r="AG33" s="77"/>
    </row>
    <row r="34" spans="1:33">
      <c r="A34" s="28">
        <v>43375</v>
      </c>
      <c r="B34" s="29">
        <v>1202.400024</v>
      </c>
      <c r="C34" s="29">
        <v>14.60999966</v>
      </c>
      <c r="D34" s="29">
        <v>75.230003359999998</v>
      </c>
      <c r="E34" s="29">
        <v>7628.2797849999997</v>
      </c>
      <c r="F34" s="29">
        <v>2923.429932</v>
      </c>
      <c r="G34" s="29">
        <v>26773.939450000002</v>
      </c>
      <c r="H34" s="29">
        <v>9.9473190309999993</v>
      </c>
      <c r="I34" s="29">
        <v>8.0642490389999999</v>
      </c>
      <c r="J34" s="29">
        <v>10.627686499999999</v>
      </c>
      <c r="L34" s="30">
        <f t="shared" si="4"/>
        <v>1.2888592628528484E-2</v>
      </c>
      <c r="M34" s="30">
        <f t="shared" si="4"/>
        <v>1.3035621336326075E-2</v>
      </c>
      <c r="N34" s="30">
        <f t="shared" si="4"/>
        <v>-9.2961071931862982E-4</v>
      </c>
      <c r="O34" s="30">
        <f t="shared" si="4"/>
        <v>-2.2458337392911032E-3</v>
      </c>
      <c r="P34" s="30">
        <f t="shared" si="4"/>
        <v>-3.9669012240728385E-4</v>
      </c>
      <c r="Q34" s="30">
        <f t="shared" si="4"/>
        <v>4.6049881289185191E-3</v>
      </c>
      <c r="R34" s="30">
        <f t="shared" si="4"/>
        <v>1.7940151473494481E-3</v>
      </c>
      <c r="S34" s="30">
        <f t="shared" si="4"/>
        <v>0</v>
      </c>
      <c r="T34" s="30">
        <f t="shared" si="4"/>
        <v>1.6366573579189581E-3</v>
      </c>
      <c r="U34" s="63">
        <f t="shared" si="1"/>
        <v>2.5878272758365801E-3</v>
      </c>
      <c r="W34" s="77"/>
      <c r="Y34" s="77"/>
      <c r="Z34" s="77"/>
      <c r="AA34" s="77"/>
      <c r="AB34" s="77"/>
      <c r="AC34" s="77"/>
      <c r="AD34" s="77"/>
      <c r="AE34" s="77"/>
      <c r="AF34" s="77"/>
      <c r="AG34" s="77"/>
    </row>
    <row r="35" spans="1:33">
      <c r="A35" s="28">
        <v>43376</v>
      </c>
      <c r="B35" s="29">
        <v>1198.3000489999999</v>
      </c>
      <c r="C35" s="29">
        <v>14.59000015</v>
      </c>
      <c r="D35" s="29">
        <v>76.410003660000001</v>
      </c>
      <c r="E35" s="29">
        <v>7637.4301759999998</v>
      </c>
      <c r="F35" s="29">
        <v>2925.51001</v>
      </c>
      <c r="G35" s="29">
        <v>26828.390630000002</v>
      </c>
      <c r="H35" s="29">
        <v>9.8938827509999996</v>
      </c>
      <c r="I35" s="29">
        <v>8.0293741230000002</v>
      </c>
      <c r="J35" s="29">
        <v>10.57559204</v>
      </c>
      <c r="L35" s="30">
        <f t="shared" si="4"/>
        <v>-3.4098261129110741E-3</v>
      </c>
      <c r="M35" s="30">
        <f t="shared" si="4"/>
        <v>-1.3688918867503785E-3</v>
      </c>
      <c r="N35" s="30">
        <f t="shared" si="4"/>
        <v>1.5685235242557605E-2</v>
      </c>
      <c r="O35" s="30">
        <f t="shared" si="4"/>
        <v>1.1995353156806221E-3</v>
      </c>
      <c r="P35" s="30">
        <f t="shared" si="4"/>
        <v>7.1151970404059739E-4</v>
      </c>
      <c r="Q35" s="30">
        <f t="shared" si="4"/>
        <v>2.0337380721162646E-3</v>
      </c>
      <c r="R35" s="30">
        <f t="shared" si="4"/>
        <v>-5.3719278363818512E-3</v>
      </c>
      <c r="S35" s="30">
        <f t="shared" si="4"/>
        <v>-4.3246328122232836E-3</v>
      </c>
      <c r="T35" s="30">
        <f t="shared" si="4"/>
        <v>-4.9017686022257978E-3</v>
      </c>
      <c r="U35" s="63">
        <f t="shared" si="1"/>
        <v>-2.7171741670238125E-5</v>
      </c>
      <c r="W35" s="77"/>
      <c r="Y35" s="77"/>
      <c r="Z35" s="77"/>
      <c r="AA35" s="77"/>
      <c r="AB35" s="77"/>
      <c r="AC35" s="77"/>
      <c r="AD35" s="77"/>
      <c r="AE35" s="77"/>
      <c r="AF35" s="77"/>
      <c r="AG35" s="77"/>
    </row>
    <row r="36" spans="1:33">
      <c r="A36" s="28">
        <v>43377</v>
      </c>
      <c r="B36" s="29">
        <v>1197.1999510000001</v>
      </c>
      <c r="C36" s="29">
        <v>14.510000229999999</v>
      </c>
      <c r="D36" s="29">
        <v>74.33000183</v>
      </c>
      <c r="E36" s="29">
        <v>7490</v>
      </c>
      <c r="F36" s="29">
        <v>2901.610107</v>
      </c>
      <c r="G36" s="29">
        <v>26627.480469999999</v>
      </c>
      <c r="H36" s="29">
        <v>9.8671703340000008</v>
      </c>
      <c r="I36" s="29">
        <v>8.0119371410000007</v>
      </c>
      <c r="J36" s="29">
        <v>10.549542430000001</v>
      </c>
      <c r="L36" s="30">
        <f t="shared" si="4"/>
        <v>-9.180488650717411E-4</v>
      </c>
      <c r="M36" s="30">
        <f t="shared" si="4"/>
        <v>-5.4832021369102257E-3</v>
      </c>
      <c r="N36" s="30">
        <f t="shared" si="4"/>
        <v>-2.722159050345474E-2</v>
      </c>
      <c r="O36" s="30">
        <f t="shared" si="4"/>
        <v>-1.9303636511569966E-2</v>
      </c>
      <c r="P36" s="30">
        <f t="shared" si="4"/>
        <v>-8.1694825580173047E-3</v>
      </c>
      <c r="Q36" s="30">
        <f t="shared" si="4"/>
        <v>-7.4887145774350516E-3</v>
      </c>
      <c r="R36" s="30">
        <f t="shared" si="4"/>
        <v>-2.6998922134284786E-3</v>
      </c>
      <c r="S36" s="30">
        <f t="shared" si="4"/>
        <v>-2.1716489645253745E-3</v>
      </c>
      <c r="T36" s="30">
        <f t="shared" si="4"/>
        <v>-2.4631821936277332E-3</v>
      </c>
      <c r="U36" s="63">
        <f t="shared" si="1"/>
        <v>-8.5306069401383001E-3</v>
      </c>
    </row>
    <row r="37" spans="1:33">
      <c r="A37" s="28">
        <v>43378</v>
      </c>
      <c r="B37" s="29">
        <v>1201.1999510000001</v>
      </c>
      <c r="C37" s="29">
        <v>14.569000239999999</v>
      </c>
      <c r="D37" s="29">
        <v>74.339996339999999</v>
      </c>
      <c r="E37" s="29">
        <v>7399.0097660000001</v>
      </c>
      <c r="F37" s="29">
        <v>2885.570068</v>
      </c>
      <c r="G37" s="29">
        <v>26447.050780000001</v>
      </c>
      <c r="H37" s="29">
        <v>9.8493604660000003</v>
      </c>
      <c r="I37" s="29">
        <v>7.9945044520000001</v>
      </c>
      <c r="J37" s="29">
        <v>10.53217793</v>
      </c>
      <c r="L37" s="30">
        <f t="shared" si="4"/>
        <v>3.3411294384524393E-3</v>
      </c>
      <c r="M37" s="30">
        <f t="shared" si="4"/>
        <v>4.0661618928174992E-3</v>
      </c>
      <c r="N37" s="30">
        <f t="shared" si="4"/>
        <v>1.3446131782512971E-4</v>
      </c>
      <c r="O37" s="30">
        <f t="shared" si="4"/>
        <v>-1.2148228838451236E-2</v>
      </c>
      <c r="P37" s="30">
        <f t="shared" si="4"/>
        <v>-5.5279787457674923E-3</v>
      </c>
      <c r="Q37" s="30">
        <f t="shared" si="4"/>
        <v>-6.7760706914526958E-3</v>
      </c>
      <c r="R37" s="30">
        <f t="shared" si="4"/>
        <v>-1.8049620506328523E-3</v>
      </c>
      <c r="S37" s="30">
        <f t="shared" si="4"/>
        <v>-2.1758394621933519E-3</v>
      </c>
      <c r="T37" s="30">
        <f t="shared" si="4"/>
        <v>-1.6459955600179876E-3</v>
      </c>
      <c r="U37" s="63">
        <f t="shared" si="1"/>
        <v>-2.9958016404980376E-3</v>
      </c>
    </row>
    <row r="38" spans="1:33">
      <c r="A38" s="28">
        <v>43381</v>
      </c>
      <c r="B38" s="29">
        <v>1184.400024</v>
      </c>
      <c r="C38" s="29">
        <v>14.25899982</v>
      </c>
      <c r="D38" s="29">
        <v>74.290000919999997</v>
      </c>
      <c r="E38" s="29">
        <v>7352.8198240000002</v>
      </c>
      <c r="F38" s="29">
        <v>2884.429932</v>
      </c>
      <c r="G38" s="29">
        <v>26486.779299999998</v>
      </c>
      <c r="H38" s="29">
        <v>9.8493604660000003</v>
      </c>
      <c r="I38" s="29">
        <v>7.9945044520000001</v>
      </c>
      <c r="J38" s="29">
        <v>10.53217793</v>
      </c>
      <c r="L38" s="30">
        <f t="shared" si="4"/>
        <v>-1.3985953783975824E-2</v>
      </c>
      <c r="M38" s="30">
        <f t="shared" si="4"/>
        <v>-2.1278084624425819E-2</v>
      </c>
      <c r="N38" s="30">
        <f t="shared" si="4"/>
        <v>-6.7252384263438714E-4</v>
      </c>
      <c r="O38" s="30">
        <f t="shared" si="4"/>
        <v>-6.2427194260848973E-3</v>
      </c>
      <c r="P38" s="30">
        <f t="shared" si="4"/>
        <v>-3.951163801717561E-4</v>
      </c>
      <c r="Q38" s="30">
        <f t="shared" si="4"/>
        <v>1.502190937298753E-3</v>
      </c>
      <c r="R38" s="30">
        <f t="shared" si="4"/>
        <v>0</v>
      </c>
      <c r="S38" s="30">
        <f t="shared" si="4"/>
        <v>0</v>
      </c>
      <c r="T38" s="30">
        <f t="shared" si="4"/>
        <v>0</v>
      </c>
      <c r="U38" s="63">
        <f t="shared" si="1"/>
        <v>-4.8498587398260263E-3</v>
      </c>
    </row>
    <row r="39" spans="1:33">
      <c r="A39" s="28">
        <v>43382</v>
      </c>
      <c r="B39" s="29">
        <v>1187.1999510000001</v>
      </c>
      <c r="C39" s="29">
        <v>14.32900047</v>
      </c>
      <c r="D39" s="29">
        <v>74.959999080000003</v>
      </c>
      <c r="E39" s="29">
        <v>7371.6201170000004</v>
      </c>
      <c r="F39" s="29">
        <v>2880.3400879999999</v>
      </c>
      <c r="G39" s="29">
        <v>26430.570309999999</v>
      </c>
      <c r="H39" s="29">
        <v>9.8671703340000008</v>
      </c>
      <c r="I39" s="29">
        <v>8.0032215119999996</v>
      </c>
      <c r="J39" s="29">
        <v>10.549542430000001</v>
      </c>
      <c r="L39" s="30">
        <f t="shared" si="4"/>
        <v>2.3640045113677566E-3</v>
      </c>
      <c r="M39" s="30">
        <f t="shared" si="4"/>
        <v>4.9092258141287815E-3</v>
      </c>
      <c r="N39" s="30">
        <f t="shared" si="4"/>
        <v>9.0186855795237886E-3</v>
      </c>
      <c r="O39" s="30">
        <f t="shared" si="4"/>
        <v>2.5568820466177478E-3</v>
      </c>
      <c r="P39" s="30">
        <f t="shared" si="4"/>
        <v>-1.4179037440387177E-3</v>
      </c>
      <c r="Q39" s="30">
        <f t="shared" si="4"/>
        <v>-2.1221526922300393E-3</v>
      </c>
      <c r="R39" s="30">
        <f t="shared" si="4"/>
        <v>1.8082258296343579E-3</v>
      </c>
      <c r="S39" s="30">
        <f t="shared" si="4"/>
        <v>1.0903815305047804E-3</v>
      </c>
      <c r="T39" s="30">
        <f t="shared" si="4"/>
        <v>1.6487093282520071E-3</v>
      </c>
      <c r="U39" s="63">
        <f t="shared" si="1"/>
        <v>1.7188886717127724E-3</v>
      </c>
    </row>
    <row r="40" spans="1:33">
      <c r="A40" s="28">
        <v>43383</v>
      </c>
      <c r="B40" s="29">
        <v>1189.3000489999999</v>
      </c>
      <c r="C40" s="29">
        <v>14.255000109999999</v>
      </c>
      <c r="D40" s="29">
        <v>73.16999817</v>
      </c>
      <c r="E40" s="29">
        <v>7044.5</v>
      </c>
      <c r="F40" s="29">
        <v>2785.679932</v>
      </c>
      <c r="G40" s="29">
        <v>25598.740229999999</v>
      </c>
      <c r="H40" s="29">
        <v>9.8582658769999991</v>
      </c>
      <c r="I40" s="29">
        <v>7.9945044520000001</v>
      </c>
      <c r="J40" s="29">
        <v>10.549542430000001</v>
      </c>
      <c r="L40" s="30">
        <f t="shared" si="4"/>
        <v>1.768950544708936E-3</v>
      </c>
      <c r="M40" s="30">
        <f t="shared" si="4"/>
        <v>-5.1643769678794138E-3</v>
      </c>
      <c r="N40" s="30">
        <f t="shared" si="4"/>
        <v>-2.3879414780803909E-2</v>
      </c>
      <c r="O40" s="30">
        <f t="shared" si="4"/>
        <v>-4.4375606964012548E-2</v>
      </c>
      <c r="P40" s="30">
        <f t="shared" si="4"/>
        <v>-3.2864228913235149E-2</v>
      </c>
      <c r="Q40" s="30">
        <f t="shared" si="4"/>
        <v>-3.1472271322320888E-2</v>
      </c>
      <c r="R40" s="30">
        <f t="shared" si="4"/>
        <v>-9.0243268318968006E-4</v>
      </c>
      <c r="S40" s="30">
        <f t="shared" si="4"/>
        <v>-1.0891938936000711E-3</v>
      </c>
      <c r="T40" s="30">
        <f t="shared" si="4"/>
        <v>0</v>
      </c>
      <c r="U40" s="63">
        <f t="shared" si="1"/>
        <v>-1.8874046209622276E-2</v>
      </c>
    </row>
    <row r="41" spans="1:33">
      <c r="A41" s="28">
        <v>43384</v>
      </c>
      <c r="B41" s="29">
        <v>1223.5</v>
      </c>
      <c r="C41" s="29">
        <v>14.53499985</v>
      </c>
      <c r="D41" s="29">
        <v>70.97000122</v>
      </c>
      <c r="E41" s="29">
        <v>6964.0297849999997</v>
      </c>
      <c r="F41" s="29">
        <v>2728.3701169999999</v>
      </c>
      <c r="G41" s="29">
        <v>25052.83008</v>
      </c>
      <c r="H41" s="29">
        <v>9.8849773410000008</v>
      </c>
      <c r="I41" s="29">
        <v>8.0293741230000002</v>
      </c>
      <c r="J41" s="29">
        <v>10.56690884</v>
      </c>
      <c r="L41" s="30">
        <f t="shared" si="4"/>
        <v>2.8756368948909428E-2</v>
      </c>
      <c r="M41" s="30">
        <f t="shared" si="4"/>
        <v>1.964221240542674E-2</v>
      </c>
      <c r="N41" s="30">
        <f t="shared" si="4"/>
        <v>-3.0066926404571204E-2</v>
      </c>
      <c r="O41" s="30">
        <f t="shared" si="4"/>
        <v>-1.1423126552629781E-2</v>
      </c>
      <c r="P41" s="30">
        <f t="shared" si="4"/>
        <v>-2.0573007811006461E-2</v>
      </c>
      <c r="Q41" s="30">
        <f t="shared" si="4"/>
        <v>-2.132566466533492E-2</v>
      </c>
      <c r="R41" s="30">
        <f t="shared" si="4"/>
        <v>2.7095499688563063E-3</v>
      </c>
      <c r="S41" s="30">
        <f t="shared" si="4"/>
        <v>4.3617051199811296E-3</v>
      </c>
      <c r="T41" s="30">
        <f t="shared" si="4"/>
        <v>1.6461766105242415E-3</v>
      </c>
      <c r="U41" s="63">
        <f t="shared" si="1"/>
        <v>-5.208353109664117E-3</v>
      </c>
    </row>
    <row r="42" spans="1:33">
      <c r="A42" s="28">
        <v>43385</v>
      </c>
      <c r="B42" s="29">
        <v>1218.099976</v>
      </c>
      <c r="C42" s="29">
        <v>14.56400013</v>
      </c>
      <c r="D42" s="29">
        <v>71.339996339999999</v>
      </c>
      <c r="E42" s="29">
        <v>7157.2099609999996</v>
      </c>
      <c r="F42" s="29">
        <v>2767.1298830000001</v>
      </c>
      <c r="G42" s="29">
        <v>25339.990229999999</v>
      </c>
      <c r="H42" s="29">
        <v>9.8760766980000003</v>
      </c>
      <c r="I42" s="29">
        <v>8.0206575390000001</v>
      </c>
      <c r="J42" s="29">
        <v>10.55822468</v>
      </c>
      <c r="L42" s="30">
        <f t="shared" si="4"/>
        <v>-4.4135872496935402E-3</v>
      </c>
      <c r="M42" s="30">
        <f t="shared" si="4"/>
        <v>1.9952033229639898E-3</v>
      </c>
      <c r="N42" s="30">
        <f t="shared" si="4"/>
        <v>5.2134016294158592E-3</v>
      </c>
      <c r="O42" s="30">
        <f t="shared" si="4"/>
        <v>2.7739711340134532E-2</v>
      </c>
      <c r="P42" s="30">
        <f t="shared" si="4"/>
        <v>1.4206197963573475E-2</v>
      </c>
      <c r="Q42" s="30">
        <f t="shared" si="4"/>
        <v>1.1462184075931692E-2</v>
      </c>
      <c r="R42" s="30">
        <f t="shared" si="4"/>
        <v>-9.0042118387900771E-4</v>
      </c>
      <c r="S42" s="30">
        <f t="shared" si="4"/>
        <v>-1.0855869793178208E-3</v>
      </c>
      <c r="T42" s="30">
        <f t="shared" si="4"/>
        <v>-8.218259598423705E-4</v>
      </c>
      <c r="U42" s="63">
        <f t="shared" si="1"/>
        <v>8.1299668379514224E-3</v>
      </c>
    </row>
    <row r="43" spans="1:33">
      <c r="A43" s="28">
        <v>43388</v>
      </c>
      <c r="B43" s="29">
        <v>1226.400024</v>
      </c>
      <c r="C43" s="29">
        <v>14.65600014</v>
      </c>
      <c r="D43" s="29">
        <v>71.77999878</v>
      </c>
      <c r="E43" s="29">
        <v>7068.669922</v>
      </c>
      <c r="F43" s="29">
        <v>2750.790039</v>
      </c>
      <c r="G43" s="29">
        <v>25250.550780000001</v>
      </c>
      <c r="H43" s="29">
        <v>9.8760766980000003</v>
      </c>
      <c r="I43" s="29">
        <v>8.0119371410000007</v>
      </c>
      <c r="J43" s="29">
        <v>10.55822468</v>
      </c>
      <c r="L43" s="30">
        <f t="shared" si="4"/>
        <v>6.8139300250671386E-3</v>
      </c>
      <c r="M43" s="30">
        <f t="shared" si="4"/>
        <v>6.3169465242238765E-3</v>
      </c>
      <c r="N43" s="30">
        <f t="shared" si="4"/>
        <v>6.1676824022107724E-3</v>
      </c>
      <c r="O43" s="30">
        <f t="shared" si="4"/>
        <v>-1.2370747747021404E-2</v>
      </c>
      <c r="P43" s="30">
        <f t="shared" si="4"/>
        <v>-5.9049790544292158E-3</v>
      </c>
      <c r="Q43" s="30">
        <f t="shared" si="4"/>
        <v>-3.5295771303853751E-3</v>
      </c>
      <c r="R43" s="30">
        <f t="shared" si="4"/>
        <v>0</v>
      </c>
      <c r="S43" s="30">
        <f t="shared" si="4"/>
        <v>-1.0872422812714388E-3</v>
      </c>
      <c r="T43" s="30">
        <f t="shared" si="4"/>
        <v>0</v>
      </c>
      <c r="U43" s="63">
        <f t="shared" si="1"/>
        <v>-1.6955176646629593E-3</v>
      </c>
    </row>
    <row r="44" spans="1:33">
      <c r="A44" s="28">
        <v>43389</v>
      </c>
      <c r="B44" s="29">
        <v>1227.3000489999999</v>
      </c>
      <c r="C44" s="29">
        <v>14.630000109999999</v>
      </c>
      <c r="D44" s="29">
        <v>71.91999817</v>
      </c>
      <c r="E44" s="29">
        <v>7276.4301759999998</v>
      </c>
      <c r="F44" s="29">
        <v>2809.919922</v>
      </c>
      <c r="G44" s="29">
        <v>25798.41992</v>
      </c>
      <c r="H44" s="29">
        <v>9.8760766980000003</v>
      </c>
      <c r="I44" s="29">
        <v>8.0119371410000007</v>
      </c>
      <c r="J44" s="29">
        <v>10.56690884</v>
      </c>
      <c r="L44" s="30">
        <f t="shared" si="4"/>
        <v>7.3387555641457602E-4</v>
      </c>
      <c r="M44" s="30">
        <f t="shared" si="4"/>
        <v>-1.7740194972459822E-3</v>
      </c>
      <c r="N44" s="30">
        <f t="shared" si="4"/>
        <v>1.9503955472204293E-3</v>
      </c>
      <c r="O44" s="30">
        <f t="shared" si="4"/>
        <v>2.9391703997011076E-2</v>
      </c>
      <c r="P44" s="30">
        <f t="shared" si="4"/>
        <v>2.1495600231814072E-2</v>
      </c>
      <c r="Q44" s="30">
        <f t="shared" si="4"/>
        <v>2.1697314437748583E-2</v>
      </c>
      <c r="R44" s="30">
        <f t="shared" si="4"/>
        <v>0</v>
      </c>
      <c r="S44" s="30">
        <f t="shared" si="4"/>
        <v>0</v>
      </c>
      <c r="T44" s="30">
        <f t="shared" si="4"/>
        <v>8.2250191326660449E-4</v>
      </c>
      <c r="U44" s="63">
        <f t="shared" si="1"/>
        <v>1.0675563517671375E-2</v>
      </c>
    </row>
    <row r="45" spans="1:33">
      <c r="A45" s="28">
        <v>43390</v>
      </c>
      <c r="B45" s="29">
        <v>1223.6999510000001</v>
      </c>
      <c r="C45" s="29">
        <v>14.59200001</v>
      </c>
      <c r="D45" s="29">
        <v>69.75</v>
      </c>
      <c r="E45" s="29">
        <v>7278.6298829999996</v>
      </c>
      <c r="F45" s="29">
        <v>2809.209961</v>
      </c>
      <c r="G45" s="29">
        <v>25706.679690000001</v>
      </c>
      <c r="H45" s="29">
        <v>9.8582658769999991</v>
      </c>
      <c r="I45" s="29">
        <v>8.0032215119999996</v>
      </c>
      <c r="J45" s="29">
        <v>10.54085922</v>
      </c>
      <c r="L45" s="30">
        <f t="shared" si="4"/>
        <v>-2.9333478825599446E-3</v>
      </c>
      <c r="M45" s="30">
        <f t="shared" si="4"/>
        <v>-2.5974094131431258E-3</v>
      </c>
      <c r="N45" s="30">
        <f t="shared" si="4"/>
        <v>-3.0172389115899256E-2</v>
      </c>
      <c r="O45" s="30">
        <f t="shared" si="4"/>
        <v>3.0230579374701527E-4</v>
      </c>
      <c r="P45" s="30">
        <f t="shared" si="4"/>
        <v>-2.5266236039023227E-4</v>
      </c>
      <c r="Q45" s="30">
        <f t="shared" si="4"/>
        <v>-3.5560406522756605E-3</v>
      </c>
      <c r="R45" s="30">
        <f t="shared" si="4"/>
        <v>-1.8034308100915997E-3</v>
      </c>
      <c r="S45" s="30">
        <f t="shared" si="4"/>
        <v>-1.0878304268514549E-3</v>
      </c>
      <c r="T45" s="30">
        <f t="shared" si="4"/>
        <v>-2.4652072232697053E-3</v>
      </c>
      <c r="U45" s="63">
        <f t="shared" si="1"/>
        <v>-3.4297325370595288E-3</v>
      </c>
    </row>
    <row r="46" spans="1:33">
      <c r="A46" s="28">
        <v>43391</v>
      </c>
      <c r="B46" s="29">
        <v>1226.5</v>
      </c>
      <c r="C46" s="29">
        <v>14.53299999</v>
      </c>
      <c r="D46" s="29">
        <v>68.650001529999997</v>
      </c>
      <c r="E46" s="29">
        <v>7116.0898440000001</v>
      </c>
      <c r="F46" s="29">
        <v>2768.780029</v>
      </c>
      <c r="G46" s="29">
        <v>25379.449219999999</v>
      </c>
      <c r="H46" s="29">
        <v>9.8582658769999991</v>
      </c>
      <c r="I46" s="29">
        <v>8.0032215119999996</v>
      </c>
      <c r="J46" s="29">
        <v>10.54085922</v>
      </c>
      <c r="L46" s="30">
        <f t="shared" si="4"/>
        <v>2.2881826527096916E-3</v>
      </c>
      <c r="M46" s="30">
        <f t="shared" si="4"/>
        <v>-4.0433127713518369E-3</v>
      </c>
      <c r="N46" s="30">
        <f t="shared" si="4"/>
        <v>-1.5770587383512558E-2</v>
      </c>
      <c r="O46" s="30">
        <f t="shared" si="4"/>
        <v>-2.2331131217377731E-2</v>
      </c>
      <c r="P46" s="30">
        <f t="shared" si="4"/>
        <v>-1.4391922484002562E-2</v>
      </c>
      <c r="Q46" s="30">
        <f t="shared" si="4"/>
        <v>-1.2729394614400369E-2</v>
      </c>
      <c r="R46" s="30">
        <f t="shared" si="4"/>
        <v>0</v>
      </c>
      <c r="S46" s="30">
        <f t="shared" si="4"/>
        <v>0</v>
      </c>
      <c r="T46" s="30">
        <f t="shared" si="4"/>
        <v>0</v>
      </c>
      <c r="U46" s="63">
        <f t="shared" si="1"/>
        <v>-9.0830306887427336E-3</v>
      </c>
    </row>
    <row r="47" spans="1:33">
      <c r="A47" s="28">
        <v>43392</v>
      </c>
      <c r="B47" s="29">
        <v>1225.3000489999999</v>
      </c>
      <c r="C47" s="29">
        <v>14.57900047</v>
      </c>
      <c r="D47" s="29">
        <v>69.120002749999998</v>
      </c>
      <c r="E47" s="29">
        <v>7107.2299800000001</v>
      </c>
      <c r="F47" s="29">
        <v>2767.780029</v>
      </c>
      <c r="G47" s="29">
        <v>25444.339840000001</v>
      </c>
      <c r="H47" s="29">
        <v>9.8493604660000003</v>
      </c>
      <c r="I47" s="29">
        <v>7.9857816699999997</v>
      </c>
      <c r="J47" s="29">
        <v>10.53217793</v>
      </c>
      <c r="L47" s="30">
        <f t="shared" si="4"/>
        <v>-9.7835385242561745E-4</v>
      </c>
      <c r="M47" s="30">
        <f t="shared" si="4"/>
        <v>3.165243241701754E-3</v>
      </c>
      <c r="N47" s="30">
        <f t="shared" si="4"/>
        <v>6.8463395415163664E-3</v>
      </c>
      <c r="O47" s="30">
        <f t="shared" ref="O47:T89" si="12">(E47/E46)-1</f>
        <v>-1.2450466751020572E-3</v>
      </c>
      <c r="P47" s="30">
        <f t="shared" si="12"/>
        <v>-3.6116989776224795E-4</v>
      </c>
      <c r="Q47" s="30">
        <f t="shared" si="12"/>
        <v>2.556817503701625E-3</v>
      </c>
      <c r="R47" s="30">
        <f t="shared" si="12"/>
        <v>-9.0334457511187516E-4</v>
      </c>
      <c r="S47" s="30">
        <f t="shared" si="12"/>
        <v>-2.1791027492930048E-3</v>
      </c>
      <c r="T47" s="30">
        <f t="shared" si="12"/>
        <v>-8.235846640972655E-4</v>
      </c>
      <c r="U47" s="63">
        <f t="shared" si="1"/>
        <v>3.6393867069299036E-4</v>
      </c>
    </row>
    <row r="48" spans="1:33">
      <c r="A48" s="28">
        <v>43395</v>
      </c>
      <c r="B48" s="29">
        <v>1221.1999510000001</v>
      </c>
      <c r="C48" s="29">
        <v>14.522000309999999</v>
      </c>
      <c r="D48" s="29">
        <v>69.16999817</v>
      </c>
      <c r="E48" s="29">
        <v>7141.2099609999996</v>
      </c>
      <c r="F48" s="29">
        <v>2755.8798830000001</v>
      </c>
      <c r="G48" s="29">
        <v>25317.410159999999</v>
      </c>
      <c r="H48" s="29">
        <v>9.8493604660000003</v>
      </c>
      <c r="I48" s="29">
        <v>7.9857816699999997</v>
      </c>
      <c r="J48" s="29">
        <v>10.53217793</v>
      </c>
      <c r="L48" s="30">
        <f t="shared" ref="L48:T99" si="13">(B48/B47)-1</f>
        <v>-3.3461991643157774E-3</v>
      </c>
      <c r="M48" s="30">
        <f t="shared" si="13"/>
        <v>-3.9097440265053462E-3</v>
      </c>
      <c r="N48" s="30">
        <f t="shared" si="13"/>
        <v>7.2331333927788677E-4</v>
      </c>
      <c r="O48" s="30">
        <f t="shared" si="12"/>
        <v>4.7810442458764424E-3</v>
      </c>
      <c r="P48" s="30">
        <f t="shared" si="12"/>
        <v>-4.2995273740376039E-3</v>
      </c>
      <c r="Q48" s="30">
        <f t="shared" si="12"/>
        <v>-4.9885232156999804E-3</v>
      </c>
      <c r="R48" s="30">
        <f t="shared" si="12"/>
        <v>0</v>
      </c>
      <c r="S48" s="30">
        <f t="shared" si="12"/>
        <v>0</v>
      </c>
      <c r="T48" s="30">
        <f t="shared" si="12"/>
        <v>0</v>
      </c>
      <c r="U48" s="63">
        <f t="shared" si="1"/>
        <v>-1.6553585794395233E-3</v>
      </c>
    </row>
    <row r="49" spans="1:21">
      <c r="A49" s="28">
        <v>43396</v>
      </c>
      <c r="B49" s="29">
        <v>1233.400024</v>
      </c>
      <c r="C49" s="29">
        <v>14.727999690000001</v>
      </c>
      <c r="D49" s="29">
        <v>66.430000309999997</v>
      </c>
      <c r="E49" s="29">
        <v>7118.669922</v>
      </c>
      <c r="F49" s="29">
        <v>2740.6899410000001</v>
      </c>
      <c r="G49" s="29">
        <v>25191.429690000001</v>
      </c>
      <c r="H49" s="29">
        <v>9.8582658769999991</v>
      </c>
      <c r="I49" s="29">
        <v>7.9945044520000001</v>
      </c>
      <c r="J49" s="29">
        <v>10.54085922</v>
      </c>
      <c r="L49" s="30">
        <f t="shared" si="13"/>
        <v>9.9902337778590145E-3</v>
      </c>
      <c r="M49" s="30">
        <f t="shared" si="13"/>
        <v>1.4185330918781824E-2</v>
      </c>
      <c r="N49" s="30">
        <f t="shared" si="13"/>
        <v>-3.9612518902572114E-2</v>
      </c>
      <c r="O49" s="30">
        <f t="shared" si="12"/>
        <v>-3.1563333276989347E-3</v>
      </c>
      <c r="P49" s="30">
        <f t="shared" si="12"/>
        <v>-5.5118302120862328E-3</v>
      </c>
      <c r="Q49" s="30">
        <f t="shared" si="12"/>
        <v>-4.9760409616873558E-3</v>
      </c>
      <c r="R49" s="30">
        <f t="shared" si="12"/>
        <v>9.0416134435744588E-4</v>
      </c>
      <c r="S49" s="30">
        <f t="shared" si="12"/>
        <v>1.092289065799168E-3</v>
      </c>
      <c r="T49" s="30">
        <f t="shared" si="12"/>
        <v>8.2426351488740224E-4</v>
      </c>
      <c r="U49" s="63">
        <f t="shared" si="1"/>
        <v>-2.2636426908486844E-3</v>
      </c>
    </row>
    <row r="50" spans="1:21">
      <c r="A50" s="28">
        <v>43397</v>
      </c>
      <c r="B50" s="29">
        <v>1227.8000489999999</v>
      </c>
      <c r="C50" s="29">
        <v>14.61100006</v>
      </c>
      <c r="D50" s="29">
        <v>66.819999690000003</v>
      </c>
      <c r="E50" s="29">
        <v>6789.1499020000001</v>
      </c>
      <c r="F50" s="29">
        <v>2656.1000979999999</v>
      </c>
      <c r="G50" s="29">
        <v>24583.41992</v>
      </c>
      <c r="H50" s="29">
        <v>9.8849773410000008</v>
      </c>
      <c r="I50" s="29">
        <v>8.0119371410000007</v>
      </c>
      <c r="J50" s="29">
        <v>10.57559204</v>
      </c>
      <c r="L50" s="30">
        <f t="shared" si="13"/>
        <v>-4.5402747616616335E-3</v>
      </c>
      <c r="M50" s="30">
        <f t="shared" si="13"/>
        <v>-7.944027190565528E-3</v>
      </c>
      <c r="N50" s="30">
        <f t="shared" si="13"/>
        <v>5.870832126750658E-3</v>
      </c>
      <c r="O50" s="30">
        <f t="shared" si="12"/>
        <v>-4.628954897622517E-2</v>
      </c>
      <c r="P50" s="30">
        <f t="shared" si="12"/>
        <v>-3.0864433708665207E-2</v>
      </c>
      <c r="Q50" s="30">
        <f t="shared" si="12"/>
        <v>-2.4135580135071E-2</v>
      </c>
      <c r="R50" s="30">
        <f t="shared" si="12"/>
        <v>2.7095499688563063E-3</v>
      </c>
      <c r="S50" s="30">
        <f t="shared" si="12"/>
        <v>2.1805840630484408E-3</v>
      </c>
      <c r="T50" s="30">
        <f t="shared" si="12"/>
        <v>3.2950653523668993E-3</v>
      </c>
      <c r="U50" s="63">
        <f t="shared" si="1"/>
        <v>-1.5915890945657516E-2</v>
      </c>
    </row>
    <row r="51" spans="1:21">
      <c r="A51" s="28">
        <v>43398</v>
      </c>
      <c r="B51" s="29">
        <v>1229.099976</v>
      </c>
      <c r="C51" s="29">
        <v>14.56499958</v>
      </c>
      <c r="D51" s="29">
        <v>67.33000183</v>
      </c>
      <c r="E51" s="29">
        <v>7016.3901370000003</v>
      </c>
      <c r="F51" s="29">
        <v>2705.570068</v>
      </c>
      <c r="G51" s="29">
        <v>24984.550780000001</v>
      </c>
      <c r="H51" s="29">
        <v>9.8671703340000008</v>
      </c>
      <c r="I51" s="29">
        <v>8.0032215119999996</v>
      </c>
      <c r="J51" s="29">
        <v>10.55822468</v>
      </c>
      <c r="L51" s="30">
        <f t="shared" si="13"/>
        <v>1.0587448673411437E-3</v>
      </c>
      <c r="M51" s="30">
        <f t="shared" si="13"/>
        <v>-3.1483457539592807E-3</v>
      </c>
      <c r="N51" s="30">
        <f t="shared" si="13"/>
        <v>7.6324774373850435E-3</v>
      </c>
      <c r="O51" s="30">
        <f t="shared" si="12"/>
        <v>3.3471088174538366E-2</v>
      </c>
      <c r="P51" s="30">
        <f t="shared" si="12"/>
        <v>1.8625039785680642E-2</v>
      </c>
      <c r="Q51" s="30">
        <f t="shared" si="12"/>
        <v>1.6317130053726148E-2</v>
      </c>
      <c r="R51" s="30">
        <f t="shared" si="12"/>
        <v>-1.8014211247749934E-3</v>
      </c>
      <c r="S51" s="30">
        <f t="shared" si="12"/>
        <v>-1.0878304268514549E-3</v>
      </c>
      <c r="T51" s="30">
        <f t="shared" si="12"/>
        <v>-1.6422116070959891E-3</v>
      </c>
      <c r="U51" s="63">
        <f t="shared" si="1"/>
        <v>9.8916821738964621E-3</v>
      </c>
    </row>
    <row r="52" spans="1:21">
      <c r="A52" s="28">
        <v>43399</v>
      </c>
      <c r="B52" s="29">
        <v>1232.5</v>
      </c>
      <c r="C52" s="29">
        <v>14.635000229999999</v>
      </c>
      <c r="D52" s="29">
        <v>67.589996339999999</v>
      </c>
      <c r="E52" s="29">
        <v>6852.3999020000001</v>
      </c>
      <c r="F52" s="29">
        <v>2658.6899410000001</v>
      </c>
      <c r="G52" s="29">
        <v>24688.310549999998</v>
      </c>
      <c r="H52" s="29">
        <v>9.8938827509999996</v>
      </c>
      <c r="I52" s="29">
        <v>8.0206575390000001</v>
      </c>
      <c r="J52" s="29">
        <v>10.584275249999999</v>
      </c>
      <c r="L52" s="30">
        <f t="shared" si="13"/>
        <v>2.7662713094056546E-3</v>
      </c>
      <c r="M52" s="30">
        <f t="shared" si="13"/>
        <v>4.8060866473433883E-3</v>
      </c>
      <c r="N52" s="30">
        <f t="shared" si="13"/>
        <v>3.8614956621634278E-3</v>
      </c>
      <c r="O52" s="30">
        <f t="shared" si="12"/>
        <v>-2.3372451046474674E-2</v>
      </c>
      <c r="P52" s="30">
        <f t="shared" si="12"/>
        <v>-1.7327264059605163E-2</v>
      </c>
      <c r="Q52" s="30">
        <f t="shared" si="12"/>
        <v>-1.1856936416769215E-2</v>
      </c>
      <c r="R52" s="30">
        <f t="shared" si="12"/>
        <v>2.7072013653148819E-3</v>
      </c>
      <c r="S52" s="30">
        <f t="shared" si="12"/>
        <v>2.1786260662479684E-3</v>
      </c>
      <c r="T52" s="30">
        <f t="shared" si="12"/>
        <v>2.4673248381752444E-3</v>
      </c>
      <c r="U52" s="63">
        <f t="shared" si="1"/>
        <v>-6.6240519023628803E-3</v>
      </c>
    </row>
    <row r="53" spans="1:21">
      <c r="A53" s="28">
        <v>43402</v>
      </c>
      <c r="B53" s="29">
        <v>1224.5</v>
      </c>
      <c r="C53" s="29">
        <v>14.37699986</v>
      </c>
      <c r="D53" s="29">
        <v>67.040000919999997</v>
      </c>
      <c r="E53" s="29">
        <v>6713.8999020000001</v>
      </c>
      <c r="F53" s="29">
        <v>2641.25</v>
      </c>
      <c r="G53" s="29">
        <v>24442.91992</v>
      </c>
      <c r="H53" s="29">
        <v>9.8849773410000008</v>
      </c>
      <c r="I53" s="29">
        <v>8.0206575390000001</v>
      </c>
      <c r="J53" s="29">
        <v>10.57559204</v>
      </c>
      <c r="L53" s="30">
        <f t="shared" si="13"/>
        <v>-6.4908722109533468E-3</v>
      </c>
      <c r="M53" s="30">
        <f t="shared" si="13"/>
        <v>-1.7628996648126449E-2</v>
      </c>
      <c r="N53" s="30">
        <f t="shared" si="13"/>
        <v>-8.1372310960536876E-3</v>
      </c>
      <c r="O53" s="30">
        <f t="shared" si="12"/>
        <v>-2.0211896850850231E-2</v>
      </c>
      <c r="P53" s="30">
        <f t="shared" si="12"/>
        <v>-6.5595994219019849E-3</v>
      </c>
      <c r="Q53" s="30">
        <f t="shared" si="12"/>
        <v>-9.9395472810106522E-3</v>
      </c>
      <c r="R53" s="30">
        <f t="shared" si="12"/>
        <v>-9.0009253435907599E-4</v>
      </c>
      <c r="S53" s="30">
        <f t="shared" si="12"/>
        <v>0</v>
      </c>
      <c r="T53" s="30">
        <f t="shared" si="12"/>
        <v>-8.2038777288973019E-4</v>
      </c>
      <c r="U53" s="63">
        <f t="shared" si="1"/>
        <v>-8.393324774488984E-3</v>
      </c>
    </row>
    <row r="54" spans="1:21">
      <c r="A54" s="28">
        <v>43403</v>
      </c>
      <c r="B54" s="29">
        <v>1222.599976</v>
      </c>
      <c r="C54" s="29">
        <v>14.402999879999999</v>
      </c>
      <c r="D54" s="29">
        <v>66.180000309999997</v>
      </c>
      <c r="E54" s="29">
        <v>6810.1201170000004</v>
      </c>
      <c r="F54" s="29">
        <v>2682.6298830000001</v>
      </c>
      <c r="G54" s="29">
        <v>24874.640630000002</v>
      </c>
      <c r="H54" s="29">
        <v>9.8671703340000008</v>
      </c>
      <c r="I54" s="29">
        <v>8.0032215119999996</v>
      </c>
      <c r="J54" s="29">
        <v>10.55822468</v>
      </c>
      <c r="L54" s="30">
        <f t="shared" si="13"/>
        <v>-1.5516733360555479E-3</v>
      </c>
      <c r="M54" s="30">
        <f t="shared" si="13"/>
        <v>1.808445451288998E-3</v>
      </c>
      <c r="N54" s="30">
        <f t="shared" si="13"/>
        <v>-1.2828171214171902E-2</v>
      </c>
      <c r="O54" s="30">
        <f t="shared" si="12"/>
        <v>1.4331493826909458E-2</v>
      </c>
      <c r="P54" s="30">
        <f t="shared" si="12"/>
        <v>1.5666780123047896E-2</v>
      </c>
      <c r="Q54" s="30">
        <f t="shared" si="12"/>
        <v>1.7662403322229681E-2</v>
      </c>
      <c r="R54" s="30">
        <f t="shared" si="12"/>
        <v>-1.8014211247749934E-3</v>
      </c>
      <c r="S54" s="30">
        <f t="shared" si="12"/>
        <v>-2.1738899728880323E-3</v>
      </c>
      <c r="T54" s="30">
        <f t="shared" si="12"/>
        <v>-1.6422116070959891E-3</v>
      </c>
      <c r="U54" s="63">
        <f t="shared" si="1"/>
        <v>5.72762563698518E-3</v>
      </c>
    </row>
    <row r="55" spans="1:21">
      <c r="A55" s="28">
        <v>43404</v>
      </c>
      <c r="B55" s="29">
        <v>1212.3000489999999</v>
      </c>
      <c r="C55" s="29">
        <v>14.22900009</v>
      </c>
      <c r="D55" s="29">
        <v>65.309997559999999</v>
      </c>
      <c r="E55" s="29">
        <v>6967.1000979999999</v>
      </c>
      <c r="F55" s="29">
        <v>2711.73999</v>
      </c>
      <c r="G55" s="29">
        <v>25115.759770000001</v>
      </c>
      <c r="H55" s="29">
        <v>9.8734188080000003</v>
      </c>
      <c r="I55" s="29">
        <v>8.0049676900000009</v>
      </c>
      <c r="J55" s="29">
        <v>10.583466530000001</v>
      </c>
      <c r="L55" s="30">
        <f t="shared" si="13"/>
        <v>-8.424609195313848E-3</v>
      </c>
      <c r="M55" s="30">
        <f t="shared" si="13"/>
        <v>-1.2080802016919856E-2</v>
      </c>
      <c r="N55" s="30">
        <f t="shared" si="13"/>
        <v>-1.3146007040264918E-2</v>
      </c>
      <c r="O55" s="30">
        <f t="shared" si="12"/>
        <v>2.3050985636528409E-2</v>
      </c>
      <c r="P55" s="30">
        <f t="shared" si="12"/>
        <v>1.0851331816018606E-2</v>
      </c>
      <c r="Q55" s="30">
        <f t="shared" si="12"/>
        <v>9.6933717992773172E-3</v>
      </c>
      <c r="R55" s="30">
        <f t="shared" si="12"/>
        <v>6.3325895758259421E-4</v>
      </c>
      <c r="S55" s="30">
        <f t="shared" si="12"/>
        <v>2.1818438954657182E-4</v>
      </c>
      <c r="T55" s="30">
        <f t="shared" si="12"/>
        <v>2.3907286276845241E-3</v>
      </c>
      <c r="U55" s="63">
        <f t="shared" si="1"/>
        <v>3.2907949943982149E-3</v>
      </c>
    </row>
    <row r="56" spans="1:21">
      <c r="A56" s="28">
        <v>43405</v>
      </c>
      <c r="B56" s="29">
        <v>1236</v>
      </c>
      <c r="C56" s="29">
        <v>14.72900009</v>
      </c>
      <c r="D56" s="29">
        <v>63.689998629999998</v>
      </c>
      <c r="E56" s="29">
        <v>7069.169922</v>
      </c>
      <c r="F56" s="29">
        <v>2740.3701169999999</v>
      </c>
      <c r="G56" s="29">
        <v>25380.740229999999</v>
      </c>
      <c r="H56" s="29">
        <v>9.8734188080000003</v>
      </c>
      <c r="I56" s="29">
        <v>8.0049676900000009</v>
      </c>
      <c r="J56" s="29">
        <v>10.548654559999999</v>
      </c>
      <c r="L56" s="30">
        <f t="shared" si="13"/>
        <v>1.9549575222363114E-2</v>
      </c>
      <c r="M56" s="30">
        <f t="shared" si="13"/>
        <v>3.5139503607944711E-2</v>
      </c>
      <c r="N56" s="30">
        <f t="shared" si="13"/>
        <v>-2.4804761759663396E-2</v>
      </c>
      <c r="O56" s="30">
        <f t="shared" si="12"/>
        <v>1.4650259442849256E-2</v>
      </c>
      <c r="P56" s="30">
        <f t="shared" si="12"/>
        <v>1.0557843711262338E-2</v>
      </c>
      <c r="Q56" s="30">
        <f t="shared" si="12"/>
        <v>1.0550366081957474E-2</v>
      </c>
      <c r="R56" s="30">
        <f t="shared" si="12"/>
        <v>0</v>
      </c>
      <c r="S56" s="30">
        <f t="shared" si="12"/>
        <v>0</v>
      </c>
      <c r="T56" s="30">
        <f t="shared" si="12"/>
        <v>-3.2892786027454157E-3</v>
      </c>
      <c r="U56" s="63">
        <f t="shared" si="1"/>
        <v>9.4653917720844E-3</v>
      </c>
    </row>
    <row r="57" spans="1:21">
      <c r="A57" s="28">
        <v>43406</v>
      </c>
      <c r="B57" s="29">
        <v>1230.900024</v>
      </c>
      <c r="C57" s="29">
        <v>14.70699978</v>
      </c>
      <c r="D57" s="29">
        <v>63.13999939</v>
      </c>
      <c r="E57" s="29">
        <v>6965.2900390000004</v>
      </c>
      <c r="F57" s="29">
        <v>2723.0600589999999</v>
      </c>
      <c r="G57" s="29">
        <v>25270.83008</v>
      </c>
      <c r="H57" s="29">
        <v>9.8377113339999998</v>
      </c>
      <c r="I57" s="29">
        <v>7.9787487979999998</v>
      </c>
      <c r="J57" s="29">
        <v>10.505132679999999</v>
      </c>
      <c r="L57" s="30">
        <f t="shared" si="13"/>
        <v>-4.1261941747572362E-3</v>
      </c>
      <c r="M57" s="30">
        <f t="shared" si="13"/>
        <v>-1.4936730168761958E-3</v>
      </c>
      <c r="N57" s="30">
        <f t="shared" si="13"/>
        <v>-8.6355668367203986E-3</v>
      </c>
      <c r="O57" s="30">
        <f t="shared" si="12"/>
        <v>-1.4694778049784141E-2</v>
      </c>
      <c r="P57" s="30">
        <f t="shared" si="12"/>
        <v>-6.3166861631632765E-3</v>
      </c>
      <c r="Q57" s="30">
        <f t="shared" si="12"/>
        <v>-4.3304548647515873E-3</v>
      </c>
      <c r="R57" s="30">
        <f t="shared" si="12"/>
        <v>-3.6165258148543877E-3</v>
      </c>
      <c r="S57" s="30">
        <f t="shared" si="12"/>
        <v>-3.2753276484493998E-3</v>
      </c>
      <c r="T57" s="30">
        <f t="shared" si="12"/>
        <v>-4.1258228480656189E-3</v>
      </c>
      <c r="U57" s="63">
        <f t="shared" si="1"/>
        <v>-5.8440749226384937E-3</v>
      </c>
    </row>
    <row r="58" spans="1:21">
      <c r="A58" s="28">
        <v>43409</v>
      </c>
      <c r="B58" s="29">
        <v>1229.8000489999999</v>
      </c>
      <c r="C58" s="29">
        <v>14.60400009</v>
      </c>
      <c r="D58" s="29">
        <v>63.099998470000003</v>
      </c>
      <c r="E58" s="29">
        <v>6937.0898440000001</v>
      </c>
      <c r="F58" s="29">
        <v>2738.3100589999999</v>
      </c>
      <c r="G58" s="29">
        <v>25461.699219999999</v>
      </c>
      <c r="H58" s="29">
        <v>9.8466405869999996</v>
      </c>
      <c r="I58" s="29">
        <v>7.9787487979999998</v>
      </c>
      <c r="J58" s="29">
        <v>10.513833999999999</v>
      </c>
      <c r="L58" s="30">
        <f t="shared" si="13"/>
        <v>-8.936347213850393E-4</v>
      </c>
      <c r="M58" s="30">
        <f t="shared" si="13"/>
        <v>-7.0034467628176111E-3</v>
      </c>
      <c r="N58" s="30">
        <f t="shared" si="13"/>
        <v>-6.3352740555033815E-4</v>
      </c>
      <c r="O58" s="30">
        <f t="shared" si="12"/>
        <v>-4.0486749068742167E-3</v>
      </c>
      <c r="P58" s="30">
        <f t="shared" si="12"/>
        <v>5.6003171687664111E-3</v>
      </c>
      <c r="Q58" s="30">
        <f t="shared" si="12"/>
        <v>7.5529430333616254E-3</v>
      </c>
      <c r="R58" s="30">
        <f t="shared" si="12"/>
        <v>9.0765552035865227E-4</v>
      </c>
      <c r="S58" s="30">
        <f t="shared" si="12"/>
        <v>0</v>
      </c>
      <c r="T58" s="30">
        <f t="shared" si="12"/>
        <v>8.2829225151681563E-4</v>
      </c>
      <c r="U58" s="63">
        <f t="shared" si="1"/>
        <v>4.4786891659537379E-4</v>
      </c>
    </row>
    <row r="59" spans="1:21">
      <c r="A59" s="28">
        <v>43410</v>
      </c>
      <c r="B59" s="29">
        <v>1223.8000489999999</v>
      </c>
      <c r="C59" s="29">
        <v>14.458000180000001</v>
      </c>
      <c r="D59" s="29">
        <v>62.209999080000003</v>
      </c>
      <c r="E59" s="29">
        <v>6988.8500979999999</v>
      </c>
      <c r="F59" s="29">
        <v>2755.4499510000001</v>
      </c>
      <c r="G59" s="29">
        <v>25635.009770000001</v>
      </c>
      <c r="H59" s="29">
        <v>9.8377113339999998</v>
      </c>
      <c r="I59" s="29">
        <v>7.9787487979999998</v>
      </c>
      <c r="J59" s="29">
        <v>10.513833999999999</v>
      </c>
      <c r="L59" s="30">
        <f t="shared" si="13"/>
        <v>-4.878841893752428E-3</v>
      </c>
      <c r="M59" s="30">
        <f t="shared" si="13"/>
        <v>-9.997254800071631E-3</v>
      </c>
      <c r="N59" s="30">
        <f t="shared" si="13"/>
        <v>-1.4104586554358423E-2</v>
      </c>
      <c r="O59" s="30">
        <f t="shared" si="12"/>
        <v>7.4613786420494321E-3</v>
      </c>
      <c r="P59" s="30">
        <f t="shared" si="12"/>
        <v>6.2592955621174617E-3</v>
      </c>
      <c r="Q59" s="30">
        <f t="shared" si="12"/>
        <v>6.8067157852476079E-3</v>
      </c>
      <c r="R59" s="30">
        <f t="shared" si="12"/>
        <v>-9.0683242889855187E-4</v>
      </c>
      <c r="S59" s="30">
        <f t="shared" si="12"/>
        <v>0</v>
      </c>
      <c r="T59" s="30">
        <f t="shared" si="12"/>
        <v>0</v>
      </c>
      <c r="U59" s="63">
        <f t="shared" si="1"/>
        <v>1.0870204363568135E-4</v>
      </c>
    </row>
    <row r="60" spans="1:21">
      <c r="A60" s="28">
        <v>43411</v>
      </c>
      <c r="B60" s="29">
        <v>1226.1999510000001</v>
      </c>
      <c r="C60" s="29">
        <v>14.527999879999999</v>
      </c>
      <c r="D60" s="29">
        <v>61.66999817</v>
      </c>
      <c r="E60" s="29">
        <v>7203.1298829999996</v>
      </c>
      <c r="F60" s="29">
        <v>2813.889893</v>
      </c>
      <c r="G60" s="29">
        <v>26180.300780000001</v>
      </c>
      <c r="H60" s="29">
        <v>9.8466405869999996</v>
      </c>
      <c r="I60" s="29">
        <v>7.9874892229999999</v>
      </c>
      <c r="J60" s="29">
        <v>10.522541049999999</v>
      </c>
      <c r="L60" s="30">
        <f t="shared" si="13"/>
        <v>1.9610245987169428E-3</v>
      </c>
      <c r="M60" s="30">
        <f t="shared" si="13"/>
        <v>4.841589371179511E-3</v>
      </c>
      <c r="N60" s="30">
        <f t="shared" si="13"/>
        <v>-8.6802912391235054E-3</v>
      </c>
      <c r="O60" s="30">
        <f t="shared" si="12"/>
        <v>3.0660234801905384E-2</v>
      </c>
      <c r="P60" s="30">
        <f t="shared" si="12"/>
        <v>2.1208856280910071E-2</v>
      </c>
      <c r="Q60" s="30">
        <f t="shared" si="12"/>
        <v>2.1271340049892951E-2</v>
      </c>
      <c r="R60" s="30">
        <f t="shared" si="12"/>
        <v>9.0765552035865227E-4</v>
      </c>
      <c r="S60" s="30">
        <f t="shared" si="12"/>
        <v>1.0954631134885151E-3</v>
      </c>
      <c r="T60" s="30">
        <f t="shared" si="12"/>
        <v>8.2815174749772957E-4</v>
      </c>
      <c r="U60" s="63">
        <f t="shared" si="1"/>
        <v>1.115717344842925E-2</v>
      </c>
    </row>
    <row r="61" spans="1:21">
      <c r="A61" s="28">
        <v>43412</v>
      </c>
      <c r="B61" s="29">
        <v>1222.900024</v>
      </c>
      <c r="C61" s="29">
        <v>14.385999679999999</v>
      </c>
      <c r="D61" s="29">
        <v>60.66999817</v>
      </c>
      <c r="E61" s="29">
        <v>7158.5898440000001</v>
      </c>
      <c r="F61" s="29">
        <v>2806.830078</v>
      </c>
      <c r="G61" s="29">
        <v>26191.220700000002</v>
      </c>
      <c r="H61" s="29">
        <v>9.8377113339999998</v>
      </c>
      <c r="I61" s="29">
        <v>7.9787487979999998</v>
      </c>
      <c r="J61" s="29">
        <v>10.513833999999999</v>
      </c>
      <c r="L61" s="30">
        <f t="shared" si="13"/>
        <v>-2.6911818071015947E-3</v>
      </c>
      <c r="M61" s="30">
        <f t="shared" si="13"/>
        <v>-9.7742429221441274E-3</v>
      </c>
      <c r="N61" s="30">
        <f t="shared" si="13"/>
        <v>-1.6215340192542116E-2</v>
      </c>
      <c r="O61" s="30">
        <f t="shared" si="12"/>
        <v>-6.183428554456305E-3</v>
      </c>
      <c r="P61" s="30">
        <f t="shared" si="12"/>
        <v>-2.5089165775684652E-3</v>
      </c>
      <c r="Q61" s="30">
        <f t="shared" si="12"/>
        <v>4.1710445161657894E-4</v>
      </c>
      <c r="R61" s="30">
        <f t="shared" si="12"/>
        <v>-9.0683242889855187E-4</v>
      </c>
      <c r="S61" s="30">
        <f t="shared" si="12"/>
        <v>-1.0942643872159374E-3</v>
      </c>
      <c r="T61" s="30">
        <f t="shared" si="12"/>
        <v>-8.2746647968645615E-4</v>
      </c>
      <c r="U61" s="63">
        <f t="shared" si="1"/>
        <v>-4.5963637961444993E-3</v>
      </c>
    </row>
    <row r="62" spans="1:21">
      <c r="A62" s="28">
        <v>43413</v>
      </c>
      <c r="B62" s="29">
        <v>1206.400024</v>
      </c>
      <c r="C62" s="29">
        <v>14.102999690000001</v>
      </c>
      <c r="D62" s="29">
        <v>60.189998629999998</v>
      </c>
      <c r="E62" s="29">
        <v>7039.1499020000001</v>
      </c>
      <c r="F62" s="29">
        <v>2781.01001</v>
      </c>
      <c r="G62" s="29">
        <v>25989.300780000001</v>
      </c>
      <c r="H62" s="29">
        <v>9.8555641170000001</v>
      </c>
      <c r="I62" s="29">
        <v>7.9874892229999999</v>
      </c>
      <c r="J62" s="29">
        <v>10.531244279999999</v>
      </c>
      <c r="L62" s="30">
        <f t="shared" si="13"/>
        <v>-1.34925175207945E-2</v>
      </c>
      <c r="M62" s="30">
        <f t="shared" si="13"/>
        <v>-1.9671902981718836E-2</v>
      </c>
      <c r="N62" s="30">
        <f t="shared" si="13"/>
        <v>-7.911645862507255E-3</v>
      </c>
      <c r="O62" s="30">
        <f t="shared" si="12"/>
        <v>-1.6684842210943129E-2</v>
      </c>
      <c r="P62" s="30">
        <f t="shared" si="12"/>
        <v>-9.1990135784770777E-3</v>
      </c>
      <c r="Q62" s="30">
        <f t="shared" si="12"/>
        <v>-7.7094505182799811E-3</v>
      </c>
      <c r="R62" s="30">
        <f t="shared" si="12"/>
        <v>1.8147292997203746E-3</v>
      </c>
      <c r="S62" s="30">
        <f t="shared" si="12"/>
        <v>1.0954631134885151E-3</v>
      </c>
      <c r="T62" s="30">
        <f t="shared" si="12"/>
        <v>1.655940164168479E-3</v>
      </c>
      <c r="U62" s="63">
        <f t="shared" si="1"/>
        <v>-8.9550139063051433E-3</v>
      </c>
    </row>
    <row r="63" spans="1:21">
      <c r="A63" s="28">
        <v>43416</v>
      </c>
      <c r="B63" s="29">
        <v>1201.3000489999999</v>
      </c>
      <c r="C63" s="29">
        <v>13.97399998</v>
      </c>
      <c r="D63" s="29">
        <v>59.930000309999997</v>
      </c>
      <c r="E63" s="29">
        <v>6829.1000979999999</v>
      </c>
      <c r="F63" s="29">
        <v>2726.219971</v>
      </c>
      <c r="G63" s="29">
        <v>25387.179690000001</v>
      </c>
      <c r="H63" s="29">
        <v>9.8734188080000003</v>
      </c>
      <c r="I63" s="29">
        <v>7.996226311</v>
      </c>
      <c r="J63" s="29">
        <v>10.557355879999999</v>
      </c>
      <c r="L63" s="30">
        <f t="shared" si="13"/>
        <v>-4.2274327739901807E-3</v>
      </c>
      <c r="M63" s="30">
        <f t="shared" si="13"/>
        <v>-9.1469696401872413E-3</v>
      </c>
      <c r="N63" s="30">
        <f t="shared" si="13"/>
        <v>-4.3196266143527007E-3</v>
      </c>
      <c r="O63" s="30">
        <f t="shared" si="12"/>
        <v>-2.9840223169607438E-2</v>
      </c>
      <c r="P63" s="30">
        <f t="shared" si="12"/>
        <v>-1.970148931610638E-2</v>
      </c>
      <c r="Q63" s="30">
        <f t="shared" si="12"/>
        <v>-2.316803730492667E-2</v>
      </c>
      <c r="R63" s="30">
        <f t="shared" si="12"/>
        <v>1.8116356190309713E-3</v>
      </c>
      <c r="S63" s="30">
        <f t="shared" si="12"/>
        <v>1.0938466088745713E-3</v>
      </c>
      <c r="T63" s="30">
        <f t="shared" si="12"/>
        <v>2.4794411093083113E-3</v>
      </c>
      <c r="U63" s="63">
        <f t="shared" si="1"/>
        <v>-1.169692898804945E-2</v>
      </c>
    </row>
    <row r="64" spans="1:21">
      <c r="A64" s="28">
        <v>43417</v>
      </c>
      <c r="B64" s="29">
        <v>1199.1999510000001</v>
      </c>
      <c r="C64" s="29">
        <v>13.95199966</v>
      </c>
      <c r="D64" s="29">
        <v>55.689998629999998</v>
      </c>
      <c r="E64" s="29">
        <v>6830.9101559999999</v>
      </c>
      <c r="F64" s="29">
        <v>2722.179932</v>
      </c>
      <c r="G64" s="29">
        <v>25286.490229999999</v>
      </c>
      <c r="H64" s="29">
        <v>9.8734188080000003</v>
      </c>
      <c r="I64" s="29">
        <v>8.0049676900000009</v>
      </c>
      <c r="J64" s="29">
        <v>10.548654559999999</v>
      </c>
      <c r="L64" s="30">
        <f t="shared" si="13"/>
        <v>-1.7481877252465416E-3</v>
      </c>
      <c r="M64" s="30">
        <f t="shared" si="13"/>
        <v>-1.5743752706087744E-3</v>
      </c>
      <c r="N64" s="30">
        <f t="shared" si="13"/>
        <v>-7.0749235075383554E-2</v>
      </c>
      <c r="O64" s="30">
        <f t="shared" si="12"/>
        <v>2.6505073494687004E-4</v>
      </c>
      <c r="P64" s="30">
        <f t="shared" si="12"/>
        <v>-1.481919670083709E-3</v>
      </c>
      <c r="Q64" s="30">
        <f t="shared" si="12"/>
        <v>-3.9661538315601819E-3</v>
      </c>
      <c r="R64" s="30">
        <f t="shared" si="12"/>
        <v>0</v>
      </c>
      <c r="S64" s="30">
        <f t="shared" si="12"/>
        <v>1.0931880439621899E-3</v>
      </c>
      <c r="T64" s="30">
        <f t="shared" si="12"/>
        <v>-8.2419500667629819E-4</v>
      </c>
      <c r="U64" s="63">
        <f t="shared" si="1"/>
        <v>-6.1773442840335228E-3</v>
      </c>
    </row>
    <row r="65" spans="1:21">
      <c r="A65" s="28">
        <v>43418</v>
      </c>
      <c r="B65" s="29">
        <v>1207.900024</v>
      </c>
      <c r="C65" s="29">
        <v>14.05500031</v>
      </c>
      <c r="D65" s="29">
        <v>56.25</v>
      </c>
      <c r="E65" s="29">
        <v>6769.8701170000004</v>
      </c>
      <c r="F65" s="29">
        <v>2701.580078</v>
      </c>
      <c r="G65" s="29">
        <v>25080.5</v>
      </c>
      <c r="H65" s="29">
        <v>9.8823471069999993</v>
      </c>
      <c r="I65" s="29">
        <v>8.0049676900000009</v>
      </c>
      <c r="J65" s="29">
        <v>10.557355879999999</v>
      </c>
      <c r="L65" s="30">
        <f t="shared" si="13"/>
        <v>7.2548977280604277E-3</v>
      </c>
      <c r="M65" s="30">
        <f t="shared" si="13"/>
        <v>7.3825008966492689E-3</v>
      </c>
      <c r="N65" s="30">
        <f t="shared" si="13"/>
        <v>1.005569013783969E-2</v>
      </c>
      <c r="O65" s="30">
        <f t="shared" si="12"/>
        <v>-8.935857390304669E-3</v>
      </c>
      <c r="P65" s="30">
        <f t="shared" si="12"/>
        <v>-7.5674108672402207E-3</v>
      </c>
      <c r="Q65" s="30">
        <f t="shared" si="12"/>
        <v>-8.1462562865134425E-3</v>
      </c>
      <c r="R65" s="30">
        <f t="shared" si="12"/>
        <v>9.042763376718721E-4</v>
      </c>
      <c r="S65" s="30">
        <f t="shared" si="12"/>
        <v>0</v>
      </c>
      <c r="T65" s="30">
        <f t="shared" si="12"/>
        <v>8.2487486442062163E-4</v>
      </c>
      <c r="U65" s="63">
        <f t="shared" si="1"/>
        <v>-1.2115224344514282E-3</v>
      </c>
    </row>
    <row r="66" spans="1:21">
      <c r="A66" s="28">
        <v>43419</v>
      </c>
      <c r="B66" s="29">
        <v>1212.8000489999999</v>
      </c>
      <c r="C66" s="29">
        <v>14.23700047</v>
      </c>
      <c r="D66" s="29">
        <v>56.459999080000003</v>
      </c>
      <c r="E66" s="29">
        <v>6890.4501950000003</v>
      </c>
      <c r="F66" s="29">
        <v>2730.1999510000001</v>
      </c>
      <c r="G66" s="29">
        <v>25289.269530000001</v>
      </c>
      <c r="H66" s="29">
        <v>9.8734188080000003</v>
      </c>
      <c r="I66" s="29">
        <v>7.996226311</v>
      </c>
      <c r="J66" s="29">
        <v>10.548654559999999</v>
      </c>
      <c r="L66" s="30">
        <f t="shared" si="13"/>
        <v>4.0566478207140211E-3</v>
      </c>
      <c r="M66" s="30">
        <f t="shared" si="13"/>
        <v>1.2949139522288489E-2</v>
      </c>
      <c r="N66" s="30">
        <f t="shared" si="13"/>
        <v>3.7333169777777897E-3</v>
      </c>
      <c r="O66" s="30">
        <f t="shared" si="12"/>
        <v>1.7811283808415679E-2</v>
      </c>
      <c r="P66" s="30">
        <f t="shared" si="12"/>
        <v>1.0593753349405599E-2</v>
      </c>
      <c r="Q66" s="30">
        <f t="shared" si="12"/>
        <v>8.32397799086948E-3</v>
      </c>
      <c r="R66" s="30">
        <f t="shared" si="12"/>
        <v>-9.0345936074986977E-4</v>
      </c>
      <c r="S66" s="30">
        <f t="shared" si="12"/>
        <v>-1.0919942888615308E-3</v>
      </c>
      <c r="T66" s="30">
        <f t="shared" si="12"/>
        <v>-8.2419500667629819E-4</v>
      </c>
      <c r="U66" s="63">
        <f t="shared" si="1"/>
        <v>7.7950832713578376E-3</v>
      </c>
    </row>
    <row r="67" spans="1:21">
      <c r="A67" s="28">
        <v>43420</v>
      </c>
      <c r="B67" s="29">
        <v>1220.8000489999999</v>
      </c>
      <c r="C67" s="29">
        <v>14.3579998</v>
      </c>
      <c r="D67" s="29">
        <v>56.459999080000003</v>
      </c>
      <c r="E67" s="29">
        <v>6867.0200199999999</v>
      </c>
      <c r="F67" s="29">
        <v>2736.2700199999999</v>
      </c>
      <c r="G67" s="29">
        <v>25413.220700000002</v>
      </c>
      <c r="H67" s="29">
        <v>9.9002027510000001</v>
      </c>
      <c r="I67" s="29">
        <v>8.0224466319999994</v>
      </c>
      <c r="J67" s="29">
        <v>10.574762339999999</v>
      </c>
      <c r="L67" s="30">
        <f t="shared" si="13"/>
        <v>6.5963058020952481E-3</v>
      </c>
      <c r="M67" s="30">
        <f t="shared" si="13"/>
        <v>8.4989341859591505E-3</v>
      </c>
      <c r="N67" s="30">
        <f t="shared" si="13"/>
        <v>0</v>
      </c>
      <c r="O67" s="30">
        <f t="shared" si="12"/>
        <v>-3.4003837683932447E-3</v>
      </c>
      <c r="P67" s="30">
        <f t="shared" si="12"/>
        <v>2.2233056585385658E-3</v>
      </c>
      <c r="Q67" s="30">
        <f t="shared" si="12"/>
        <v>4.901334530558854E-3</v>
      </c>
      <c r="R67" s="30">
        <f t="shared" si="12"/>
        <v>2.7127323899496236E-3</v>
      </c>
      <c r="S67" s="30">
        <f t="shared" si="12"/>
        <v>3.2790869067735873E-3</v>
      </c>
      <c r="T67" s="30">
        <f t="shared" si="12"/>
        <v>2.4749867247524371E-3</v>
      </c>
      <c r="U67" s="63">
        <f t="shared" si="1"/>
        <v>2.8521423066863423E-3</v>
      </c>
    </row>
    <row r="68" spans="1:21">
      <c r="A68" s="28">
        <v>43423</v>
      </c>
      <c r="B68" s="29">
        <v>1223.099976</v>
      </c>
      <c r="C68" s="29">
        <v>14.38099957</v>
      </c>
      <c r="D68" s="29">
        <v>56.759998320000001</v>
      </c>
      <c r="E68" s="29">
        <v>6642.919922</v>
      </c>
      <c r="F68" s="29">
        <v>2690.7299800000001</v>
      </c>
      <c r="G68" s="29">
        <v>25017.439450000002</v>
      </c>
      <c r="H68" s="29">
        <v>9.9002027510000001</v>
      </c>
      <c r="I68" s="29">
        <v>8.0224466319999994</v>
      </c>
      <c r="J68" s="29">
        <v>10.574762339999999</v>
      </c>
      <c r="L68" s="30">
        <f t="shared" si="13"/>
        <v>1.8839506124561645E-3</v>
      </c>
      <c r="M68" s="30">
        <f t="shared" si="13"/>
        <v>1.6018784176330403E-3</v>
      </c>
      <c r="N68" s="30">
        <f t="shared" si="13"/>
        <v>5.3134829062770894E-3</v>
      </c>
      <c r="O68" s="30">
        <f t="shared" si="12"/>
        <v>-3.2634257268409739E-2</v>
      </c>
      <c r="P68" s="30">
        <f t="shared" si="12"/>
        <v>-1.6643108928262818E-2</v>
      </c>
      <c r="Q68" s="30">
        <f t="shared" si="12"/>
        <v>-1.557383279640745E-2</v>
      </c>
      <c r="R68" s="30">
        <f t="shared" si="12"/>
        <v>0</v>
      </c>
      <c r="S68" s="30">
        <f t="shared" si="12"/>
        <v>0</v>
      </c>
      <c r="T68" s="30">
        <f t="shared" si="12"/>
        <v>0</v>
      </c>
      <c r="U68" s="63">
        <f t="shared" ref="U68:U131" si="14">SUMPRODUCT($L$2:$T$2,L68:T68)</f>
        <v>-8.6125317127867997E-3</v>
      </c>
    </row>
    <row r="69" spans="1:21">
      <c r="A69" s="28">
        <v>43424</v>
      </c>
      <c r="B69" s="29">
        <v>1219</v>
      </c>
      <c r="C69" s="29">
        <v>14.24699974</v>
      </c>
      <c r="D69" s="29">
        <v>53.430000309999997</v>
      </c>
      <c r="E69" s="29">
        <v>6526.9599609999996</v>
      </c>
      <c r="F69" s="29">
        <v>2641.889893</v>
      </c>
      <c r="G69" s="29">
        <v>24465.640630000002</v>
      </c>
      <c r="H69" s="29">
        <v>9.8912734990000004</v>
      </c>
      <c r="I69" s="29">
        <v>8.0137100219999997</v>
      </c>
      <c r="J69" s="29">
        <v>10.56605339</v>
      </c>
      <c r="L69" s="30">
        <f t="shared" si="13"/>
        <v>-3.3521184534794912E-3</v>
      </c>
      <c r="M69" s="30">
        <f t="shared" si="13"/>
        <v>-9.3178383983499868E-3</v>
      </c>
      <c r="N69" s="30">
        <f t="shared" si="13"/>
        <v>-5.8668042786510166E-2</v>
      </c>
      <c r="O69" s="30">
        <f t="shared" si="12"/>
        <v>-1.7456173243330042E-2</v>
      </c>
      <c r="P69" s="30">
        <f t="shared" si="12"/>
        <v>-1.8151240504630684E-2</v>
      </c>
      <c r="Q69" s="30">
        <f t="shared" si="12"/>
        <v>-2.205656662436728E-2</v>
      </c>
      <c r="R69" s="30">
        <f t="shared" si="12"/>
        <v>-9.0192617510764794E-4</v>
      </c>
      <c r="S69" s="30">
        <f t="shared" si="12"/>
        <v>-1.0890206442946138E-3</v>
      </c>
      <c r="T69" s="30">
        <f t="shared" si="12"/>
        <v>-8.2355987964444211E-4</v>
      </c>
      <c r="U69" s="63">
        <f t="shared" si="14"/>
        <v>-1.4564059870956988E-2</v>
      </c>
    </row>
    <row r="70" spans="1:21">
      <c r="A70" s="28">
        <v>43425</v>
      </c>
      <c r="B70" s="29">
        <v>1225.8000489999999</v>
      </c>
      <c r="C70" s="29">
        <v>14.47999954</v>
      </c>
      <c r="D70" s="29">
        <v>54.630001069999999</v>
      </c>
      <c r="E70" s="29">
        <v>6575.6601559999999</v>
      </c>
      <c r="F70" s="29">
        <v>2649.929932</v>
      </c>
      <c r="G70" s="29">
        <v>24464.689450000002</v>
      </c>
      <c r="H70" s="29">
        <v>9.8912734990000004</v>
      </c>
      <c r="I70" s="29">
        <v>8.0137100219999997</v>
      </c>
      <c r="J70" s="29">
        <v>10.56605339</v>
      </c>
      <c r="L70" s="30">
        <f t="shared" si="13"/>
        <v>5.5783831009024176E-3</v>
      </c>
      <c r="M70" s="30">
        <f t="shared" si="13"/>
        <v>1.6354306468177038E-2</v>
      </c>
      <c r="N70" s="30">
        <f t="shared" si="13"/>
        <v>2.245930662619533E-2</v>
      </c>
      <c r="O70" s="30">
        <f t="shared" si="12"/>
        <v>7.4613901863953558E-3</v>
      </c>
      <c r="P70" s="30">
        <f t="shared" si="12"/>
        <v>3.0432907220330208E-3</v>
      </c>
      <c r="Q70" s="30">
        <f t="shared" si="12"/>
        <v>-3.8878197157643513E-5</v>
      </c>
      <c r="R70" s="30">
        <f t="shared" si="12"/>
        <v>0</v>
      </c>
      <c r="S70" s="30">
        <f t="shared" si="12"/>
        <v>0</v>
      </c>
      <c r="T70" s="30">
        <f t="shared" si="12"/>
        <v>0</v>
      </c>
      <c r="U70" s="63">
        <f t="shared" si="14"/>
        <v>6.2960129754738381E-3</v>
      </c>
    </row>
    <row r="71" spans="1:21">
      <c r="A71" s="28">
        <v>43427</v>
      </c>
      <c r="B71" s="29">
        <v>1221</v>
      </c>
      <c r="C71" s="29">
        <v>14.22099972</v>
      </c>
      <c r="D71" s="29">
        <v>50.41999817</v>
      </c>
      <c r="E71" s="29">
        <v>6527.3500979999999</v>
      </c>
      <c r="F71" s="29">
        <v>2632.5600589999999</v>
      </c>
      <c r="G71" s="29">
        <v>24285.949219999999</v>
      </c>
      <c r="H71" s="29">
        <v>9.9002027510000001</v>
      </c>
      <c r="I71" s="29">
        <v>8.0137100219999997</v>
      </c>
      <c r="J71" s="29">
        <v>10.574762339999999</v>
      </c>
      <c r="L71" s="30">
        <f t="shared" si="13"/>
        <v>-3.915849900573698E-3</v>
      </c>
      <c r="M71" s="30">
        <f t="shared" si="13"/>
        <v>-1.7886728468777258E-2</v>
      </c>
      <c r="N71" s="30">
        <f t="shared" si="13"/>
        <v>-7.7063935887636603E-2</v>
      </c>
      <c r="O71" s="30">
        <f t="shared" si="12"/>
        <v>-7.346799690662098E-3</v>
      </c>
      <c r="P71" s="30">
        <f t="shared" si="12"/>
        <v>-6.5548423715832138E-3</v>
      </c>
      <c r="Q71" s="30">
        <f t="shared" si="12"/>
        <v>-7.3060494131881315E-3</v>
      </c>
      <c r="R71" s="30">
        <f t="shared" si="12"/>
        <v>9.0274038028592685E-4</v>
      </c>
      <c r="S71" s="30">
        <f t="shared" si="12"/>
        <v>0</v>
      </c>
      <c r="T71" s="30">
        <f t="shared" si="12"/>
        <v>8.2423868956049695E-4</v>
      </c>
      <c r="U71" s="63">
        <f t="shared" si="14"/>
        <v>-1.1738685374846755E-2</v>
      </c>
    </row>
    <row r="72" spans="1:21">
      <c r="A72" s="28">
        <v>43430</v>
      </c>
      <c r="B72" s="29">
        <v>1220.1999510000001</v>
      </c>
      <c r="C72" s="29">
        <v>14.18299961</v>
      </c>
      <c r="D72" s="29">
        <v>51.630001069999999</v>
      </c>
      <c r="E72" s="29">
        <v>6678.3398440000001</v>
      </c>
      <c r="F72" s="29">
        <v>2673.4499510000001</v>
      </c>
      <c r="G72" s="29">
        <v>24640.240229999999</v>
      </c>
      <c r="H72" s="29">
        <v>9.8912734990000004</v>
      </c>
      <c r="I72" s="29">
        <v>8.0137100219999997</v>
      </c>
      <c r="J72" s="29">
        <v>10.56605339</v>
      </c>
      <c r="L72" s="30">
        <f t="shared" si="13"/>
        <v>-6.5524078624079607E-4</v>
      </c>
      <c r="M72" s="30">
        <f t="shared" si="13"/>
        <v>-2.6721124216434466E-3</v>
      </c>
      <c r="N72" s="30">
        <f t="shared" si="13"/>
        <v>2.3998471715930281E-2</v>
      </c>
      <c r="O72" s="30">
        <f t="shared" si="12"/>
        <v>2.3131859595866278E-2</v>
      </c>
      <c r="P72" s="30">
        <f t="shared" si="12"/>
        <v>1.5532368144919984E-2</v>
      </c>
      <c r="Q72" s="30">
        <f t="shared" si="12"/>
        <v>1.4588312229041334E-2</v>
      </c>
      <c r="R72" s="30">
        <f t="shared" si="12"/>
        <v>-9.0192617510764794E-4</v>
      </c>
      <c r="S72" s="30">
        <f t="shared" si="12"/>
        <v>0</v>
      </c>
      <c r="T72" s="30">
        <f t="shared" si="12"/>
        <v>-8.2355987964444211E-4</v>
      </c>
      <c r="U72" s="63">
        <f t="shared" si="14"/>
        <v>9.1626233578095389E-3</v>
      </c>
    </row>
    <row r="73" spans="1:21">
      <c r="A73" s="28">
        <v>43431</v>
      </c>
      <c r="B73" s="29">
        <v>1211.1999510000001</v>
      </c>
      <c r="C73" s="29">
        <v>14.06200027</v>
      </c>
      <c r="D73" s="29">
        <v>51.560001370000002</v>
      </c>
      <c r="E73" s="29">
        <v>6701.0400390000004</v>
      </c>
      <c r="F73" s="29">
        <v>2682.169922</v>
      </c>
      <c r="G73" s="29">
        <v>24748.730469999999</v>
      </c>
      <c r="H73" s="29">
        <v>9.8912734990000004</v>
      </c>
      <c r="I73" s="29">
        <v>8.0137100219999997</v>
      </c>
      <c r="J73" s="29">
        <v>10.56605339</v>
      </c>
      <c r="L73" s="30">
        <f t="shared" si="13"/>
        <v>-7.3758403224194469E-3</v>
      </c>
      <c r="M73" s="30">
        <f t="shared" si="13"/>
        <v>-8.5312940370305679E-3</v>
      </c>
      <c r="N73" s="30">
        <f t="shared" si="13"/>
        <v>-1.3557950522815609E-3</v>
      </c>
      <c r="O73" s="30">
        <f t="shared" si="12"/>
        <v>3.399077544757656E-3</v>
      </c>
      <c r="P73" s="30">
        <f t="shared" si="12"/>
        <v>3.2616922552592964E-3</v>
      </c>
      <c r="Q73" s="30">
        <f t="shared" si="12"/>
        <v>4.4029700598418042E-3</v>
      </c>
      <c r="R73" s="30">
        <f t="shared" si="12"/>
        <v>0</v>
      </c>
      <c r="S73" s="30">
        <f t="shared" si="12"/>
        <v>0</v>
      </c>
      <c r="T73" s="30">
        <f t="shared" si="12"/>
        <v>0</v>
      </c>
      <c r="U73" s="63">
        <f t="shared" si="14"/>
        <v>-2.7721053915419342E-4</v>
      </c>
    </row>
    <row r="74" spans="1:21">
      <c r="A74" s="28">
        <v>43432</v>
      </c>
      <c r="B74" s="29">
        <v>1221.400024</v>
      </c>
      <c r="C74" s="29">
        <v>14.303000450000001</v>
      </c>
      <c r="D74" s="29">
        <v>50.290000919999997</v>
      </c>
      <c r="E74" s="29">
        <v>6913.330078</v>
      </c>
      <c r="F74" s="29">
        <v>2743.790039</v>
      </c>
      <c r="G74" s="29">
        <v>25366.429690000001</v>
      </c>
      <c r="H74" s="29">
        <v>9.8912734990000004</v>
      </c>
      <c r="I74" s="29">
        <v>8.0137100219999997</v>
      </c>
      <c r="J74" s="29">
        <v>10.56605339</v>
      </c>
      <c r="L74" s="30">
        <f t="shared" si="13"/>
        <v>8.4214608757031684E-3</v>
      </c>
      <c r="M74" s="30">
        <f t="shared" si="13"/>
        <v>1.7138399614040178E-2</v>
      </c>
      <c r="N74" s="30">
        <f t="shared" si="13"/>
        <v>-2.4631505357929462E-2</v>
      </c>
      <c r="O74" s="30">
        <f t="shared" si="12"/>
        <v>3.1680162745554963E-2</v>
      </c>
      <c r="P74" s="30">
        <f t="shared" si="12"/>
        <v>2.2973979573244874E-2</v>
      </c>
      <c r="Q74" s="30">
        <f t="shared" si="12"/>
        <v>2.4958824483896969E-2</v>
      </c>
      <c r="R74" s="30">
        <f t="shared" si="12"/>
        <v>0</v>
      </c>
      <c r="S74" s="30">
        <f t="shared" si="12"/>
        <v>0</v>
      </c>
      <c r="T74" s="30">
        <f t="shared" si="12"/>
        <v>0</v>
      </c>
      <c r="U74" s="63">
        <f t="shared" si="14"/>
        <v>1.2683048844494857E-2</v>
      </c>
    </row>
    <row r="75" spans="1:21">
      <c r="A75" s="28">
        <v>43433</v>
      </c>
      <c r="B75" s="29">
        <v>1224.099976</v>
      </c>
      <c r="C75" s="29">
        <v>14.272999759999999</v>
      </c>
      <c r="D75" s="29">
        <v>51.450000760000002</v>
      </c>
      <c r="E75" s="29">
        <v>6892.3999020000001</v>
      </c>
      <c r="F75" s="29">
        <v>2737.8000489999999</v>
      </c>
      <c r="G75" s="29">
        <v>25338.839840000001</v>
      </c>
      <c r="H75" s="29">
        <v>9.9002027510000001</v>
      </c>
      <c r="I75" s="29">
        <v>8.0224466319999994</v>
      </c>
      <c r="J75" s="29">
        <v>10.574762339999999</v>
      </c>
      <c r="L75" s="30">
        <f t="shared" si="13"/>
        <v>2.2105386826158924E-3</v>
      </c>
      <c r="M75" s="30">
        <f t="shared" si="13"/>
        <v>-2.0975102465302653E-3</v>
      </c>
      <c r="N75" s="30">
        <f t="shared" si="13"/>
        <v>2.3066212343986647E-2</v>
      </c>
      <c r="O75" s="30">
        <f t="shared" si="13"/>
        <v>-3.0275100080358053E-3</v>
      </c>
      <c r="P75" s="30">
        <f t="shared" si="13"/>
        <v>-2.1831080056632368E-3</v>
      </c>
      <c r="Q75" s="30">
        <f t="shared" si="13"/>
        <v>-1.0876520794282918E-3</v>
      </c>
      <c r="R75" s="30">
        <f t="shared" si="12"/>
        <v>9.0274038028592685E-4</v>
      </c>
      <c r="S75" s="30">
        <f t="shared" si="12"/>
        <v>1.090207903207796E-3</v>
      </c>
      <c r="T75" s="30">
        <f t="shared" si="12"/>
        <v>8.2423868956049695E-4</v>
      </c>
      <c r="U75" s="63">
        <f t="shared" si="14"/>
        <v>7.4599979481670357E-4</v>
      </c>
    </row>
    <row r="76" spans="1:21">
      <c r="A76" s="28">
        <v>43434</v>
      </c>
      <c r="B76" s="29">
        <v>1220.1999510000001</v>
      </c>
      <c r="C76" s="29">
        <v>14.09399986</v>
      </c>
      <c r="D76" s="29">
        <v>50.930000309999997</v>
      </c>
      <c r="E76" s="29">
        <v>6949.0097660000001</v>
      </c>
      <c r="F76" s="29">
        <v>2760.169922</v>
      </c>
      <c r="G76" s="29">
        <v>25538.460940000001</v>
      </c>
      <c r="H76" s="29">
        <v>9.933310509</v>
      </c>
      <c r="I76" s="29">
        <v>8.040841103</v>
      </c>
      <c r="J76" s="29">
        <v>10.582614899999999</v>
      </c>
      <c r="L76" s="30">
        <f t="shared" si="13"/>
        <v>-3.1860347001591016E-3</v>
      </c>
      <c r="M76" s="30">
        <f t="shared" si="13"/>
        <v>-1.2541154838497603E-2</v>
      </c>
      <c r="N76" s="30">
        <f t="shared" si="13"/>
        <v>-1.0106908499878609E-2</v>
      </c>
      <c r="O76" s="30">
        <f t="shared" si="13"/>
        <v>8.2133748483708136E-3</v>
      </c>
      <c r="P76" s="30">
        <f t="shared" si="13"/>
        <v>8.1707475343828495E-3</v>
      </c>
      <c r="Q76" s="30">
        <f t="shared" si="13"/>
        <v>7.8780678697403239E-3</v>
      </c>
      <c r="R76" s="30">
        <f t="shared" si="12"/>
        <v>3.3441494919541626E-3</v>
      </c>
      <c r="S76" s="30">
        <f t="shared" si="12"/>
        <v>2.2928754585451738E-3</v>
      </c>
      <c r="T76" s="30">
        <f t="shared" si="12"/>
        <v>7.4257555371204376E-4</v>
      </c>
      <c r="U76" s="63">
        <f t="shared" si="14"/>
        <v>1.3518953868319186E-3</v>
      </c>
    </row>
    <row r="77" spans="1:21">
      <c r="A77" s="28">
        <v>43437</v>
      </c>
      <c r="B77" s="29">
        <v>1233.900024</v>
      </c>
      <c r="C77" s="29">
        <v>14.38099957</v>
      </c>
      <c r="D77" s="29">
        <v>52.950000760000002</v>
      </c>
      <c r="E77" s="29">
        <v>7062.1298829999996</v>
      </c>
      <c r="F77" s="29">
        <v>2790.3701169999999</v>
      </c>
      <c r="G77" s="29">
        <v>25826.429690000001</v>
      </c>
      <c r="H77" s="29">
        <v>9.9512128830000002</v>
      </c>
      <c r="I77" s="29">
        <v>8.0495996479999992</v>
      </c>
      <c r="J77" s="29">
        <v>10.60878754</v>
      </c>
      <c r="L77" s="30">
        <f t="shared" si="13"/>
        <v>1.1227727872609838E-2</v>
      </c>
      <c r="M77" s="30">
        <f t="shared" si="13"/>
        <v>2.0363254778689832E-2</v>
      </c>
      <c r="N77" s="30">
        <f t="shared" si="13"/>
        <v>3.9662290157170599E-2</v>
      </c>
      <c r="O77" s="30">
        <f t="shared" si="13"/>
        <v>1.6278595196897117E-2</v>
      </c>
      <c r="P77" s="30">
        <f t="shared" si="13"/>
        <v>1.0941426018481248E-2</v>
      </c>
      <c r="Q77" s="30">
        <f t="shared" si="13"/>
        <v>1.127588505339272E-2</v>
      </c>
      <c r="R77" s="30">
        <f t="shared" si="12"/>
        <v>1.8022565572455296E-3</v>
      </c>
      <c r="S77" s="30">
        <f t="shared" si="12"/>
        <v>1.0892573162193386E-3</v>
      </c>
      <c r="T77" s="30">
        <f t="shared" si="12"/>
        <v>2.473173241898774E-3</v>
      </c>
      <c r="U77" s="63">
        <f t="shared" si="14"/>
        <v>1.2753498703700544E-2</v>
      </c>
    </row>
    <row r="78" spans="1:21">
      <c r="A78" s="28">
        <v>43438</v>
      </c>
      <c r="B78" s="29">
        <v>1241.099976</v>
      </c>
      <c r="C78" s="29">
        <v>14.52099991</v>
      </c>
      <c r="D78" s="29">
        <v>53.25</v>
      </c>
      <c r="E78" s="29">
        <v>6795.2099609999996</v>
      </c>
      <c r="F78" s="29">
        <v>2700.0600589999999</v>
      </c>
      <c r="G78" s="29">
        <v>25027.070309999999</v>
      </c>
      <c r="H78" s="29">
        <v>9.9780549999999995</v>
      </c>
      <c r="I78" s="29">
        <v>8.0671167369999992</v>
      </c>
      <c r="J78" s="29">
        <v>10.62623501</v>
      </c>
      <c r="L78" s="30">
        <f t="shared" si="13"/>
        <v>5.8351178052979957E-3</v>
      </c>
      <c r="M78" s="30">
        <f t="shared" si="13"/>
        <v>9.7350910358173781E-3</v>
      </c>
      <c r="N78" s="30">
        <f t="shared" si="13"/>
        <v>5.6657079451192249E-3</v>
      </c>
      <c r="O78" s="30">
        <f t="shared" si="13"/>
        <v>-3.7795951989290311E-2</v>
      </c>
      <c r="P78" s="30">
        <f t="shared" si="13"/>
        <v>-3.2364902938788132E-2</v>
      </c>
      <c r="Q78" s="30">
        <f t="shared" si="13"/>
        <v>-3.0951215076759686E-2</v>
      </c>
      <c r="R78" s="30">
        <f t="shared" si="12"/>
        <v>2.6973713973956759E-3</v>
      </c>
      <c r="S78" s="30">
        <f t="shared" si="12"/>
        <v>2.1761441271619386E-3</v>
      </c>
      <c r="T78" s="30">
        <f t="shared" si="12"/>
        <v>1.6446243205658906E-3</v>
      </c>
      <c r="U78" s="63">
        <f t="shared" si="14"/>
        <v>-1.252069888765322E-2</v>
      </c>
    </row>
    <row r="79" spans="1:21">
      <c r="A79" s="28">
        <v>43440</v>
      </c>
      <c r="B79" s="29">
        <v>1238.099976</v>
      </c>
      <c r="C79" s="29">
        <v>14.39000034</v>
      </c>
      <c r="D79" s="29">
        <v>51.490001679999999</v>
      </c>
      <c r="E79" s="29">
        <v>6838.8500979999999</v>
      </c>
      <c r="F79" s="29">
        <v>2695.9499510000001</v>
      </c>
      <c r="G79" s="29">
        <v>24947.66992</v>
      </c>
      <c r="H79" s="29">
        <v>9.9870052339999997</v>
      </c>
      <c r="I79" s="29">
        <v>8.0758771899999999</v>
      </c>
      <c r="J79" s="29">
        <v>10.632362369999999</v>
      </c>
      <c r="L79" s="30">
        <f t="shared" si="13"/>
        <v>-2.4172105857812598E-3</v>
      </c>
      <c r="M79" s="30">
        <f t="shared" si="13"/>
        <v>-9.0213877013928245E-3</v>
      </c>
      <c r="N79" s="30">
        <f t="shared" si="13"/>
        <v>-3.305161164319248E-2</v>
      </c>
      <c r="O79" s="30">
        <f t="shared" si="13"/>
        <v>6.4221911096884465E-3</v>
      </c>
      <c r="P79" s="30">
        <f t="shared" si="13"/>
        <v>-1.5222283616617149E-3</v>
      </c>
      <c r="Q79" s="30">
        <f t="shared" si="13"/>
        <v>-3.1725802907212053E-3</v>
      </c>
      <c r="R79" s="30">
        <f t="shared" si="12"/>
        <v>8.9699184861191661E-4</v>
      </c>
      <c r="S79" s="30">
        <f t="shared" si="12"/>
        <v>1.0859459811485284E-3</v>
      </c>
      <c r="T79" s="30">
        <f t="shared" si="12"/>
        <v>5.7662568108396428E-4</v>
      </c>
      <c r="U79" s="63">
        <f t="shared" si="14"/>
        <v>-3.6028252919833711E-3</v>
      </c>
    </row>
    <row r="80" spans="1:21">
      <c r="A80" s="28">
        <v>43441</v>
      </c>
      <c r="B80" s="29">
        <v>1246.8000489999999</v>
      </c>
      <c r="C80" s="29">
        <v>14.571999549999999</v>
      </c>
      <c r="D80" s="29">
        <v>52.61000061</v>
      </c>
      <c r="E80" s="29">
        <v>6613.2797849999997</v>
      </c>
      <c r="F80" s="29">
        <v>2633.080078</v>
      </c>
      <c r="G80" s="29">
        <v>24388.949219999999</v>
      </c>
      <c r="H80" s="29">
        <v>10.0049057</v>
      </c>
      <c r="I80" s="29">
        <v>8.093394279</v>
      </c>
      <c r="J80" s="29">
        <v>10.65863991</v>
      </c>
      <c r="L80" s="30">
        <f t="shared" si="13"/>
        <v>7.0269551479258396E-3</v>
      </c>
      <c r="M80" s="30">
        <f t="shared" si="13"/>
        <v>1.2647616796373162E-2</v>
      </c>
      <c r="N80" s="30">
        <f t="shared" si="13"/>
        <v>2.1751774974888782E-2</v>
      </c>
      <c r="O80" s="30">
        <f t="shared" si="13"/>
        <v>-3.2983660961653061E-2</v>
      </c>
      <c r="P80" s="30">
        <f t="shared" si="13"/>
        <v>-2.332011874948936E-2</v>
      </c>
      <c r="Q80" s="30">
        <f t="shared" si="13"/>
        <v>-2.2395706765066969E-2</v>
      </c>
      <c r="R80" s="30">
        <f t="shared" si="12"/>
        <v>1.7923757503459647E-3</v>
      </c>
      <c r="S80" s="30">
        <f t="shared" si="12"/>
        <v>2.1690633212811949E-3</v>
      </c>
      <c r="T80" s="30">
        <f t="shared" si="12"/>
        <v>2.4714676838089034E-3</v>
      </c>
      <c r="U80" s="63">
        <f t="shared" si="14"/>
        <v>-7.1339209125069573E-3</v>
      </c>
    </row>
    <row r="81" spans="1:21">
      <c r="A81" s="28">
        <v>43444</v>
      </c>
      <c r="B81" s="29">
        <v>1243.6999510000001</v>
      </c>
      <c r="C81" s="29">
        <v>14.477999690000001</v>
      </c>
      <c r="D81" s="29">
        <v>51</v>
      </c>
      <c r="E81" s="29">
        <v>6682.7402339999999</v>
      </c>
      <c r="F81" s="29">
        <v>2637.719971</v>
      </c>
      <c r="G81" s="29">
        <v>24423.259770000001</v>
      </c>
      <c r="H81" s="29">
        <v>10.013851170000001</v>
      </c>
      <c r="I81" s="29">
        <v>8.0846376420000006</v>
      </c>
      <c r="J81" s="29">
        <v>10.65863991</v>
      </c>
      <c r="L81" s="30">
        <f t="shared" si="13"/>
        <v>-2.4864435981425403E-3</v>
      </c>
      <c r="M81" s="30">
        <f t="shared" si="13"/>
        <v>-6.4507180141930576E-3</v>
      </c>
      <c r="N81" s="30">
        <f t="shared" si="13"/>
        <v>-3.0602558284212877E-2</v>
      </c>
      <c r="O81" s="30">
        <f t="shared" si="13"/>
        <v>1.0503177131194086E-2</v>
      </c>
      <c r="P81" s="30">
        <f t="shared" si="13"/>
        <v>1.7621541550396636E-3</v>
      </c>
      <c r="Q81" s="30">
        <f t="shared" si="13"/>
        <v>1.4068072261130826E-3</v>
      </c>
      <c r="R81" s="30">
        <f t="shared" si="12"/>
        <v>8.9410837725334424E-4</v>
      </c>
      <c r="S81" s="30">
        <f t="shared" si="12"/>
        <v>-1.081948648260056E-3</v>
      </c>
      <c r="T81" s="30">
        <f t="shared" si="12"/>
        <v>0</v>
      </c>
      <c r="U81" s="63">
        <f t="shared" si="14"/>
        <v>-1.7474690763175978E-3</v>
      </c>
    </row>
    <row r="82" spans="1:21">
      <c r="A82" s="28">
        <v>43445</v>
      </c>
      <c r="B82" s="29">
        <v>1241.900024</v>
      </c>
      <c r="C82" s="29">
        <v>14.498999599999999</v>
      </c>
      <c r="D82" s="29">
        <v>51.650001529999997</v>
      </c>
      <c r="E82" s="29">
        <v>6704.2402339999999</v>
      </c>
      <c r="F82" s="29">
        <v>2636.780029</v>
      </c>
      <c r="G82" s="29">
        <v>24370.240229999999</v>
      </c>
      <c r="H82" s="29">
        <v>10.0049057</v>
      </c>
      <c r="I82" s="29">
        <v>8.0846376420000006</v>
      </c>
      <c r="J82" s="29">
        <v>10.64988232</v>
      </c>
      <c r="L82" s="30">
        <f t="shared" si="13"/>
        <v>-1.4472357247845569E-3</v>
      </c>
      <c r="M82" s="30">
        <f t="shared" si="13"/>
        <v>1.450470399892545E-3</v>
      </c>
      <c r="N82" s="30">
        <f t="shared" si="13"/>
        <v>1.2745128039215681E-2</v>
      </c>
      <c r="O82" s="30">
        <f t="shared" si="13"/>
        <v>3.2172431139270152E-3</v>
      </c>
      <c r="P82" s="30">
        <f t="shared" si="13"/>
        <v>-3.5634639398196555E-4</v>
      </c>
      <c r="Q82" s="30">
        <f t="shared" si="13"/>
        <v>-2.1708625506708934E-3</v>
      </c>
      <c r="R82" s="30">
        <f t="shared" si="12"/>
        <v>-8.933096616015046E-4</v>
      </c>
      <c r="S82" s="30">
        <f t="shared" si="12"/>
        <v>0</v>
      </c>
      <c r="T82" s="30">
        <f t="shared" si="12"/>
        <v>-8.2164235530501895E-4</v>
      </c>
      <c r="U82" s="63">
        <f t="shared" si="14"/>
        <v>1.1900525904677375E-3</v>
      </c>
    </row>
    <row r="83" spans="1:21">
      <c r="A83" s="28">
        <v>43446</v>
      </c>
      <c r="B83" s="29">
        <v>1244.400024</v>
      </c>
      <c r="C83" s="29">
        <v>14.725000380000001</v>
      </c>
      <c r="D83" s="29">
        <v>51.150001529999997</v>
      </c>
      <c r="E83" s="29">
        <v>6763.9599609999996</v>
      </c>
      <c r="F83" s="29">
        <v>2651.070068</v>
      </c>
      <c r="G83" s="29">
        <v>24527.269530000001</v>
      </c>
      <c r="H83" s="29">
        <v>9.9959535600000002</v>
      </c>
      <c r="I83" s="29">
        <v>8.0846376420000006</v>
      </c>
      <c r="J83" s="29">
        <v>10.64112282</v>
      </c>
      <c r="L83" s="30">
        <f t="shared" si="13"/>
        <v>2.0130444896424571E-3</v>
      </c>
      <c r="M83" s="30">
        <f t="shared" si="13"/>
        <v>1.5587336108347838E-2</v>
      </c>
      <c r="N83" s="30">
        <f t="shared" si="13"/>
        <v>-9.6805418235966778E-3</v>
      </c>
      <c r="O83" s="30">
        <f t="shared" si="13"/>
        <v>8.9077546322304801E-3</v>
      </c>
      <c r="P83" s="30">
        <f t="shared" si="13"/>
        <v>5.4195036532567187E-3</v>
      </c>
      <c r="Q83" s="30">
        <f t="shared" si="13"/>
        <v>6.4434859286572888E-3</v>
      </c>
      <c r="R83" s="30">
        <f t="shared" si="12"/>
        <v>-8.9477505020363335E-4</v>
      </c>
      <c r="S83" s="30">
        <f t="shared" si="12"/>
        <v>0</v>
      </c>
      <c r="T83" s="30">
        <f t="shared" si="12"/>
        <v>-8.2249735131345592E-4</v>
      </c>
      <c r="U83" s="63">
        <f t="shared" si="14"/>
        <v>4.5138406853134803E-3</v>
      </c>
    </row>
    <row r="84" spans="1:21">
      <c r="A84" s="28">
        <v>43447</v>
      </c>
      <c r="B84" s="29">
        <v>1242.6999510000001</v>
      </c>
      <c r="C84" s="29">
        <v>14.72900009</v>
      </c>
      <c r="D84" s="29">
        <v>52.58000183</v>
      </c>
      <c r="E84" s="29">
        <v>6767.9702150000003</v>
      </c>
      <c r="F84" s="29">
        <v>2650.540039</v>
      </c>
      <c r="G84" s="29">
        <v>24597.380860000001</v>
      </c>
      <c r="H84" s="29">
        <v>9.9959535600000002</v>
      </c>
      <c r="I84" s="29">
        <v>8.0846376420000006</v>
      </c>
      <c r="J84" s="29">
        <v>10.64988232</v>
      </c>
      <c r="L84" s="30">
        <f t="shared" si="13"/>
        <v>-1.3661788550399789E-3</v>
      </c>
      <c r="M84" s="30">
        <f t="shared" si="13"/>
        <v>2.7162715767614642E-4</v>
      </c>
      <c r="N84" s="30">
        <f t="shared" si="13"/>
        <v>2.795699427616416E-2</v>
      </c>
      <c r="O84" s="30">
        <f t="shared" si="13"/>
        <v>5.9288553201430894E-4</v>
      </c>
      <c r="P84" s="30">
        <f t="shared" si="13"/>
        <v>-1.9993021172759473E-4</v>
      </c>
      <c r="Q84" s="30">
        <f t="shared" si="13"/>
        <v>2.8585053022003315E-3</v>
      </c>
      <c r="R84" s="30">
        <f t="shared" si="12"/>
        <v>0</v>
      </c>
      <c r="S84" s="30">
        <f t="shared" si="12"/>
        <v>0</v>
      </c>
      <c r="T84" s="30">
        <f t="shared" si="12"/>
        <v>8.2317441008550318E-4</v>
      </c>
      <c r="U84" s="63">
        <f t="shared" si="14"/>
        <v>2.2459199965627228E-3</v>
      </c>
    </row>
    <row r="85" spans="1:21">
      <c r="A85" s="28">
        <v>43448</v>
      </c>
      <c r="B85" s="29">
        <v>1237</v>
      </c>
      <c r="C85" s="29">
        <v>14.51299953</v>
      </c>
      <c r="D85" s="29">
        <v>51.200000760000002</v>
      </c>
      <c r="E85" s="29">
        <v>6594.9599609999996</v>
      </c>
      <c r="F85" s="29">
        <v>2599.9499510000001</v>
      </c>
      <c r="G85" s="29">
        <v>24100.509770000001</v>
      </c>
      <c r="H85" s="29">
        <v>10.0049057</v>
      </c>
      <c r="I85" s="29">
        <v>8.093394279</v>
      </c>
      <c r="J85" s="29">
        <v>10.65863991</v>
      </c>
      <c r="L85" s="30">
        <f t="shared" si="13"/>
        <v>-4.5867475857009898E-3</v>
      </c>
      <c r="M85" s="30">
        <f t="shared" si="13"/>
        <v>-1.4664984634405021E-2</v>
      </c>
      <c r="N85" s="30">
        <f t="shared" si="13"/>
        <v>-2.6245740242873628E-2</v>
      </c>
      <c r="O85" s="30">
        <f t="shared" si="13"/>
        <v>-2.5563093291479655E-2</v>
      </c>
      <c r="P85" s="30">
        <f t="shared" si="13"/>
        <v>-1.9086709597145535E-2</v>
      </c>
      <c r="Q85" s="30">
        <f t="shared" si="13"/>
        <v>-2.0200162481852191E-2</v>
      </c>
      <c r="R85" s="30">
        <f t="shared" si="12"/>
        <v>8.9557638961257346E-4</v>
      </c>
      <c r="S85" s="30">
        <f t="shared" si="12"/>
        <v>1.0831205290522394E-3</v>
      </c>
      <c r="T85" s="30">
        <f t="shared" si="12"/>
        <v>8.2231800660870213E-4</v>
      </c>
      <c r="U85" s="63">
        <f t="shared" si="14"/>
        <v>-1.3653755966770008E-2</v>
      </c>
    </row>
    <row r="86" spans="1:21">
      <c r="A86" s="28">
        <v>43451</v>
      </c>
      <c r="B86" s="29">
        <v>1247.400024</v>
      </c>
      <c r="C86" s="29">
        <v>14.63899994</v>
      </c>
      <c r="D86" s="29">
        <v>49.880001069999999</v>
      </c>
      <c r="E86" s="29">
        <v>6448.3901370000003</v>
      </c>
      <c r="F86" s="29">
        <v>2545.9399410000001</v>
      </c>
      <c r="G86" s="29">
        <v>23592.980469999999</v>
      </c>
      <c r="H86" s="29">
        <v>10.03175163</v>
      </c>
      <c r="I86" s="29">
        <v>8.1021556849999996</v>
      </c>
      <c r="J86" s="29">
        <v>10.67615986</v>
      </c>
      <c r="L86" s="30">
        <f t="shared" si="13"/>
        <v>8.407456750202158E-3</v>
      </c>
      <c r="M86" s="30">
        <f t="shared" si="13"/>
        <v>8.6818999573137212E-3</v>
      </c>
      <c r="N86" s="30">
        <f t="shared" si="13"/>
        <v>-2.5781243562622236E-2</v>
      </c>
      <c r="O86" s="30">
        <f t="shared" si="13"/>
        <v>-2.2224520674387072E-2</v>
      </c>
      <c r="P86" s="30">
        <f t="shared" si="13"/>
        <v>-2.077348065074347E-2</v>
      </c>
      <c r="Q86" s="30">
        <f t="shared" si="13"/>
        <v>-2.1058861610959267E-2</v>
      </c>
      <c r="R86" s="30">
        <f t="shared" si="12"/>
        <v>2.683276664966483E-3</v>
      </c>
      <c r="S86" s="30">
        <f t="shared" si="12"/>
        <v>1.0825378942347363E-3</v>
      </c>
      <c r="T86" s="30">
        <f t="shared" si="12"/>
        <v>1.6437322348756833E-3</v>
      </c>
      <c r="U86" s="63">
        <f t="shared" si="14"/>
        <v>-9.3829441188195972E-3</v>
      </c>
    </row>
    <row r="87" spans="1:21">
      <c r="A87" s="28">
        <v>43452</v>
      </c>
      <c r="B87" s="29">
        <v>1249.1999510000001</v>
      </c>
      <c r="C87" s="29">
        <v>14.585000040000001</v>
      </c>
      <c r="D87" s="29">
        <v>46.240001679999999</v>
      </c>
      <c r="E87" s="29">
        <v>6491.5200199999999</v>
      </c>
      <c r="F87" s="29">
        <v>2546.1599120000001</v>
      </c>
      <c r="G87" s="29">
        <v>23675.640630000002</v>
      </c>
      <c r="H87" s="29">
        <v>10.04964638</v>
      </c>
      <c r="I87" s="29">
        <v>8.1196746829999995</v>
      </c>
      <c r="J87" s="29">
        <v>10.70243073</v>
      </c>
      <c r="L87" s="30">
        <f t="shared" si="13"/>
        <v>1.4429428935140987E-3</v>
      </c>
      <c r="M87" s="30">
        <f t="shared" si="13"/>
        <v>-3.6887697398269026E-3</v>
      </c>
      <c r="N87" s="30">
        <f t="shared" si="13"/>
        <v>-7.2975126542033197E-2</v>
      </c>
      <c r="O87" s="30">
        <f t="shared" si="13"/>
        <v>6.6884729496321516E-3</v>
      </c>
      <c r="P87" s="30">
        <f t="shared" si="13"/>
        <v>8.6400702725697442E-5</v>
      </c>
      <c r="Q87" s="30">
        <f t="shared" si="13"/>
        <v>3.5035912527079383E-3</v>
      </c>
      <c r="R87" s="30">
        <f t="shared" si="12"/>
        <v>1.7838111089678588E-3</v>
      </c>
      <c r="S87" s="30">
        <f t="shared" si="12"/>
        <v>2.1622638074498823E-3</v>
      </c>
      <c r="T87" s="30">
        <f t="shared" si="12"/>
        <v>2.4607040681761116E-3</v>
      </c>
      <c r="U87" s="63">
        <f t="shared" si="14"/>
        <v>-4.5376035744895656E-3</v>
      </c>
    </row>
    <row r="88" spans="1:21">
      <c r="A88" s="28">
        <v>43453</v>
      </c>
      <c r="B88" s="29">
        <v>1252.099976</v>
      </c>
      <c r="C88" s="29">
        <v>14.70199966</v>
      </c>
      <c r="D88" s="29">
        <v>47.200000760000002</v>
      </c>
      <c r="E88" s="29">
        <v>6342.9702150000003</v>
      </c>
      <c r="F88" s="29">
        <v>2506.959961</v>
      </c>
      <c r="G88" s="29">
        <v>23323.660159999999</v>
      </c>
      <c r="H88" s="29">
        <v>10.076495169999999</v>
      </c>
      <c r="I88" s="29">
        <v>8.1371898649999999</v>
      </c>
      <c r="J88" s="29">
        <v>10.71994686</v>
      </c>
      <c r="L88" s="30">
        <f t="shared" si="13"/>
        <v>2.3215058547501055E-3</v>
      </c>
      <c r="M88" s="30">
        <f t="shared" si="13"/>
        <v>8.0219142735085125E-3</v>
      </c>
      <c r="N88" s="30">
        <f t="shared" si="13"/>
        <v>2.0761225024246155E-2</v>
      </c>
      <c r="O88" s="30">
        <f t="shared" si="13"/>
        <v>-2.2883670471989026E-2</v>
      </c>
      <c r="P88" s="30">
        <f t="shared" si="13"/>
        <v>-1.5395714469955912E-2</v>
      </c>
      <c r="Q88" s="30">
        <f t="shared" si="13"/>
        <v>-1.4866777017809585E-2</v>
      </c>
      <c r="R88" s="30">
        <f t="shared" si="12"/>
        <v>2.6716153966801492E-3</v>
      </c>
      <c r="S88" s="30">
        <f t="shared" si="12"/>
        <v>2.1571285407124829E-3</v>
      </c>
      <c r="T88" s="30">
        <f t="shared" si="12"/>
        <v>1.6366496959332455E-3</v>
      </c>
      <c r="U88" s="63">
        <f t="shared" si="14"/>
        <v>-4.3859289522911703E-3</v>
      </c>
    </row>
    <row r="89" spans="1:21">
      <c r="A89" s="28">
        <v>43454</v>
      </c>
      <c r="B89" s="29">
        <v>1263.599976</v>
      </c>
      <c r="C89" s="29">
        <v>14.75300026</v>
      </c>
      <c r="D89" s="29">
        <v>45.880001069999999</v>
      </c>
      <c r="E89" s="29">
        <v>6243.1899409999996</v>
      </c>
      <c r="F89" s="29">
        <v>2467.419922</v>
      </c>
      <c r="G89" s="29">
        <v>22859.599610000001</v>
      </c>
      <c r="H89" s="29">
        <v>10.04964638</v>
      </c>
      <c r="I89" s="29">
        <v>8.1196746829999995</v>
      </c>
      <c r="J89" s="29">
        <v>10.693673130000001</v>
      </c>
      <c r="L89" s="30">
        <f t="shared" si="13"/>
        <v>9.1845700985782042E-3</v>
      </c>
      <c r="M89" s="30">
        <f t="shared" si="13"/>
        <v>3.4689566847669884E-3</v>
      </c>
      <c r="N89" s="30">
        <f t="shared" si="13"/>
        <v>-2.796609467681721E-2</v>
      </c>
      <c r="O89" s="30">
        <f t="shared" si="13"/>
        <v>-1.5730843850415344E-2</v>
      </c>
      <c r="P89" s="30">
        <f t="shared" si="13"/>
        <v>-1.5772106302099798E-2</v>
      </c>
      <c r="Q89" s="30">
        <f t="shared" si="13"/>
        <v>-1.9896557693627415E-2</v>
      </c>
      <c r="R89" s="30">
        <f t="shared" si="12"/>
        <v>-2.6644968857757467E-3</v>
      </c>
      <c r="S89" s="30">
        <f t="shared" si="12"/>
        <v>-2.1524853531238453E-3</v>
      </c>
      <c r="T89" s="30">
        <f t="shared" si="12"/>
        <v>-2.4509197986826159E-3</v>
      </c>
      <c r="U89" s="63">
        <f t="shared" si="14"/>
        <v>-8.9662104756967256E-3</v>
      </c>
    </row>
    <row r="90" spans="1:21">
      <c r="A90" s="28">
        <v>43455</v>
      </c>
      <c r="B90" s="29">
        <v>1253.8000489999999</v>
      </c>
      <c r="C90" s="29">
        <v>14.583000180000001</v>
      </c>
      <c r="D90" s="29">
        <v>45.590000150000002</v>
      </c>
      <c r="E90" s="29">
        <v>6046.5600590000004</v>
      </c>
      <c r="F90" s="29">
        <v>2416.6201169999999</v>
      </c>
      <c r="G90" s="29">
        <v>22445.369139999999</v>
      </c>
      <c r="H90" s="29">
        <v>10.04964638</v>
      </c>
      <c r="I90" s="29">
        <v>8.1196746829999995</v>
      </c>
      <c r="J90" s="29">
        <v>10.70243073</v>
      </c>
      <c r="L90" s="30">
        <f t="shared" si="13"/>
        <v>-7.755561242587472E-3</v>
      </c>
      <c r="M90" s="30">
        <f t="shared" si="13"/>
        <v>-1.1523085271063382E-2</v>
      </c>
      <c r="N90" s="30">
        <f t="shared" si="13"/>
        <v>-6.3208568708953417E-3</v>
      </c>
      <c r="O90" s="30">
        <f t="shared" si="13"/>
        <v>-3.1495098476613692E-2</v>
      </c>
      <c r="P90" s="30">
        <f t="shared" si="13"/>
        <v>-2.0588228435321931E-2</v>
      </c>
      <c r="Q90" s="30">
        <f t="shared" si="13"/>
        <v>-1.8120635403377605E-2</v>
      </c>
      <c r="R90" s="30">
        <f t="shared" si="13"/>
        <v>0</v>
      </c>
      <c r="S90" s="30">
        <f t="shared" si="13"/>
        <v>0</v>
      </c>
      <c r="T90" s="30">
        <f t="shared" si="13"/>
        <v>8.1895153269928578E-4</v>
      </c>
      <c r="U90" s="63">
        <f t="shared" si="14"/>
        <v>-1.3109081947264477E-2</v>
      </c>
    </row>
    <row r="91" spans="1:21">
      <c r="A91" s="28">
        <v>43458</v>
      </c>
      <c r="B91" s="29">
        <v>1267.5</v>
      </c>
      <c r="C91" s="29">
        <v>14.70100021</v>
      </c>
      <c r="D91" s="29">
        <v>42.52999878</v>
      </c>
      <c r="E91" s="29">
        <v>5899.3500979999999</v>
      </c>
      <c r="F91" s="29">
        <v>2351.1000979999999</v>
      </c>
      <c r="G91" s="29">
        <v>21792.199219999999</v>
      </c>
      <c r="H91" s="29">
        <v>10.067544939999999</v>
      </c>
      <c r="I91" s="29">
        <v>8.1284332280000005</v>
      </c>
      <c r="J91" s="29">
        <v>10.71994686</v>
      </c>
      <c r="L91" s="30">
        <f t="shared" si="13"/>
        <v>1.0926743072730671E-2</v>
      </c>
      <c r="M91" s="30">
        <f t="shared" si="13"/>
        <v>8.0916154799086648E-3</v>
      </c>
      <c r="N91" s="30">
        <f t="shared" si="13"/>
        <v>-6.7120012281903896E-2</v>
      </c>
      <c r="O91" s="30">
        <f t="shared" si="13"/>
        <v>-2.4346067774665636E-2</v>
      </c>
      <c r="P91" s="30">
        <f t="shared" si="13"/>
        <v>-2.7112254234371247E-2</v>
      </c>
      <c r="Q91" s="30">
        <f t="shared" si="13"/>
        <v>-2.9100431181413811E-2</v>
      </c>
      <c r="R91" s="30">
        <f t="shared" si="13"/>
        <v>1.7810139106604339E-3</v>
      </c>
      <c r="S91" s="30">
        <f t="shared" si="13"/>
        <v>1.0786817627481682E-3</v>
      </c>
      <c r="T91" s="30">
        <f t="shared" si="13"/>
        <v>1.6366496959332455E-3</v>
      </c>
      <c r="U91" s="63">
        <f t="shared" si="14"/>
        <v>-1.4939566118442889E-2</v>
      </c>
    </row>
    <row r="92" spans="1:21">
      <c r="A92" s="28">
        <v>43460</v>
      </c>
      <c r="B92" s="29">
        <v>1269.1999510000001</v>
      </c>
      <c r="C92" s="29">
        <v>15.00399971</v>
      </c>
      <c r="D92" s="29">
        <v>46.22000122</v>
      </c>
      <c r="E92" s="29">
        <v>6262.7700199999999</v>
      </c>
      <c r="F92" s="29">
        <v>2467.6999510000001</v>
      </c>
      <c r="G92" s="29">
        <v>22878.449219999999</v>
      </c>
      <c r="H92" s="29">
        <v>10.03175163</v>
      </c>
      <c r="I92" s="29">
        <v>8.1109142300000006</v>
      </c>
      <c r="J92" s="29">
        <v>10.6849165</v>
      </c>
      <c r="L92" s="30">
        <f t="shared" si="13"/>
        <v>1.3411842209072322E-3</v>
      </c>
      <c r="M92" s="30">
        <f t="shared" si="13"/>
        <v>2.0610808494097688E-2</v>
      </c>
      <c r="N92" s="30">
        <f t="shared" si="13"/>
        <v>8.6762345305668065E-2</v>
      </c>
      <c r="O92" s="30">
        <f t="shared" si="13"/>
        <v>6.160338273926258E-2</v>
      </c>
      <c r="P92" s="30">
        <f t="shared" si="13"/>
        <v>4.9593742562976217E-2</v>
      </c>
      <c r="Q92" s="30">
        <f t="shared" si="13"/>
        <v>4.984581817713396E-2</v>
      </c>
      <c r="R92" s="30">
        <f t="shared" si="13"/>
        <v>-3.5553166351198762E-3</v>
      </c>
      <c r="S92" s="30">
        <f t="shared" si="13"/>
        <v>-2.1552736558937413E-3</v>
      </c>
      <c r="T92" s="30">
        <f t="shared" si="13"/>
        <v>-3.2677736613332398E-3</v>
      </c>
      <c r="U92" s="63">
        <f t="shared" si="14"/>
        <v>3.2951577266181378E-2</v>
      </c>
    </row>
    <row r="93" spans="1:21">
      <c r="A93" s="28">
        <v>43461</v>
      </c>
      <c r="B93" s="29">
        <v>1277.3000489999999</v>
      </c>
      <c r="C93" s="29">
        <v>15.190999980000001</v>
      </c>
      <c r="D93" s="29">
        <v>44.61000061</v>
      </c>
      <c r="E93" s="29">
        <v>6288.2998049999997</v>
      </c>
      <c r="F93" s="29">
        <v>2488.830078</v>
      </c>
      <c r="G93" s="29">
        <v>23138.820309999999</v>
      </c>
      <c r="H93" s="29">
        <v>10.04069805</v>
      </c>
      <c r="I93" s="29">
        <v>8.1284332280000005</v>
      </c>
      <c r="J93" s="29">
        <v>10.693673130000001</v>
      </c>
      <c r="L93" s="30">
        <f t="shared" si="13"/>
        <v>6.3820503566973663E-3</v>
      </c>
      <c r="M93" s="30">
        <f t="shared" si="13"/>
        <v>1.2463361344599688E-2</v>
      </c>
      <c r="N93" s="30">
        <f t="shared" si="13"/>
        <v>-3.4833417730489646E-2</v>
      </c>
      <c r="O93" s="30">
        <f t="shared" si="13"/>
        <v>4.0764366116703421E-3</v>
      </c>
      <c r="P93" s="30">
        <f t="shared" si="13"/>
        <v>8.562680803813727E-3</v>
      </c>
      <c r="Q93" s="30">
        <f t="shared" si="13"/>
        <v>1.1380626697913954E-2</v>
      </c>
      <c r="R93" s="30">
        <f t="shared" si="13"/>
        <v>8.9181035675212073E-4</v>
      </c>
      <c r="S93" s="30">
        <f t="shared" si="13"/>
        <v>2.159928893737062E-3</v>
      </c>
      <c r="T93" s="30">
        <f t="shared" si="13"/>
        <v>8.1953190743244697E-4</v>
      </c>
      <c r="U93" s="63">
        <f t="shared" si="14"/>
        <v>3.4426078464563073E-3</v>
      </c>
    </row>
    <row r="94" spans="1:21">
      <c r="A94" s="28">
        <v>43462</v>
      </c>
      <c r="B94" s="29">
        <v>1279.900024</v>
      </c>
      <c r="C94" s="29">
        <v>15.32600021</v>
      </c>
      <c r="D94" s="29">
        <v>45.33000183</v>
      </c>
      <c r="E94" s="29">
        <v>6285.2700199999999</v>
      </c>
      <c r="F94" s="29">
        <v>2485.73999</v>
      </c>
      <c r="G94" s="29">
        <v>23062.400389999999</v>
      </c>
      <c r="H94" s="29">
        <v>10.076495169999999</v>
      </c>
      <c r="I94" s="29">
        <v>8.1284332280000005</v>
      </c>
      <c r="J94" s="29">
        <v>10.72870827</v>
      </c>
      <c r="L94" s="30">
        <f t="shared" si="13"/>
        <v>2.0355240744220904E-3</v>
      </c>
      <c r="M94" s="30">
        <f t="shared" si="13"/>
        <v>8.8868560448776002E-3</v>
      </c>
      <c r="N94" s="30">
        <f t="shared" si="13"/>
        <v>1.613990607833804E-2</v>
      </c>
      <c r="O94" s="30">
        <f t="shared" si="13"/>
        <v>-4.8181306457284467E-4</v>
      </c>
      <c r="P94" s="30">
        <f t="shared" si="13"/>
        <v>-1.2415825521053803E-3</v>
      </c>
      <c r="Q94" s="30">
        <f t="shared" si="13"/>
        <v>-3.3026713970795152E-3</v>
      </c>
      <c r="R94" s="30">
        <f t="shared" si="13"/>
        <v>3.5652023217649376E-3</v>
      </c>
      <c r="S94" s="30">
        <f t="shared" si="13"/>
        <v>0</v>
      </c>
      <c r="T94" s="30">
        <f t="shared" si="13"/>
        <v>3.2762493835454265E-3</v>
      </c>
      <c r="U94" s="63">
        <f t="shared" si="14"/>
        <v>2.6068399956721625E-3</v>
      </c>
    </row>
    <row r="95" spans="1:21">
      <c r="A95" s="28">
        <v>43465</v>
      </c>
      <c r="B95" s="29">
        <v>1278.3000489999999</v>
      </c>
      <c r="C95" s="29">
        <v>15.43299961</v>
      </c>
      <c r="D95" s="29">
        <v>45.409999849999998</v>
      </c>
      <c r="E95" s="29">
        <v>6329.9702150000003</v>
      </c>
      <c r="F95" s="29">
        <v>2506.8500979999999</v>
      </c>
      <c r="G95" s="29">
        <v>23327.460940000001</v>
      </c>
      <c r="H95" s="29">
        <v>10.118655199999999</v>
      </c>
      <c r="I95" s="29">
        <v>8.1653070450000005</v>
      </c>
      <c r="J95" s="29">
        <v>10.7462225</v>
      </c>
      <c r="L95" s="30">
        <f t="shared" si="13"/>
        <v>-1.2500781076633105E-3</v>
      </c>
      <c r="M95" s="30">
        <f t="shared" si="13"/>
        <v>6.9815606507810379E-3</v>
      </c>
      <c r="N95" s="30">
        <f t="shared" si="13"/>
        <v>1.764791898752005E-3</v>
      </c>
      <c r="O95" s="30">
        <f t="shared" si="13"/>
        <v>7.1118973182953127E-3</v>
      </c>
      <c r="P95" s="30">
        <f t="shared" si="13"/>
        <v>8.4924843647866677E-3</v>
      </c>
      <c r="Q95" s="30">
        <f t="shared" si="13"/>
        <v>1.1493190020017696E-2</v>
      </c>
      <c r="R95" s="30">
        <f t="shared" si="13"/>
        <v>4.1839974404513924E-3</v>
      </c>
      <c r="S95" s="30">
        <f t="shared" si="13"/>
        <v>4.5363990778666263E-3</v>
      </c>
      <c r="T95" s="30">
        <f t="shared" si="13"/>
        <v>1.6324639983895661E-3</v>
      </c>
      <c r="U95" s="63">
        <f t="shared" si="14"/>
        <v>5.7909151585881554E-3</v>
      </c>
    </row>
    <row r="96" spans="1:21">
      <c r="A96" s="28">
        <v>43467</v>
      </c>
      <c r="B96" s="29">
        <v>1281</v>
      </c>
      <c r="C96" s="29">
        <v>15.541999819999999</v>
      </c>
      <c r="D96" s="29">
        <v>46.540000919999997</v>
      </c>
      <c r="E96" s="29">
        <v>6360.8701170000004</v>
      </c>
      <c r="F96" s="29">
        <v>2510.030029</v>
      </c>
      <c r="G96" s="29">
        <v>23346.240229999999</v>
      </c>
      <c r="H96" s="29">
        <v>10.12762642</v>
      </c>
      <c r="I96" s="29">
        <v>8.1740903849999995</v>
      </c>
      <c r="J96" s="29">
        <v>10.76373959</v>
      </c>
      <c r="L96" s="30">
        <f t="shared" si="13"/>
        <v>2.1121418262575187E-3</v>
      </c>
      <c r="M96" s="30">
        <f t="shared" si="13"/>
        <v>7.0628013188940297E-3</v>
      </c>
      <c r="N96" s="30">
        <f t="shared" si="13"/>
        <v>2.4884410344255814E-2</v>
      </c>
      <c r="O96" s="30">
        <f t="shared" si="13"/>
        <v>4.8815240752282385E-3</v>
      </c>
      <c r="P96" s="30">
        <f t="shared" si="13"/>
        <v>1.2684966694007649E-3</v>
      </c>
      <c r="Q96" s="30">
        <f t="shared" si="13"/>
        <v>8.0502931923454035E-4</v>
      </c>
      <c r="R96" s="30">
        <f t="shared" si="13"/>
        <v>8.8660200616397233E-4</v>
      </c>
      <c r="S96" s="30">
        <f t="shared" si="13"/>
        <v>1.0756901059070234E-3</v>
      </c>
      <c r="T96" s="30">
        <f t="shared" si="13"/>
        <v>1.63006954304179E-3</v>
      </c>
      <c r="U96" s="63">
        <f t="shared" si="14"/>
        <v>4.3815348787115014E-3</v>
      </c>
    </row>
    <row r="97" spans="1:21">
      <c r="A97" s="28">
        <v>43468</v>
      </c>
      <c r="B97" s="29">
        <v>1291.8000489999999</v>
      </c>
      <c r="C97" s="29">
        <v>15.70600033</v>
      </c>
      <c r="D97" s="29">
        <v>47.090000150000002</v>
      </c>
      <c r="E97" s="29">
        <v>6147.1298829999996</v>
      </c>
      <c r="F97" s="29">
        <v>2447.889893</v>
      </c>
      <c r="G97" s="29">
        <v>22686.220700000002</v>
      </c>
      <c r="H97" s="29">
        <v>10.18144989</v>
      </c>
      <c r="I97" s="29">
        <v>8.2092084879999998</v>
      </c>
      <c r="J97" s="29">
        <v>10.80753136</v>
      </c>
      <c r="L97" s="30">
        <f t="shared" si="13"/>
        <v>8.4309516003122642E-3</v>
      </c>
      <c r="M97" s="30">
        <f t="shared" si="13"/>
        <v>1.0552085439414327E-2</v>
      </c>
      <c r="N97" s="30">
        <f t="shared" si="13"/>
        <v>1.181777436887943E-2</v>
      </c>
      <c r="O97" s="30">
        <f t="shared" si="13"/>
        <v>-3.3602357864336962E-2</v>
      </c>
      <c r="P97" s="30">
        <f t="shared" si="13"/>
        <v>-2.4756730111614167E-2</v>
      </c>
      <c r="Q97" s="30">
        <f t="shared" si="13"/>
        <v>-2.8270913153368049E-2</v>
      </c>
      <c r="R97" s="30">
        <f t="shared" si="13"/>
        <v>5.3145196878223722E-3</v>
      </c>
      <c r="S97" s="30">
        <f t="shared" si="13"/>
        <v>4.2962704528499707E-3</v>
      </c>
      <c r="T97" s="30">
        <f t="shared" si="13"/>
        <v>4.0684531276364844E-3</v>
      </c>
      <c r="U97" s="63">
        <f t="shared" si="14"/>
        <v>-8.2453019955469001E-3</v>
      </c>
    </row>
    <row r="98" spans="1:21">
      <c r="A98" s="28">
        <v>43469</v>
      </c>
      <c r="B98" s="29">
        <v>1282.6999510000001</v>
      </c>
      <c r="C98" s="29">
        <v>15.69499969</v>
      </c>
      <c r="D98" s="29">
        <v>47.959999080000003</v>
      </c>
      <c r="E98" s="29">
        <v>6422.669922</v>
      </c>
      <c r="F98" s="29">
        <v>2531.9399410000001</v>
      </c>
      <c r="G98" s="29">
        <v>23433.160159999999</v>
      </c>
      <c r="H98" s="29">
        <v>10.12762642</v>
      </c>
      <c r="I98" s="29">
        <v>8.1740903849999995</v>
      </c>
      <c r="J98" s="29">
        <v>10.76373959</v>
      </c>
      <c r="L98" s="30">
        <f t="shared" si="13"/>
        <v>-7.0445097188566175E-3</v>
      </c>
      <c r="M98" s="30">
        <f t="shared" si="13"/>
        <v>-7.0041001966547611E-4</v>
      </c>
      <c r="N98" s="30">
        <f t="shared" si="13"/>
        <v>1.8475237358859919E-2</v>
      </c>
      <c r="O98" s="30">
        <f t="shared" si="13"/>
        <v>4.4824177176085334E-2</v>
      </c>
      <c r="P98" s="30">
        <f t="shared" si="13"/>
        <v>3.4335714298404429E-2</v>
      </c>
      <c r="Q98" s="30">
        <f t="shared" si="13"/>
        <v>3.2924807965039271E-2</v>
      </c>
      <c r="R98" s="30">
        <f t="shared" si="13"/>
        <v>-5.2864248787261037E-3</v>
      </c>
      <c r="S98" s="30">
        <f t="shared" si="13"/>
        <v>-4.2778914741091745E-3</v>
      </c>
      <c r="T98" s="30">
        <f t="shared" si="13"/>
        <v>-4.0519678862167563E-3</v>
      </c>
      <c r="U98" s="63">
        <f t="shared" si="14"/>
        <v>1.6524729434256816E-2</v>
      </c>
    </row>
    <row r="99" spans="1:21">
      <c r="A99" s="28">
        <v>43472</v>
      </c>
      <c r="B99" s="29">
        <v>1286.8000489999999</v>
      </c>
      <c r="C99" s="29">
        <v>15.66899967</v>
      </c>
      <c r="D99" s="29">
        <v>48.520000459999999</v>
      </c>
      <c r="E99" s="29">
        <v>6488.25</v>
      </c>
      <c r="F99" s="29">
        <v>2549.6899410000001</v>
      </c>
      <c r="G99" s="29">
        <v>23531.349610000001</v>
      </c>
      <c r="H99" s="29">
        <v>10.118655199999999</v>
      </c>
      <c r="I99" s="29">
        <v>8.1740903849999995</v>
      </c>
      <c r="J99" s="29">
        <v>10.75497627</v>
      </c>
      <c r="L99" s="30">
        <f t="shared" si="13"/>
        <v>3.196459153836706E-3</v>
      </c>
      <c r="M99" s="30">
        <f t="shared" si="13"/>
        <v>-1.6565798352048411E-3</v>
      </c>
      <c r="N99" s="30">
        <f t="shared" si="13"/>
        <v>1.1676425995460926E-2</v>
      </c>
      <c r="O99" s="30">
        <f t="shared" ref="O99:T141" si="15">(E99/E98)-1</f>
        <v>1.0210719030626869E-2</v>
      </c>
      <c r="P99" s="30">
        <f t="shared" si="15"/>
        <v>7.010434849805236E-3</v>
      </c>
      <c r="Q99" s="30">
        <f t="shared" si="15"/>
        <v>4.1901924166254378E-3</v>
      </c>
      <c r="R99" s="30">
        <f t="shared" si="15"/>
        <v>-8.8581663935438648E-4</v>
      </c>
      <c r="S99" s="30">
        <f t="shared" si="15"/>
        <v>0</v>
      </c>
      <c r="T99" s="30">
        <f t="shared" si="15"/>
        <v>-8.1415198934586819E-4</v>
      </c>
      <c r="U99" s="63">
        <f t="shared" si="14"/>
        <v>4.1742279220045456E-3</v>
      </c>
    </row>
    <row r="100" spans="1:21">
      <c r="A100" s="28">
        <v>43473</v>
      </c>
      <c r="B100" s="29">
        <v>1283.1999510000001</v>
      </c>
      <c r="C100" s="29">
        <v>15.626000400000001</v>
      </c>
      <c r="D100" s="29">
        <v>49.77999878</v>
      </c>
      <c r="E100" s="29">
        <v>6551.8500979999999</v>
      </c>
      <c r="F100" s="29">
        <v>2574.4099120000001</v>
      </c>
      <c r="G100" s="29">
        <v>23787.449219999999</v>
      </c>
      <c r="H100" s="29">
        <v>10.109685900000001</v>
      </c>
      <c r="I100" s="29">
        <v>8.1653070450000005</v>
      </c>
      <c r="J100" s="29">
        <v>10.7462225</v>
      </c>
      <c r="L100" s="30">
        <f t="shared" ref="L100:Q163" si="16">(B100/B99)-1</f>
        <v>-2.7977136018898507E-3</v>
      </c>
      <c r="M100" s="30">
        <f t="shared" si="16"/>
        <v>-2.7442255986721564E-3</v>
      </c>
      <c r="N100" s="30">
        <f t="shared" si="16"/>
        <v>2.5968637841187636E-2</v>
      </c>
      <c r="O100" s="30">
        <f t="shared" si="15"/>
        <v>9.8023500944013353E-3</v>
      </c>
      <c r="P100" s="30">
        <f t="shared" si="15"/>
        <v>9.6952851413394381E-3</v>
      </c>
      <c r="Q100" s="30">
        <f t="shared" si="15"/>
        <v>1.0883337090498379E-2</v>
      </c>
      <c r="R100" s="30">
        <f t="shared" si="15"/>
        <v>-8.8641225762875475E-4</v>
      </c>
      <c r="S100" s="30">
        <f t="shared" si="15"/>
        <v>-1.0745342400564351E-3</v>
      </c>
      <c r="T100" s="30">
        <f t="shared" si="15"/>
        <v>-8.1392741185470907E-4</v>
      </c>
      <c r="U100" s="63">
        <f t="shared" si="14"/>
        <v>5.5942146580675606E-3</v>
      </c>
    </row>
    <row r="101" spans="1:21">
      <c r="A101" s="28">
        <v>43474</v>
      </c>
      <c r="B101" s="29">
        <v>1289.3000489999999</v>
      </c>
      <c r="C101" s="29">
        <v>15.652999879999999</v>
      </c>
      <c r="D101" s="29">
        <v>52.36000061</v>
      </c>
      <c r="E101" s="29">
        <v>6600.6899409999996</v>
      </c>
      <c r="F101" s="29">
        <v>2584.959961</v>
      </c>
      <c r="G101" s="29">
        <v>23879.119139999999</v>
      </c>
      <c r="H101" s="29">
        <v>10.118655199999999</v>
      </c>
      <c r="I101" s="29">
        <v>8.1653070450000005</v>
      </c>
      <c r="J101" s="29">
        <v>10.76373959</v>
      </c>
      <c r="L101" s="30">
        <f t="shared" si="16"/>
        <v>4.753817201478272E-3</v>
      </c>
      <c r="M101" s="30">
        <f t="shared" si="16"/>
        <v>1.727856092976765E-3</v>
      </c>
      <c r="N101" s="30">
        <f t="shared" si="16"/>
        <v>5.1828081422865768E-2</v>
      </c>
      <c r="O101" s="30">
        <f t="shared" si="15"/>
        <v>7.4543590389695158E-3</v>
      </c>
      <c r="P101" s="30">
        <f t="shared" si="15"/>
        <v>4.0980455174692842E-3</v>
      </c>
      <c r="Q101" s="30">
        <f t="shared" si="15"/>
        <v>3.8537095403623489E-3</v>
      </c>
      <c r="R101" s="30">
        <f t="shared" si="15"/>
        <v>8.8719868141495795E-4</v>
      </c>
      <c r="S101" s="30">
        <f t="shared" si="15"/>
        <v>0</v>
      </c>
      <c r="T101" s="30">
        <f t="shared" si="15"/>
        <v>1.63006954304179E-3</v>
      </c>
      <c r="U101" s="63">
        <f t="shared" si="14"/>
        <v>6.8859740285531594E-3</v>
      </c>
    </row>
    <row r="102" spans="1:21">
      <c r="A102" s="28">
        <v>43475</v>
      </c>
      <c r="B102" s="29">
        <v>1284.6999510000001</v>
      </c>
      <c r="C102" s="29">
        <v>15.56099987</v>
      </c>
      <c r="D102" s="29">
        <v>52.590000150000002</v>
      </c>
      <c r="E102" s="29">
        <v>6620.9399409999996</v>
      </c>
      <c r="F102" s="29">
        <v>2596.639893</v>
      </c>
      <c r="G102" s="29">
        <v>24001.91992</v>
      </c>
      <c r="H102" s="29">
        <v>10.100715640000001</v>
      </c>
      <c r="I102" s="29">
        <v>8.1653070450000005</v>
      </c>
      <c r="J102" s="29">
        <v>10.7462225</v>
      </c>
      <c r="L102" s="30">
        <f t="shared" si="16"/>
        <v>-3.5679033779357772E-3</v>
      </c>
      <c r="M102" s="30">
        <f t="shared" si="16"/>
        <v>-5.8774682620134078E-3</v>
      </c>
      <c r="N102" s="30">
        <f t="shared" si="16"/>
        <v>4.3926573208648012E-3</v>
      </c>
      <c r="O102" s="30">
        <f t="shared" si="15"/>
        <v>3.0678611146719437E-3</v>
      </c>
      <c r="P102" s="30">
        <f t="shared" si="15"/>
        <v>4.5184189218472337E-3</v>
      </c>
      <c r="Q102" s="30">
        <f t="shared" si="15"/>
        <v>5.1426009175647991E-3</v>
      </c>
      <c r="R102" s="30">
        <f t="shared" si="15"/>
        <v>-1.7729193895250628E-3</v>
      </c>
      <c r="S102" s="30">
        <f t="shared" si="15"/>
        <v>0</v>
      </c>
      <c r="T102" s="30">
        <f t="shared" si="15"/>
        <v>-1.6274167405790907E-3</v>
      </c>
      <c r="U102" s="63">
        <f t="shared" si="14"/>
        <v>9.2067559078794594E-4</v>
      </c>
    </row>
    <row r="103" spans="1:21">
      <c r="A103" s="28">
        <v>43476</v>
      </c>
      <c r="B103" s="29">
        <v>1287.099976</v>
      </c>
      <c r="C103" s="29">
        <v>15.57699966</v>
      </c>
      <c r="D103" s="29">
        <v>51.590000150000002</v>
      </c>
      <c r="E103" s="29">
        <v>6601.3999020000001</v>
      </c>
      <c r="F103" s="29">
        <v>2596.26001</v>
      </c>
      <c r="G103" s="29">
        <v>23995.949219999999</v>
      </c>
      <c r="H103" s="29">
        <v>10.12762642</v>
      </c>
      <c r="I103" s="29">
        <v>8.1828670500000005</v>
      </c>
      <c r="J103" s="29">
        <v>10.76373959</v>
      </c>
      <c r="L103" s="30">
        <f t="shared" si="16"/>
        <v>1.8681599529382087E-3</v>
      </c>
      <c r="M103" s="30">
        <f t="shared" si="16"/>
        <v>1.0281980678406022E-3</v>
      </c>
      <c r="N103" s="30">
        <f t="shared" si="16"/>
        <v>-1.901502181303949E-2</v>
      </c>
      <c r="O103" s="30">
        <f t="shared" si="15"/>
        <v>-2.9512484895080071E-3</v>
      </c>
      <c r="P103" s="30">
        <f t="shared" si="15"/>
        <v>-1.462979140943732E-4</v>
      </c>
      <c r="Q103" s="30">
        <f t="shared" si="15"/>
        <v>-2.4875926675460569E-4</v>
      </c>
      <c r="R103" s="30">
        <f t="shared" si="15"/>
        <v>2.6642448871077029E-3</v>
      </c>
      <c r="S103" s="30">
        <f t="shared" si="15"/>
        <v>2.1505627287772278E-3</v>
      </c>
      <c r="T103" s="30">
        <f t="shared" si="15"/>
        <v>1.63006954304179E-3</v>
      </c>
      <c r="U103" s="63">
        <f t="shared" si="14"/>
        <v>-1.0392150495849668E-3</v>
      </c>
    </row>
    <row r="104" spans="1:21">
      <c r="A104" s="28">
        <v>43479</v>
      </c>
      <c r="B104" s="29">
        <v>1289.099976</v>
      </c>
      <c r="C104" s="29">
        <v>15.60900021</v>
      </c>
      <c r="D104" s="29">
        <v>50.509998320000001</v>
      </c>
      <c r="E104" s="29">
        <v>6541.0400390000004</v>
      </c>
      <c r="F104" s="29">
        <v>2582.610107</v>
      </c>
      <c r="G104" s="29">
        <v>23909.839840000001</v>
      </c>
      <c r="H104" s="29">
        <v>10.118655199999999</v>
      </c>
      <c r="I104" s="29">
        <v>8.1740903849999995</v>
      </c>
      <c r="J104" s="29">
        <v>10.76373959</v>
      </c>
      <c r="L104" s="30">
        <f t="shared" si="16"/>
        <v>1.5538808463158027E-3</v>
      </c>
      <c r="M104" s="30">
        <f t="shared" si="16"/>
        <v>2.0543461962172493E-3</v>
      </c>
      <c r="N104" s="30">
        <f t="shared" si="16"/>
        <v>-2.0934325002129328E-2</v>
      </c>
      <c r="O104" s="30">
        <f t="shared" si="15"/>
        <v>-9.1434943945317704E-3</v>
      </c>
      <c r="P104" s="30">
        <f t="shared" si="15"/>
        <v>-5.2575254201908672E-3</v>
      </c>
      <c r="Q104" s="30">
        <f t="shared" si="15"/>
        <v>-3.5884965087452647E-3</v>
      </c>
      <c r="R104" s="30">
        <f t="shared" si="15"/>
        <v>-8.8581663935438648E-4</v>
      </c>
      <c r="S104" s="30">
        <f t="shared" si="15"/>
        <v>-1.0725660024014649E-3</v>
      </c>
      <c r="T104" s="30">
        <f t="shared" si="15"/>
        <v>0</v>
      </c>
      <c r="U104" s="63">
        <f t="shared" si="14"/>
        <v>-4.1455831442306062E-3</v>
      </c>
    </row>
    <row r="105" spans="1:21">
      <c r="A105" s="28">
        <v>43480</v>
      </c>
      <c r="B105" s="29">
        <v>1286.1999510000001</v>
      </c>
      <c r="C105" s="29">
        <v>15.54599953</v>
      </c>
      <c r="D105" s="29">
        <v>52.11000061</v>
      </c>
      <c r="E105" s="29">
        <v>6669.6401370000003</v>
      </c>
      <c r="F105" s="29">
        <v>2610.3000489999999</v>
      </c>
      <c r="G105" s="29">
        <v>24065.589840000001</v>
      </c>
      <c r="H105" s="29">
        <v>10.109685900000001</v>
      </c>
      <c r="I105" s="29">
        <v>8.1740903849999995</v>
      </c>
      <c r="J105" s="29">
        <v>10.75497627</v>
      </c>
      <c r="L105" s="30">
        <f t="shared" si="16"/>
        <v>-2.2496509611290572E-3</v>
      </c>
      <c r="M105" s="30">
        <f t="shared" si="16"/>
        <v>-4.0361765105005887E-3</v>
      </c>
      <c r="N105" s="30">
        <f t="shared" si="16"/>
        <v>3.1676942055380408E-2</v>
      </c>
      <c r="O105" s="30">
        <f t="shared" si="15"/>
        <v>1.9660496990270726E-2</v>
      </c>
      <c r="P105" s="30">
        <f t="shared" si="15"/>
        <v>1.0721688854600231E-2</v>
      </c>
      <c r="Q105" s="30">
        <f t="shared" si="15"/>
        <v>6.5140545081960877E-3</v>
      </c>
      <c r="R105" s="30">
        <f t="shared" si="15"/>
        <v>-8.8641225762875475E-4</v>
      </c>
      <c r="S105" s="30">
        <f t="shared" si="15"/>
        <v>0</v>
      </c>
      <c r="T105" s="30">
        <f t="shared" si="15"/>
        <v>-8.1415198934586819E-4</v>
      </c>
      <c r="U105" s="63">
        <f t="shared" si="14"/>
        <v>7.3327504415311535E-3</v>
      </c>
    </row>
    <row r="106" spans="1:21">
      <c r="A106" s="28">
        <v>43481</v>
      </c>
      <c r="B106" s="29">
        <v>1291.599976</v>
      </c>
      <c r="C106" s="29">
        <v>15.56400013</v>
      </c>
      <c r="D106" s="29">
        <v>52.310001370000002</v>
      </c>
      <c r="E106" s="29">
        <v>6668.5600590000004</v>
      </c>
      <c r="F106" s="29">
        <v>2616.1000979999999</v>
      </c>
      <c r="G106" s="29">
        <v>24207.160159999999</v>
      </c>
      <c r="H106" s="29">
        <v>10.109685900000001</v>
      </c>
      <c r="I106" s="29">
        <v>8.1740903849999995</v>
      </c>
      <c r="J106" s="29">
        <v>10.76373959</v>
      </c>
      <c r="L106" s="30">
        <f t="shared" si="16"/>
        <v>4.1984335295623953E-3</v>
      </c>
      <c r="M106" s="30">
        <f t="shared" si="16"/>
        <v>1.157892740525579E-3</v>
      </c>
      <c r="N106" s="30">
        <f t="shared" si="16"/>
        <v>3.8380494657224151E-3</v>
      </c>
      <c r="O106" s="30">
        <f t="shared" si="15"/>
        <v>-1.6193947166776024E-4</v>
      </c>
      <c r="P106" s="30">
        <f t="shared" si="15"/>
        <v>2.2219855538148092E-3</v>
      </c>
      <c r="Q106" s="30">
        <f t="shared" si="15"/>
        <v>5.8826864806236223E-3</v>
      </c>
      <c r="R106" s="30">
        <f t="shared" si="15"/>
        <v>0</v>
      </c>
      <c r="S106" s="30">
        <f t="shared" si="15"/>
        <v>0</v>
      </c>
      <c r="T106" s="30">
        <f t="shared" si="15"/>
        <v>8.1481537290262196E-4</v>
      </c>
      <c r="U106" s="63">
        <f t="shared" si="14"/>
        <v>1.6134516689649079E-3</v>
      </c>
    </row>
    <row r="107" spans="1:21">
      <c r="A107" s="28">
        <v>43482</v>
      </c>
      <c r="B107" s="29">
        <v>1291</v>
      </c>
      <c r="C107" s="29">
        <v>15.46700001</v>
      </c>
      <c r="D107" s="29">
        <v>52.069999690000003</v>
      </c>
      <c r="E107" s="29">
        <v>6718.4501950000003</v>
      </c>
      <c r="F107" s="29">
        <v>2635.959961</v>
      </c>
      <c r="G107" s="29">
        <v>24370.099610000001</v>
      </c>
      <c r="H107" s="29">
        <v>10.109685900000001</v>
      </c>
      <c r="I107" s="29">
        <v>8.1740903849999995</v>
      </c>
      <c r="J107" s="29">
        <v>10.75497627</v>
      </c>
      <c r="L107" s="30">
        <f t="shared" si="16"/>
        <v>-4.6452153232312554E-4</v>
      </c>
      <c r="M107" s="30">
        <f t="shared" si="16"/>
        <v>-6.2323386783472712E-3</v>
      </c>
      <c r="N107" s="30">
        <f t="shared" si="16"/>
        <v>-4.5880648769709431E-3</v>
      </c>
      <c r="O107" s="30">
        <f t="shared" si="15"/>
        <v>7.4813956174342167E-3</v>
      </c>
      <c r="P107" s="30">
        <f t="shared" si="15"/>
        <v>7.5914002737063058E-3</v>
      </c>
      <c r="Q107" s="30">
        <f t="shared" si="15"/>
        <v>6.7310435806198221E-3</v>
      </c>
      <c r="R107" s="30">
        <f t="shared" si="15"/>
        <v>0</v>
      </c>
      <c r="S107" s="30">
        <f t="shared" si="15"/>
        <v>0</v>
      </c>
      <c r="T107" s="30">
        <f t="shared" si="15"/>
        <v>-8.1415198934586819E-4</v>
      </c>
      <c r="U107" s="63">
        <f t="shared" si="14"/>
        <v>2.0141678058124106E-3</v>
      </c>
    </row>
    <row r="108" spans="1:21">
      <c r="A108" s="28">
        <v>43483</v>
      </c>
      <c r="B108" s="29">
        <v>1281.3000489999999</v>
      </c>
      <c r="C108" s="29">
        <v>15.329999920000001</v>
      </c>
      <c r="D108" s="29">
        <v>53.799999239999998</v>
      </c>
      <c r="E108" s="29">
        <v>6784.6098629999997</v>
      </c>
      <c r="F108" s="29">
        <v>2670.709961</v>
      </c>
      <c r="G108" s="29">
        <v>24706.349610000001</v>
      </c>
      <c r="H108" s="29">
        <v>10.091744419999999</v>
      </c>
      <c r="I108" s="29">
        <v>8.1653070450000005</v>
      </c>
      <c r="J108" s="29">
        <v>10.75497627</v>
      </c>
      <c r="L108" s="30">
        <f t="shared" si="16"/>
        <v>-7.5135174283501582E-3</v>
      </c>
      <c r="M108" s="30">
        <f t="shared" si="16"/>
        <v>-8.8575735379468057E-3</v>
      </c>
      <c r="N108" s="30">
        <f t="shared" si="16"/>
        <v>3.322449702899144E-2</v>
      </c>
      <c r="O108" s="30">
        <f t="shared" si="15"/>
        <v>9.8474597682121079E-3</v>
      </c>
      <c r="P108" s="30">
        <f t="shared" si="15"/>
        <v>1.3183053048657412E-2</v>
      </c>
      <c r="Q108" s="30">
        <f t="shared" si="15"/>
        <v>1.3797645696204786E-2</v>
      </c>
      <c r="R108" s="30">
        <f t="shared" si="15"/>
        <v>-1.774682238149583E-3</v>
      </c>
      <c r="S108" s="30">
        <f t="shared" si="15"/>
        <v>-1.0745342400564351E-3</v>
      </c>
      <c r="T108" s="30">
        <f t="shared" si="15"/>
        <v>0</v>
      </c>
      <c r="U108" s="63">
        <f t="shared" si="14"/>
        <v>6.1806639656161403E-3</v>
      </c>
    </row>
    <row r="109" spans="1:21">
      <c r="A109" s="28">
        <v>43487</v>
      </c>
      <c r="B109" s="29">
        <v>1282.5</v>
      </c>
      <c r="C109" s="29">
        <v>15.25899982</v>
      </c>
      <c r="D109" s="29">
        <v>52.569999690000003</v>
      </c>
      <c r="E109" s="29">
        <v>6646.8100590000004</v>
      </c>
      <c r="F109" s="29">
        <v>2632.8999020000001</v>
      </c>
      <c r="G109" s="29">
        <v>24404.480469999999</v>
      </c>
      <c r="H109" s="29">
        <v>10.118655199999999</v>
      </c>
      <c r="I109" s="29">
        <v>8.1828670500000005</v>
      </c>
      <c r="J109" s="29">
        <v>10.772496220000001</v>
      </c>
      <c r="L109" s="30">
        <f t="shared" si="16"/>
        <v>9.3651053938259565E-4</v>
      </c>
      <c r="M109" s="30">
        <f t="shared" si="16"/>
        <v>-4.6314481650695516E-3</v>
      </c>
      <c r="N109" s="30">
        <f t="shared" si="16"/>
        <v>-2.2862445490250072E-2</v>
      </c>
      <c r="O109" s="30">
        <f t="shared" si="15"/>
        <v>-2.0310645237170299E-2</v>
      </c>
      <c r="P109" s="30">
        <f t="shared" si="15"/>
        <v>-1.4157306316348373E-2</v>
      </c>
      <c r="Q109" s="30">
        <f t="shared" si="15"/>
        <v>-1.2218281727779834E-2</v>
      </c>
      <c r="R109" s="30">
        <f t="shared" si="15"/>
        <v>2.6666133108432799E-3</v>
      </c>
      <c r="S109" s="30">
        <f t="shared" si="15"/>
        <v>2.1505627287772278E-3</v>
      </c>
      <c r="T109" s="30">
        <f t="shared" si="15"/>
        <v>1.6290087081707316E-3</v>
      </c>
      <c r="U109" s="63">
        <f t="shared" si="14"/>
        <v>-8.9342002122941248E-3</v>
      </c>
    </row>
    <row r="110" spans="1:21">
      <c r="A110" s="28">
        <v>43488</v>
      </c>
      <c r="B110" s="29">
        <v>1283.099976</v>
      </c>
      <c r="C110" s="29">
        <v>15.31700039</v>
      </c>
      <c r="D110" s="29">
        <v>52.619998930000001</v>
      </c>
      <c r="E110" s="29">
        <v>6658.7597660000001</v>
      </c>
      <c r="F110" s="29">
        <v>2638.6999510000001</v>
      </c>
      <c r="G110" s="29">
        <v>24575.619139999999</v>
      </c>
      <c r="H110" s="29">
        <v>10.118655199999999</v>
      </c>
      <c r="I110" s="29">
        <v>8.1828670500000005</v>
      </c>
      <c r="J110" s="29">
        <v>10.772496220000001</v>
      </c>
      <c r="L110" s="30">
        <f t="shared" si="16"/>
        <v>4.6781754385971652E-4</v>
      </c>
      <c r="M110" s="30">
        <f t="shared" si="16"/>
        <v>3.8010728543282912E-3</v>
      </c>
      <c r="N110" s="30">
        <f t="shared" si="16"/>
        <v>9.5109835067219706E-4</v>
      </c>
      <c r="O110" s="30">
        <f t="shared" si="15"/>
        <v>1.7978108135976445E-3</v>
      </c>
      <c r="P110" s="30">
        <f t="shared" si="15"/>
        <v>2.2029128397909048E-3</v>
      </c>
      <c r="Q110" s="30">
        <f t="shared" si="15"/>
        <v>7.0125922250374728E-3</v>
      </c>
      <c r="R110" s="30">
        <f t="shared" si="15"/>
        <v>0</v>
      </c>
      <c r="S110" s="30">
        <f t="shared" si="15"/>
        <v>0</v>
      </c>
      <c r="T110" s="30">
        <f t="shared" si="15"/>
        <v>0</v>
      </c>
      <c r="U110" s="63">
        <f t="shared" si="14"/>
        <v>1.7548393203959658E-3</v>
      </c>
    </row>
    <row r="111" spans="1:21">
      <c r="A111" s="28">
        <v>43489</v>
      </c>
      <c r="B111" s="29">
        <v>1279.099976</v>
      </c>
      <c r="C111" s="29">
        <v>15.23799992</v>
      </c>
      <c r="D111" s="29">
        <v>53.130001069999999</v>
      </c>
      <c r="E111" s="29">
        <v>6702.5498049999997</v>
      </c>
      <c r="F111" s="29">
        <v>2642.330078</v>
      </c>
      <c r="G111" s="29">
        <v>24553.240229999999</v>
      </c>
      <c r="H111" s="29">
        <v>10.13659859</v>
      </c>
      <c r="I111" s="29">
        <v>8.2004289630000002</v>
      </c>
      <c r="J111" s="29">
        <v>10.798769</v>
      </c>
      <c r="L111" s="30">
        <f t="shared" si="16"/>
        <v>-3.1174499842715475E-3</v>
      </c>
      <c r="M111" s="30">
        <f t="shared" si="16"/>
        <v>-5.157698504178243E-3</v>
      </c>
      <c r="N111" s="30">
        <f t="shared" si="16"/>
        <v>9.6921731351315987E-3</v>
      </c>
      <c r="O111" s="30">
        <f t="shared" si="15"/>
        <v>6.5763055792451564E-3</v>
      </c>
      <c r="P111" s="30">
        <f t="shared" si="15"/>
        <v>1.3757255722175454E-3</v>
      </c>
      <c r="Q111" s="30">
        <f t="shared" si="15"/>
        <v>-9.1061429103833635E-4</v>
      </c>
      <c r="R111" s="30">
        <f t="shared" si="15"/>
        <v>1.7732978983215908E-3</v>
      </c>
      <c r="S111" s="30">
        <f t="shared" si="15"/>
        <v>2.1461809036724677E-3</v>
      </c>
      <c r="T111" s="30">
        <f t="shared" si="15"/>
        <v>2.4388757687583418E-3</v>
      </c>
      <c r="U111" s="63">
        <f t="shared" si="14"/>
        <v>1.5199424287968069E-3</v>
      </c>
    </row>
    <row r="112" spans="1:21">
      <c r="A112" s="28">
        <v>43490</v>
      </c>
      <c r="B112" s="29">
        <v>1297.400024</v>
      </c>
      <c r="C112" s="29">
        <v>15.63899994</v>
      </c>
      <c r="D112" s="29">
        <v>53.689998629999998</v>
      </c>
      <c r="E112" s="29">
        <v>6787.3701170000004</v>
      </c>
      <c r="F112" s="29">
        <v>2664.76001</v>
      </c>
      <c r="G112" s="29">
        <v>24737.199219999999</v>
      </c>
      <c r="H112" s="29">
        <v>10.12762642</v>
      </c>
      <c r="I112" s="29">
        <v>8.1916475299999991</v>
      </c>
      <c r="J112" s="29">
        <v>10.79001045</v>
      </c>
      <c r="L112" s="30">
        <f t="shared" si="16"/>
        <v>1.4306972358195225E-2</v>
      </c>
      <c r="M112" s="30">
        <f t="shared" si="16"/>
        <v>2.6315790924351212E-2</v>
      </c>
      <c r="N112" s="30">
        <f t="shared" si="16"/>
        <v>1.0540138315867642E-2</v>
      </c>
      <c r="O112" s="30">
        <f t="shared" si="15"/>
        <v>1.2654931998673957E-2</v>
      </c>
      <c r="P112" s="30">
        <f t="shared" si="15"/>
        <v>8.4886941971222818E-3</v>
      </c>
      <c r="Q112" s="30">
        <f t="shared" si="15"/>
        <v>7.4922490179212264E-3</v>
      </c>
      <c r="R112" s="30">
        <f t="shared" si="15"/>
        <v>-8.8512629955095345E-4</v>
      </c>
      <c r="S112" s="30">
        <f t="shared" si="15"/>
        <v>-1.0708504444856271E-3</v>
      </c>
      <c r="T112" s="30">
        <f t="shared" si="15"/>
        <v>-8.1106929873209221E-4</v>
      </c>
      <c r="U112" s="63">
        <f t="shared" si="14"/>
        <v>9.637522604471465E-3</v>
      </c>
    </row>
    <row r="113" spans="1:21">
      <c r="A113" s="28">
        <v>43493</v>
      </c>
      <c r="B113" s="29">
        <v>1302.400024</v>
      </c>
      <c r="C113" s="29">
        <v>15.708999629999999</v>
      </c>
      <c r="D113" s="29">
        <v>51.990001679999999</v>
      </c>
      <c r="E113" s="29">
        <v>6697.0898440000001</v>
      </c>
      <c r="F113" s="29">
        <v>2643.8500979999999</v>
      </c>
      <c r="G113" s="29">
        <v>24528.220700000002</v>
      </c>
      <c r="H113" s="29">
        <v>10.12762642</v>
      </c>
      <c r="I113" s="29">
        <v>8.1916475299999991</v>
      </c>
      <c r="J113" s="29">
        <v>10.79001045</v>
      </c>
      <c r="L113" s="30">
        <f t="shared" si="16"/>
        <v>3.8538614980017094E-3</v>
      </c>
      <c r="M113" s="30">
        <f t="shared" si="16"/>
        <v>4.4759697083289751E-3</v>
      </c>
      <c r="N113" s="30">
        <f t="shared" si="16"/>
        <v>-3.1663196002581051E-2</v>
      </c>
      <c r="O113" s="30">
        <f t="shared" si="15"/>
        <v>-1.3301215558273349E-2</v>
      </c>
      <c r="P113" s="30">
        <f t="shared" si="15"/>
        <v>-7.8468274522027759E-3</v>
      </c>
      <c r="Q113" s="30">
        <f t="shared" si="15"/>
        <v>-8.4479458705671862E-3</v>
      </c>
      <c r="R113" s="30">
        <f t="shared" si="15"/>
        <v>0</v>
      </c>
      <c r="S113" s="30">
        <f t="shared" si="15"/>
        <v>0</v>
      </c>
      <c r="T113" s="30">
        <f t="shared" si="15"/>
        <v>0</v>
      </c>
      <c r="U113" s="63">
        <f t="shared" si="14"/>
        <v>-5.7111624951249156E-3</v>
      </c>
    </row>
    <row r="114" spans="1:21">
      <c r="A114" s="28">
        <v>43494</v>
      </c>
      <c r="B114" s="29">
        <v>1308.1999510000001</v>
      </c>
      <c r="C114" s="29">
        <v>15.786000250000001</v>
      </c>
      <c r="D114" s="29">
        <v>53.310001370000002</v>
      </c>
      <c r="E114" s="29">
        <v>6632.7900390000004</v>
      </c>
      <c r="F114" s="29">
        <v>2640</v>
      </c>
      <c r="G114" s="29">
        <v>24579.960940000001</v>
      </c>
      <c r="H114" s="29">
        <v>10.14556599</v>
      </c>
      <c r="I114" s="29">
        <v>8.2092084879999998</v>
      </c>
      <c r="J114" s="29">
        <v>10.81628609</v>
      </c>
      <c r="L114" s="30">
        <f t="shared" si="16"/>
        <v>4.4532608208858182E-3</v>
      </c>
      <c r="M114" s="30">
        <f t="shared" si="16"/>
        <v>4.9016883196655314E-3</v>
      </c>
      <c r="N114" s="30">
        <f t="shared" si="16"/>
        <v>2.5389491197262082E-2</v>
      </c>
      <c r="O114" s="30">
        <f t="shared" si="15"/>
        <v>-9.6011560988100708E-3</v>
      </c>
      <c r="P114" s="30">
        <f t="shared" si="15"/>
        <v>-1.4562467073728769E-3</v>
      </c>
      <c r="Q114" s="30">
        <f t="shared" si="15"/>
        <v>2.1094167666226848E-3</v>
      </c>
      <c r="R114" s="30">
        <f t="shared" si="15"/>
        <v>1.7713498954279316E-3</v>
      </c>
      <c r="S114" s="30">
        <f t="shared" si="15"/>
        <v>2.1437638687074045E-3</v>
      </c>
      <c r="T114" s="30">
        <f t="shared" si="15"/>
        <v>2.4351820715799999E-3</v>
      </c>
      <c r="U114" s="63">
        <f t="shared" si="14"/>
        <v>1.9928378115030652E-3</v>
      </c>
    </row>
    <row r="115" spans="1:21">
      <c r="A115" s="28">
        <v>43495</v>
      </c>
      <c r="B115" s="29">
        <v>1309.900024</v>
      </c>
      <c r="C115" s="29">
        <v>15.880000109999999</v>
      </c>
      <c r="D115" s="29">
        <v>54.229999540000001</v>
      </c>
      <c r="E115" s="29">
        <v>6807.9101559999999</v>
      </c>
      <c r="F115" s="29">
        <v>2681.0500489999999</v>
      </c>
      <c r="G115" s="29">
        <v>25014.859380000002</v>
      </c>
      <c r="H115" s="29">
        <v>10.16351128</v>
      </c>
      <c r="I115" s="29">
        <v>8.2179870610000005</v>
      </c>
      <c r="J115" s="29">
        <v>10.833802220000001</v>
      </c>
      <c r="L115" s="30">
        <f t="shared" si="16"/>
        <v>1.299551340527394E-3</v>
      </c>
      <c r="M115" s="30">
        <f t="shared" si="16"/>
        <v>5.9546343919509859E-3</v>
      </c>
      <c r="N115" s="30">
        <f t="shared" si="16"/>
        <v>1.7257515407188118E-2</v>
      </c>
      <c r="O115" s="30">
        <f t="shared" si="15"/>
        <v>2.6402180073591186E-2</v>
      </c>
      <c r="P115" s="30">
        <f t="shared" si="15"/>
        <v>1.5549260984848434E-2</v>
      </c>
      <c r="Q115" s="30">
        <f t="shared" si="15"/>
        <v>1.769321119189704E-2</v>
      </c>
      <c r="R115" s="30">
        <f t="shared" si="15"/>
        <v>1.7687815561682196E-3</v>
      </c>
      <c r="S115" s="30">
        <f t="shared" si="15"/>
        <v>1.0693568098352202E-3</v>
      </c>
      <c r="T115" s="30">
        <f t="shared" si="15"/>
        <v>1.619421847226743E-3</v>
      </c>
      <c r="U115" s="63">
        <f t="shared" si="14"/>
        <v>1.1005023045777973E-2</v>
      </c>
    </row>
    <row r="116" spans="1:21">
      <c r="A116" s="28">
        <v>43496</v>
      </c>
      <c r="B116" s="29">
        <v>1319.6999510000001</v>
      </c>
      <c r="C116" s="29">
        <v>16.021999359999999</v>
      </c>
      <c r="D116" s="29">
        <v>53.790000919999997</v>
      </c>
      <c r="E116" s="29">
        <v>6906.8398440000001</v>
      </c>
      <c r="F116" s="29">
        <v>2704.1000979999999</v>
      </c>
      <c r="G116" s="29">
        <v>24999.66992</v>
      </c>
      <c r="H116" s="29">
        <v>10.223756789999999</v>
      </c>
      <c r="I116" s="29">
        <v>8.2813520430000001</v>
      </c>
      <c r="J116" s="29">
        <v>10.87329388</v>
      </c>
      <c r="L116" s="30">
        <f t="shared" si="16"/>
        <v>7.4814312699027496E-3</v>
      </c>
      <c r="M116" s="30">
        <f t="shared" si="16"/>
        <v>8.9420182000237158E-3</v>
      </c>
      <c r="N116" s="30">
        <f t="shared" si="16"/>
        <v>-8.1135648853447595E-3</v>
      </c>
      <c r="O116" s="30">
        <f t="shared" si="15"/>
        <v>1.4531579549828644E-2</v>
      </c>
      <c r="P116" s="30">
        <f t="shared" si="15"/>
        <v>8.5973960122815996E-3</v>
      </c>
      <c r="Q116" s="30">
        <f t="shared" si="15"/>
        <v>-6.0721748498593353E-4</v>
      </c>
      <c r="R116" s="30">
        <f t="shared" si="15"/>
        <v>5.9276276023378927E-3</v>
      </c>
      <c r="S116" s="30">
        <f t="shared" si="15"/>
        <v>7.7105234566150482E-3</v>
      </c>
      <c r="T116" s="30">
        <f t="shared" si="15"/>
        <v>3.6452262278792169E-3</v>
      </c>
      <c r="U116" s="63">
        <f t="shared" si="14"/>
        <v>7.0548517039318737E-3</v>
      </c>
    </row>
    <row r="117" spans="1:21">
      <c r="A117" s="28">
        <v>43497</v>
      </c>
      <c r="B117" s="29">
        <v>1316.900024</v>
      </c>
      <c r="C117" s="29">
        <v>15.880000109999999</v>
      </c>
      <c r="D117" s="29">
        <v>55.259998320000001</v>
      </c>
      <c r="E117" s="29">
        <v>6875.5200199999999</v>
      </c>
      <c r="F117" s="29">
        <v>2706.530029</v>
      </c>
      <c r="G117" s="29">
        <v>25063.890630000002</v>
      </c>
      <c r="H117" s="29">
        <v>10.196782109999999</v>
      </c>
      <c r="I117" s="29">
        <v>8.2549476619999993</v>
      </c>
      <c r="J117" s="29">
        <v>10.84696102</v>
      </c>
      <c r="L117" s="30">
        <f t="shared" si="16"/>
        <v>-2.1216390876414026E-3</v>
      </c>
      <c r="M117" s="30">
        <f t="shared" si="16"/>
        <v>-8.8627671746455139E-3</v>
      </c>
      <c r="N117" s="30">
        <f t="shared" si="16"/>
        <v>2.7328450917602387E-2</v>
      </c>
      <c r="O117" s="30">
        <f t="shared" si="15"/>
        <v>-4.5346098515962607E-3</v>
      </c>
      <c r="P117" s="30">
        <f t="shared" si="15"/>
        <v>8.9860985612078004E-4</v>
      </c>
      <c r="Q117" s="30">
        <f t="shared" si="15"/>
        <v>2.5688623172031022E-3</v>
      </c>
      <c r="R117" s="30">
        <f t="shared" si="15"/>
        <v>-2.6384313079889088E-3</v>
      </c>
      <c r="S117" s="30">
        <f t="shared" si="15"/>
        <v>-3.1884142665230542E-3</v>
      </c>
      <c r="T117" s="30">
        <f t="shared" si="15"/>
        <v>-2.4217923557126042E-3</v>
      </c>
      <c r="U117" s="63">
        <f t="shared" si="14"/>
        <v>-3.0205185461851209E-4</v>
      </c>
    </row>
    <row r="118" spans="1:21">
      <c r="A118" s="28">
        <v>43500</v>
      </c>
      <c r="B118" s="29">
        <v>1314.3000489999999</v>
      </c>
      <c r="C118" s="29">
        <v>15.83699989</v>
      </c>
      <c r="D118" s="29">
        <v>54.560001370000002</v>
      </c>
      <c r="E118" s="29">
        <v>6959.9599609999996</v>
      </c>
      <c r="F118" s="29">
        <v>2724.8701169999999</v>
      </c>
      <c r="G118" s="29">
        <v>25239.369139999999</v>
      </c>
      <c r="H118" s="29">
        <v>10.18778419</v>
      </c>
      <c r="I118" s="29">
        <v>8.2461490630000007</v>
      </c>
      <c r="J118" s="29">
        <v>10.82941437</v>
      </c>
      <c r="L118" s="30">
        <f t="shared" si="16"/>
        <v>-1.9743146424303637E-3</v>
      </c>
      <c r="M118" s="30">
        <f t="shared" si="16"/>
        <v>-2.7078223993790562E-3</v>
      </c>
      <c r="N118" s="30">
        <f t="shared" si="16"/>
        <v>-1.2667335709032224E-2</v>
      </c>
      <c r="O118" s="30">
        <f t="shared" si="15"/>
        <v>1.2281244291977078E-2</v>
      </c>
      <c r="P118" s="30">
        <f t="shared" si="15"/>
        <v>6.7762366585588651E-3</v>
      </c>
      <c r="Q118" s="30">
        <f t="shared" si="15"/>
        <v>7.0012478346024309E-3</v>
      </c>
      <c r="R118" s="30">
        <f t="shared" si="15"/>
        <v>-8.8242740728705638E-4</v>
      </c>
      <c r="S118" s="30">
        <f t="shared" si="15"/>
        <v>-1.0658576359606764E-3</v>
      </c>
      <c r="T118" s="30">
        <f t="shared" si="15"/>
        <v>-1.6176558547271735E-3</v>
      </c>
      <c r="U118" s="63">
        <f t="shared" si="14"/>
        <v>1.9058016503521178E-3</v>
      </c>
    </row>
    <row r="119" spans="1:21">
      <c r="A119" s="28">
        <v>43501</v>
      </c>
      <c r="B119" s="29">
        <v>1314.1999510000001</v>
      </c>
      <c r="C119" s="29">
        <v>15.789999959999999</v>
      </c>
      <c r="D119" s="29">
        <v>53.659999849999998</v>
      </c>
      <c r="E119" s="29">
        <v>7023.5200199999999</v>
      </c>
      <c r="F119" s="29">
        <v>2737.6999510000001</v>
      </c>
      <c r="G119" s="29">
        <v>25411.519530000001</v>
      </c>
      <c r="H119" s="29">
        <v>10.20577145</v>
      </c>
      <c r="I119" s="29">
        <v>8.2637510299999999</v>
      </c>
      <c r="J119" s="29">
        <v>10.855742449999999</v>
      </c>
      <c r="L119" s="30">
        <f t="shared" si="16"/>
        <v>-7.6160691065974007E-5</v>
      </c>
      <c r="M119" s="30">
        <f t="shared" si="16"/>
        <v>-2.9677293885489453E-3</v>
      </c>
      <c r="N119" s="30">
        <f t="shared" si="16"/>
        <v>-1.6495628618053426E-2</v>
      </c>
      <c r="O119" s="30">
        <f t="shared" si="15"/>
        <v>9.1322449203958822E-3</v>
      </c>
      <c r="P119" s="30">
        <f t="shared" si="15"/>
        <v>4.7084203830329852E-3</v>
      </c>
      <c r="Q119" s="30">
        <f t="shared" si="15"/>
        <v>6.8207089109519892E-3</v>
      </c>
      <c r="R119" s="30">
        <f t="shared" si="15"/>
        <v>1.7655713612048096E-3</v>
      </c>
      <c r="S119" s="30">
        <f t="shared" si="15"/>
        <v>2.1345681318056808E-3</v>
      </c>
      <c r="T119" s="30">
        <f t="shared" si="15"/>
        <v>2.431163782312451E-3</v>
      </c>
      <c r="U119" s="63">
        <f t="shared" si="14"/>
        <v>1.5748728175404797E-3</v>
      </c>
    </row>
    <row r="120" spans="1:21">
      <c r="A120" s="28">
        <v>43502</v>
      </c>
      <c r="B120" s="29">
        <v>1309.5</v>
      </c>
      <c r="C120" s="29">
        <v>15.65600014</v>
      </c>
      <c r="D120" s="29">
        <v>54.009998320000001</v>
      </c>
      <c r="E120" s="29">
        <v>6997.6201170000004</v>
      </c>
      <c r="F120" s="29">
        <v>2731.610107</v>
      </c>
      <c r="G120" s="29">
        <v>25390.300780000001</v>
      </c>
      <c r="H120" s="29">
        <v>10.20577145</v>
      </c>
      <c r="I120" s="29">
        <v>8.2637510299999999</v>
      </c>
      <c r="J120" s="29">
        <v>10.855742449999999</v>
      </c>
      <c r="L120" s="30">
        <f t="shared" si="16"/>
        <v>-3.5762830430968728E-3</v>
      </c>
      <c r="M120" s="30">
        <f t="shared" si="16"/>
        <v>-8.4863724090851189E-3</v>
      </c>
      <c r="N120" s="30">
        <f t="shared" si="16"/>
        <v>6.5225208903909593E-3</v>
      </c>
      <c r="O120" s="30">
        <f t="shared" si="15"/>
        <v>-3.6875958103981255E-3</v>
      </c>
      <c r="P120" s="30">
        <f t="shared" si="15"/>
        <v>-2.2244380717381107E-3</v>
      </c>
      <c r="Q120" s="30">
        <f t="shared" si="15"/>
        <v>-8.3500516271561853E-4</v>
      </c>
      <c r="R120" s="30">
        <f t="shared" si="15"/>
        <v>0</v>
      </c>
      <c r="S120" s="30">
        <f t="shared" si="15"/>
        <v>0</v>
      </c>
      <c r="T120" s="30">
        <f t="shared" si="15"/>
        <v>0</v>
      </c>
      <c r="U120" s="63">
        <f t="shared" si="14"/>
        <v>-2.1315994504465473E-3</v>
      </c>
    </row>
    <row r="121" spans="1:21">
      <c r="A121" s="28">
        <v>43503</v>
      </c>
      <c r="B121" s="29">
        <v>1309.400024</v>
      </c>
      <c r="C121" s="29">
        <v>15.67500019</v>
      </c>
      <c r="D121" s="29">
        <v>52.63999939</v>
      </c>
      <c r="E121" s="29">
        <v>6904.9799800000001</v>
      </c>
      <c r="F121" s="29">
        <v>2706.0500489999999</v>
      </c>
      <c r="G121" s="29">
        <v>25169.529299999998</v>
      </c>
      <c r="H121" s="29">
        <v>10.214762690000001</v>
      </c>
      <c r="I121" s="29">
        <v>8.2813520430000001</v>
      </c>
      <c r="J121" s="29">
        <v>10.864517210000001</v>
      </c>
      <c r="L121" s="30">
        <f t="shared" si="16"/>
        <v>-7.6346697212681391E-5</v>
      </c>
      <c r="M121" s="30">
        <f t="shared" si="16"/>
        <v>1.2135954158212225E-3</v>
      </c>
      <c r="N121" s="30">
        <f t="shared" si="16"/>
        <v>-2.5365654001375693E-2</v>
      </c>
      <c r="O121" s="30">
        <f t="shared" si="15"/>
        <v>-1.3238806258565106E-2</v>
      </c>
      <c r="P121" s="30">
        <f t="shared" si="15"/>
        <v>-9.357139928022673E-3</v>
      </c>
      <c r="Q121" s="30">
        <f t="shared" si="15"/>
        <v>-8.6951108579975678E-3</v>
      </c>
      <c r="R121" s="30">
        <f t="shared" si="15"/>
        <v>8.8099562527443886E-4</v>
      </c>
      <c r="S121" s="30">
        <f t="shared" si="15"/>
        <v>2.1299060119432944E-3</v>
      </c>
      <c r="T121" s="30">
        <f t="shared" si="15"/>
        <v>8.0830583816959845E-4</v>
      </c>
      <c r="U121" s="63">
        <f t="shared" si="14"/>
        <v>-6.0363367753776811E-3</v>
      </c>
    </row>
    <row r="122" spans="1:21">
      <c r="A122" s="28">
        <v>43504</v>
      </c>
      <c r="B122" s="29">
        <v>1313.6999510000001</v>
      </c>
      <c r="C122" s="29">
        <v>15.772999759999999</v>
      </c>
      <c r="D122" s="29">
        <v>52.72000122</v>
      </c>
      <c r="E122" s="29">
        <v>6913.1298829999996</v>
      </c>
      <c r="F122" s="29">
        <v>2707.8798830000001</v>
      </c>
      <c r="G122" s="29">
        <v>25106.33008</v>
      </c>
      <c r="H122" s="29">
        <v>10.232744220000001</v>
      </c>
      <c r="I122" s="29">
        <v>8.2901525500000002</v>
      </c>
      <c r="J122" s="29">
        <v>10.882070540000001</v>
      </c>
      <c r="L122" s="30">
        <f t="shared" si="16"/>
        <v>3.2838910349677342E-3</v>
      </c>
      <c r="M122" s="30">
        <f t="shared" si="16"/>
        <v>6.2519661124162962E-3</v>
      </c>
      <c r="N122" s="30">
        <f t="shared" si="16"/>
        <v>1.5197916209550577E-3</v>
      </c>
      <c r="O122" s="30">
        <f t="shared" si="15"/>
        <v>1.1802935017342087E-3</v>
      </c>
      <c r="P122" s="30">
        <f t="shared" si="15"/>
        <v>6.7620109268728967E-4</v>
      </c>
      <c r="Q122" s="30">
        <f t="shared" si="15"/>
        <v>-2.5109416726358802E-3</v>
      </c>
      <c r="R122" s="30">
        <f t="shared" si="15"/>
        <v>1.7603473076868159E-3</v>
      </c>
      <c r="S122" s="30">
        <f t="shared" si="15"/>
        <v>1.0626896374292816E-3</v>
      </c>
      <c r="T122" s="30">
        <f t="shared" si="15"/>
        <v>1.6156566979197429E-3</v>
      </c>
      <c r="U122" s="63">
        <f t="shared" si="14"/>
        <v>1.8855493797579836E-3</v>
      </c>
    </row>
    <row r="123" spans="1:21">
      <c r="A123" s="28">
        <v>43507</v>
      </c>
      <c r="B123" s="29">
        <v>1307</v>
      </c>
      <c r="C123" s="29">
        <v>15.65699959</v>
      </c>
      <c r="D123" s="29">
        <v>52.409999849999998</v>
      </c>
      <c r="E123" s="29">
        <v>6909.1801759999998</v>
      </c>
      <c r="F123" s="29">
        <v>2709.8000489999999</v>
      </c>
      <c r="G123" s="29">
        <v>25053.109380000002</v>
      </c>
      <c r="H123" s="29">
        <v>10.214762690000001</v>
      </c>
      <c r="I123" s="29">
        <v>8.2725505829999992</v>
      </c>
      <c r="J123" s="29">
        <v>10.87329388</v>
      </c>
      <c r="L123" s="30">
        <f t="shared" si="16"/>
        <v>-5.1000618481411575E-3</v>
      </c>
      <c r="M123" s="30">
        <f t="shared" si="16"/>
        <v>-7.3543505842289525E-3</v>
      </c>
      <c r="N123" s="30">
        <f t="shared" si="16"/>
        <v>-5.880147246324352E-3</v>
      </c>
      <c r="O123" s="30">
        <f t="shared" si="15"/>
        <v>-5.7133412316068277E-4</v>
      </c>
      <c r="P123" s="30">
        <f t="shared" si="15"/>
        <v>7.0910309281235762E-4</v>
      </c>
      <c r="Q123" s="30">
        <f t="shared" si="15"/>
        <v>-2.1198120087807526E-3</v>
      </c>
      <c r="R123" s="30">
        <f t="shared" si="15"/>
        <v>-1.7572539304613333E-3</v>
      </c>
      <c r="S123" s="30">
        <f t="shared" si="15"/>
        <v>-2.1232380096553038E-3</v>
      </c>
      <c r="T123" s="30">
        <f t="shared" si="15"/>
        <v>-8.0652482151621907E-4</v>
      </c>
      <c r="U123" s="63">
        <f t="shared" si="14"/>
        <v>-2.1551172775786383E-3</v>
      </c>
    </row>
    <row r="124" spans="1:21">
      <c r="A124" s="28">
        <v>43508</v>
      </c>
      <c r="B124" s="29">
        <v>1309.1999510000001</v>
      </c>
      <c r="C124" s="29">
        <v>15.65999985</v>
      </c>
      <c r="D124" s="29">
        <v>53.099998470000003</v>
      </c>
      <c r="E124" s="29">
        <v>7014.669922</v>
      </c>
      <c r="F124" s="29">
        <v>2744.7299800000001</v>
      </c>
      <c r="G124" s="29">
        <v>25425.759770000001</v>
      </c>
      <c r="H124" s="29">
        <v>10.20577145</v>
      </c>
      <c r="I124" s="29">
        <v>8.2725505829999992</v>
      </c>
      <c r="J124" s="29">
        <v>10.864517210000001</v>
      </c>
      <c r="L124" s="30">
        <f t="shared" si="16"/>
        <v>1.6832065799541329E-3</v>
      </c>
      <c r="M124" s="30">
        <f t="shared" si="16"/>
        <v>1.9162419866947111E-4</v>
      </c>
      <c r="N124" s="30">
        <f t="shared" si="16"/>
        <v>1.3165400152162166E-2</v>
      </c>
      <c r="O124" s="30">
        <f t="shared" si="15"/>
        <v>1.5268055444035644E-2</v>
      </c>
      <c r="P124" s="30">
        <f t="shared" si="15"/>
        <v>1.2890224506745485E-2</v>
      </c>
      <c r="Q124" s="30">
        <f t="shared" si="15"/>
        <v>1.4874416757924891E-2</v>
      </c>
      <c r="R124" s="30">
        <f t="shared" si="15"/>
        <v>-8.8022015516842078E-4</v>
      </c>
      <c r="S124" s="30">
        <f t="shared" si="15"/>
        <v>0</v>
      </c>
      <c r="T124" s="30">
        <f t="shared" si="15"/>
        <v>-8.0717674854191568E-4</v>
      </c>
      <c r="U124" s="63">
        <f t="shared" si="14"/>
        <v>7.1872765543005406E-3</v>
      </c>
    </row>
    <row r="125" spans="1:21">
      <c r="A125" s="28">
        <v>43509</v>
      </c>
      <c r="B125" s="29">
        <v>1310.8000489999999</v>
      </c>
      <c r="C125" s="29">
        <v>15.623999599999999</v>
      </c>
      <c r="D125" s="29">
        <v>53.900001529999997</v>
      </c>
      <c r="E125" s="29">
        <v>7015.8798829999996</v>
      </c>
      <c r="F125" s="29">
        <v>2753.030029</v>
      </c>
      <c r="G125" s="29">
        <v>25543.269530000001</v>
      </c>
      <c r="H125" s="29">
        <v>10.196782109999999</v>
      </c>
      <c r="I125" s="29">
        <v>8.2637510299999999</v>
      </c>
      <c r="J125" s="29">
        <v>10.855742449999999</v>
      </c>
      <c r="L125" s="30">
        <f t="shared" si="16"/>
        <v>1.222195279473981E-3</v>
      </c>
      <c r="M125" s="30">
        <f t="shared" si="16"/>
        <v>-2.2988665609725567E-3</v>
      </c>
      <c r="N125" s="30">
        <f t="shared" si="16"/>
        <v>1.5065971432220993E-2</v>
      </c>
      <c r="O125" s="30">
        <f t="shared" si="15"/>
        <v>1.7249008341857497E-4</v>
      </c>
      <c r="P125" s="30">
        <f t="shared" si="15"/>
        <v>3.0239947318970728E-3</v>
      </c>
      <c r="Q125" s="30">
        <f t="shared" si="15"/>
        <v>4.6216813602812934E-3</v>
      </c>
      <c r="R125" s="30">
        <f t="shared" si="15"/>
        <v>-8.8080945610446992E-4</v>
      </c>
      <c r="S125" s="30">
        <f t="shared" si="15"/>
        <v>-1.0637049494847117E-3</v>
      </c>
      <c r="T125" s="30">
        <f t="shared" si="15"/>
        <v>-8.0765300752849711E-4</v>
      </c>
      <c r="U125" s="63">
        <f t="shared" si="14"/>
        <v>1.7026395587856785E-3</v>
      </c>
    </row>
    <row r="126" spans="1:21">
      <c r="A126" s="28">
        <v>43510</v>
      </c>
      <c r="B126" s="29">
        <v>1309.8000489999999</v>
      </c>
      <c r="C126" s="29">
        <v>15.5</v>
      </c>
      <c r="D126" s="29">
        <v>54.409999849999998</v>
      </c>
      <c r="E126" s="29">
        <v>7022.419922</v>
      </c>
      <c r="F126" s="29">
        <v>2745.7299800000001</v>
      </c>
      <c r="G126" s="29">
        <v>25439.390630000002</v>
      </c>
      <c r="H126" s="29">
        <v>10.214762690000001</v>
      </c>
      <c r="I126" s="29">
        <v>8.2725505829999992</v>
      </c>
      <c r="J126" s="29">
        <v>10.87329388</v>
      </c>
      <c r="L126" s="30">
        <f t="shared" si="16"/>
        <v>-7.6289286132003031E-4</v>
      </c>
      <c r="M126" s="30">
        <f t="shared" si="16"/>
        <v>-7.9364825380563442E-3</v>
      </c>
      <c r="N126" s="30">
        <f t="shared" si="16"/>
        <v>9.4619351674070096E-3</v>
      </c>
      <c r="O126" s="30">
        <f t="shared" si="15"/>
        <v>9.321765921117553E-4</v>
      </c>
      <c r="P126" s="30">
        <f t="shared" si="15"/>
        <v>-2.6516416178182789E-3</v>
      </c>
      <c r="Q126" s="30">
        <f t="shared" si="15"/>
        <v>-4.0667816576103188E-3</v>
      </c>
      <c r="R126" s="30">
        <f t="shared" si="15"/>
        <v>1.7633582640124157E-3</v>
      </c>
      <c r="S126" s="30">
        <f t="shared" si="15"/>
        <v>1.064837622534176E-3</v>
      </c>
      <c r="T126" s="30">
        <f t="shared" si="15"/>
        <v>1.61678762008588E-3</v>
      </c>
      <c r="U126" s="63">
        <f t="shared" si="14"/>
        <v>-9.9943364857594998E-4</v>
      </c>
    </row>
    <row r="127" spans="1:21">
      <c r="A127" s="28">
        <v>43511</v>
      </c>
      <c r="B127" s="29">
        <v>1318.099976</v>
      </c>
      <c r="C127" s="29">
        <v>15.722999570000001</v>
      </c>
      <c r="D127" s="29">
        <v>55.590000150000002</v>
      </c>
      <c r="E127" s="29">
        <v>7055.1801759999998</v>
      </c>
      <c r="F127" s="29">
        <v>2775.6000979999999</v>
      </c>
      <c r="G127" s="29">
        <v>25883.25</v>
      </c>
      <c r="H127" s="29">
        <v>10.214762690000001</v>
      </c>
      <c r="I127" s="29">
        <v>8.2725505829999992</v>
      </c>
      <c r="J127" s="29">
        <v>10.87329388</v>
      </c>
      <c r="L127" s="30">
        <f t="shared" si="16"/>
        <v>6.3367893491352856E-3</v>
      </c>
      <c r="M127" s="30">
        <f t="shared" si="16"/>
        <v>1.438706903225806E-2</v>
      </c>
      <c r="N127" s="30">
        <f t="shared" si="16"/>
        <v>2.1687195428286676E-2</v>
      </c>
      <c r="O127" s="30">
        <f t="shared" si="15"/>
        <v>4.6650947057962355E-3</v>
      </c>
      <c r="P127" s="30">
        <f t="shared" si="15"/>
        <v>1.0878752906358091E-2</v>
      </c>
      <c r="Q127" s="30">
        <f t="shared" si="15"/>
        <v>1.7447720209011974E-2</v>
      </c>
      <c r="R127" s="30">
        <f t="shared" si="15"/>
        <v>0</v>
      </c>
      <c r="S127" s="30">
        <f t="shared" si="15"/>
        <v>0</v>
      </c>
      <c r="T127" s="30">
        <f t="shared" si="15"/>
        <v>0</v>
      </c>
      <c r="U127" s="63">
        <f t="shared" si="14"/>
        <v>8.5780633306220978E-3</v>
      </c>
    </row>
    <row r="128" spans="1:21">
      <c r="A128" s="28">
        <v>43515</v>
      </c>
      <c r="B128" s="29">
        <v>1340.099976</v>
      </c>
      <c r="C128" s="29">
        <v>15.946999549999999</v>
      </c>
      <c r="D128" s="29">
        <v>56.090000150000002</v>
      </c>
      <c r="E128" s="29">
        <v>7066.6098629999997</v>
      </c>
      <c r="F128" s="29">
        <v>2779.76001</v>
      </c>
      <c r="G128" s="29">
        <v>25891.320309999999</v>
      </c>
      <c r="H128" s="29">
        <v>10.232744220000001</v>
      </c>
      <c r="I128" s="29">
        <v>8.2813520430000001</v>
      </c>
      <c r="J128" s="29">
        <v>10.890845300000001</v>
      </c>
      <c r="L128" s="30">
        <f t="shared" si="16"/>
        <v>1.6690691450251594E-2</v>
      </c>
      <c r="M128" s="30">
        <f t="shared" si="16"/>
        <v>1.4246644159896737E-2</v>
      </c>
      <c r="N128" s="30">
        <f t="shared" si="16"/>
        <v>8.9944234331864603E-3</v>
      </c>
      <c r="O128" s="30">
        <f t="shared" si="15"/>
        <v>1.620041829531349E-3</v>
      </c>
      <c r="P128" s="30">
        <f t="shared" si="15"/>
        <v>1.4987432818573954E-3</v>
      </c>
      <c r="Q128" s="30">
        <f t="shared" si="15"/>
        <v>3.1179662523062035E-4</v>
      </c>
      <c r="R128" s="30">
        <f t="shared" si="15"/>
        <v>1.7603473076868159E-3</v>
      </c>
      <c r="S128" s="30">
        <f t="shared" si="15"/>
        <v>1.0639354708918969E-3</v>
      </c>
      <c r="T128" s="30">
        <f t="shared" si="15"/>
        <v>1.6141769176571952E-3</v>
      </c>
      <c r="U128" s="63">
        <f t="shared" si="14"/>
        <v>4.78944699146248E-3</v>
      </c>
    </row>
    <row r="129" spans="1:21">
      <c r="A129" s="28">
        <v>43516</v>
      </c>
      <c r="B129" s="29">
        <v>1343.3000489999999</v>
      </c>
      <c r="C129" s="29">
        <v>16.156999590000002</v>
      </c>
      <c r="D129" s="29">
        <v>56.91999817</v>
      </c>
      <c r="E129" s="29">
        <v>7062.3398440000001</v>
      </c>
      <c r="F129" s="29">
        <v>2784.6999510000001</v>
      </c>
      <c r="G129" s="29">
        <v>25954.439450000002</v>
      </c>
      <c r="H129" s="29">
        <v>10.223756789999999</v>
      </c>
      <c r="I129" s="29">
        <v>8.2813520430000001</v>
      </c>
      <c r="J129" s="29">
        <v>10.882070540000001</v>
      </c>
      <c r="L129" s="30">
        <f t="shared" si="16"/>
        <v>2.3879360176930486E-3</v>
      </c>
      <c r="M129" s="30">
        <f t="shared" si="16"/>
        <v>1.3168623937159563E-2</v>
      </c>
      <c r="N129" s="30">
        <f t="shared" si="16"/>
        <v>1.4797611299346647E-2</v>
      </c>
      <c r="O129" s="30">
        <f t="shared" si="15"/>
        <v>-6.042528288362492E-4</v>
      </c>
      <c r="P129" s="30">
        <f t="shared" si="15"/>
        <v>1.777110607472876E-3</v>
      </c>
      <c r="Q129" s="30">
        <f t="shared" si="15"/>
        <v>2.437849412245896E-3</v>
      </c>
      <c r="R129" s="30">
        <f t="shared" si="15"/>
        <v>-8.783010507029676E-4</v>
      </c>
      <c r="S129" s="30">
        <f t="shared" si="15"/>
        <v>0</v>
      </c>
      <c r="T129" s="30">
        <f t="shared" si="15"/>
        <v>-8.0570054557649318E-4</v>
      </c>
      <c r="U129" s="63">
        <f t="shared" si="14"/>
        <v>3.6888568115092126E-3</v>
      </c>
    </row>
    <row r="130" spans="1:21">
      <c r="A130" s="28">
        <v>43517</v>
      </c>
      <c r="B130" s="29">
        <v>1323.5</v>
      </c>
      <c r="C130" s="29">
        <v>15.791000370000001</v>
      </c>
      <c r="D130" s="29">
        <v>56.959999080000003</v>
      </c>
      <c r="E130" s="29">
        <v>7035.1601559999999</v>
      </c>
      <c r="F130" s="29">
        <v>2774.8798830000001</v>
      </c>
      <c r="G130" s="29">
        <v>25850.630860000001</v>
      </c>
      <c r="H130" s="29">
        <v>10.196782109999999</v>
      </c>
      <c r="I130" s="29">
        <v>8.2637510299999999</v>
      </c>
      <c r="J130" s="29">
        <v>10.855742449999999</v>
      </c>
      <c r="L130" s="30">
        <f t="shared" si="16"/>
        <v>-1.4739855786307654E-2</v>
      </c>
      <c r="M130" s="30">
        <f t="shared" si="16"/>
        <v>-2.2652672481747627E-2</v>
      </c>
      <c r="N130" s="30">
        <f t="shared" si="16"/>
        <v>7.0275669863040235E-4</v>
      </c>
      <c r="O130" s="30">
        <f t="shared" si="15"/>
        <v>-3.8485386713712488E-3</v>
      </c>
      <c r="P130" s="30">
        <f t="shared" si="15"/>
        <v>-3.526436662044552E-3</v>
      </c>
      <c r="Q130" s="30">
        <f t="shared" si="15"/>
        <v>-3.9996467733384167E-3</v>
      </c>
      <c r="R130" s="30">
        <f t="shared" si="15"/>
        <v>-2.6384313079889088E-3</v>
      </c>
      <c r="S130" s="30">
        <f t="shared" si="15"/>
        <v>-2.1253791541053779E-3</v>
      </c>
      <c r="T130" s="30">
        <f t="shared" si="15"/>
        <v>-2.4194007843659771E-3</v>
      </c>
      <c r="U130" s="63">
        <f t="shared" si="14"/>
        <v>-6.4550412485015751E-3</v>
      </c>
    </row>
    <row r="131" spans="1:21">
      <c r="A131" s="28">
        <v>43518</v>
      </c>
      <c r="B131" s="29">
        <v>1329.1999510000001</v>
      </c>
      <c r="C131" s="29">
        <v>15.90799999</v>
      </c>
      <c r="D131" s="29">
        <v>57.259998320000001</v>
      </c>
      <c r="E131" s="29">
        <v>7090.6298829999996</v>
      </c>
      <c r="F131" s="29">
        <v>2792.669922</v>
      </c>
      <c r="G131" s="29">
        <v>26031.810549999998</v>
      </c>
      <c r="H131" s="29">
        <v>10.223756789999999</v>
      </c>
      <c r="I131" s="29">
        <v>8.2813520430000001</v>
      </c>
      <c r="J131" s="29">
        <v>10.882070540000001</v>
      </c>
      <c r="L131" s="30">
        <f t="shared" si="16"/>
        <v>4.3067253494522006E-3</v>
      </c>
      <c r="M131" s="30">
        <f t="shared" si="16"/>
        <v>7.409259531288237E-3</v>
      </c>
      <c r="N131" s="30">
        <f t="shared" si="16"/>
        <v>5.2668406749558638E-3</v>
      </c>
      <c r="O131" s="30">
        <f t="shared" si="15"/>
        <v>7.8846431026438069E-3</v>
      </c>
      <c r="P131" s="30">
        <f t="shared" si="15"/>
        <v>6.4111023720301308E-3</v>
      </c>
      <c r="Q131" s="30">
        <f t="shared" si="15"/>
        <v>7.0087144480619479E-3</v>
      </c>
      <c r="R131" s="30">
        <f t="shared" si="15"/>
        <v>2.6454110433080658E-3</v>
      </c>
      <c r="S131" s="30">
        <f t="shared" si="15"/>
        <v>2.1299060119432944E-3</v>
      </c>
      <c r="T131" s="30">
        <f t="shared" si="15"/>
        <v>2.4252684808308E-3</v>
      </c>
      <c r="U131" s="63">
        <f t="shared" si="14"/>
        <v>5.4655196289186128E-3</v>
      </c>
    </row>
    <row r="132" spans="1:21">
      <c r="A132" s="28">
        <v>43521</v>
      </c>
      <c r="B132" s="29">
        <v>1325.900024</v>
      </c>
      <c r="C132" s="29">
        <v>15.82499981</v>
      </c>
      <c r="D132" s="29">
        <v>55.479999540000001</v>
      </c>
      <c r="E132" s="29">
        <v>7115.4301759999998</v>
      </c>
      <c r="F132" s="29">
        <v>2796.110107</v>
      </c>
      <c r="G132" s="29">
        <v>26091.949219999999</v>
      </c>
      <c r="H132" s="29">
        <v>10.214762690000001</v>
      </c>
      <c r="I132" s="29">
        <v>8.2725505829999992</v>
      </c>
      <c r="J132" s="29">
        <v>10.882070540000001</v>
      </c>
      <c r="L132" s="30">
        <f t="shared" si="16"/>
        <v>-2.482641529980012E-3</v>
      </c>
      <c r="M132" s="30">
        <f t="shared" si="16"/>
        <v>-5.2175119469559661E-3</v>
      </c>
      <c r="N132" s="30">
        <f t="shared" si="16"/>
        <v>-3.1086252745806897E-2</v>
      </c>
      <c r="O132" s="30">
        <f t="shared" si="15"/>
        <v>3.4976149381960031E-3</v>
      </c>
      <c r="P132" s="30">
        <f t="shared" si="15"/>
        <v>1.2318623740310564E-3</v>
      </c>
      <c r="Q132" s="30">
        <f t="shared" si="15"/>
        <v>2.3101992803953308E-3</v>
      </c>
      <c r="R132" s="30">
        <f t="shared" si="15"/>
        <v>-8.7972554362758526E-4</v>
      </c>
      <c r="S132" s="30">
        <f t="shared" si="15"/>
        <v>-1.06280471525666E-3</v>
      </c>
      <c r="T132" s="30">
        <f t="shared" si="15"/>
        <v>0</v>
      </c>
      <c r="U132" s="63">
        <f t="shared" ref="U132:U195" si="17">SUMPRODUCT($L$2:$T$2,L132:T132)</f>
        <v>-2.6026358008618307E-3</v>
      </c>
    </row>
    <row r="133" spans="1:21">
      <c r="A133" s="28">
        <v>43522</v>
      </c>
      <c r="B133" s="29">
        <v>1325.099976</v>
      </c>
      <c r="C133" s="29">
        <v>15.82699966</v>
      </c>
      <c r="D133" s="29">
        <v>55.5</v>
      </c>
      <c r="E133" s="29">
        <v>7123.2202150000003</v>
      </c>
      <c r="F133" s="29">
        <v>2793.8999020000001</v>
      </c>
      <c r="G133" s="29">
        <v>26057.980469999999</v>
      </c>
      <c r="H133" s="29">
        <v>10.232744220000001</v>
      </c>
      <c r="I133" s="29">
        <v>8.2901525500000002</v>
      </c>
      <c r="J133" s="29">
        <v>10.899621959999999</v>
      </c>
      <c r="L133" s="30">
        <f t="shared" si="16"/>
        <v>-6.0339994382563322E-4</v>
      </c>
      <c r="M133" s="30">
        <f t="shared" si="16"/>
        <v>1.2637282932148608E-4</v>
      </c>
      <c r="N133" s="30">
        <f t="shared" si="16"/>
        <v>3.6049856102793321E-4</v>
      </c>
      <c r="O133" s="30">
        <f t="shared" si="15"/>
        <v>1.0948092817038013E-3</v>
      </c>
      <c r="P133" s="30">
        <f t="shared" si="15"/>
        <v>-7.9045706907843183E-4</v>
      </c>
      <c r="Q133" s="30">
        <f t="shared" si="15"/>
        <v>-1.3018862528662023E-3</v>
      </c>
      <c r="R133" s="30">
        <f t="shared" si="15"/>
        <v>1.7603473076868159E-3</v>
      </c>
      <c r="S133" s="30">
        <f t="shared" si="15"/>
        <v>2.1277557415209092E-3</v>
      </c>
      <c r="T133" s="30">
        <f t="shared" si="15"/>
        <v>1.6128750439066142E-3</v>
      </c>
      <c r="U133" s="63">
        <f t="shared" si="17"/>
        <v>3.5103726093710022E-4</v>
      </c>
    </row>
    <row r="134" spans="1:21">
      <c r="A134" s="28">
        <v>43523</v>
      </c>
      <c r="B134" s="29">
        <v>1317.6999510000001</v>
      </c>
      <c r="C134" s="29">
        <v>15.67199993</v>
      </c>
      <c r="D134" s="29">
        <v>56.939998629999998</v>
      </c>
      <c r="E134" s="29">
        <v>7117</v>
      </c>
      <c r="F134" s="29">
        <v>2792.3798830000001</v>
      </c>
      <c r="G134" s="29">
        <v>25985.160159999999</v>
      </c>
      <c r="H134" s="29">
        <v>10.20577145</v>
      </c>
      <c r="I134" s="29">
        <v>8.2637510299999999</v>
      </c>
      <c r="J134" s="29">
        <v>10.87329388</v>
      </c>
      <c r="L134" s="30">
        <f t="shared" si="16"/>
        <v>-5.5845031575186832E-3</v>
      </c>
      <c r="M134" s="30">
        <f t="shared" si="16"/>
        <v>-9.7933741915553485E-3</v>
      </c>
      <c r="N134" s="30">
        <f t="shared" si="16"/>
        <v>2.5945921261261162E-2</v>
      </c>
      <c r="O134" s="30">
        <f t="shared" si="15"/>
        <v>-8.7323075972045583E-4</v>
      </c>
      <c r="P134" s="30">
        <f t="shared" si="15"/>
        <v>-5.4404919765094206E-4</v>
      </c>
      <c r="Q134" s="30">
        <f t="shared" si="15"/>
        <v>-2.7945492584828813E-3</v>
      </c>
      <c r="R134" s="30">
        <f t="shared" si="15"/>
        <v>-2.6359273153023777E-3</v>
      </c>
      <c r="S134" s="30">
        <f t="shared" si="15"/>
        <v>-3.1846844603601321E-3</v>
      </c>
      <c r="T134" s="30">
        <f t="shared" si="15"/>
        <v>-2.4155039593684036E-3</v>
      </c>
      <c r="U134" s="63">
        <f t="shared" si="17"/>
        <v>-9.1309483293507035E-4</v>
      </c>
    </row>
    <row r="135" spans="1:21">
      <c r="A135" s="28">
        <v>43524</v>
      </c>
      <c r="B135" s="29">
        <v>1312.8000489999999</v>
      </c>
      <c r="C135" s="29">
        <v>15.53800011</v>
      </c>
      <c r="D135" s="29">
        <v>57.22000122</v>
      </c>
      <c r="E135" s="29">
        <v>7097.5297849999997</v>
      </c>
      <c r="F135" s="29">
        <v>2784.48999</v>
      </c>
      <c r="G135" s="29">
        <v>25916</v>
      </c>
      <c r="H135" s="29">
        <v>10.211176869999999</v>
      </c>
      <c r="I135" s="29">
        <v>8.2831602100000001</v>
      </c>
      <c r="J135" s="29">
        <v>10.864501949999999</v>
      </c>
      <c r="L135" s="30">
        <f t="shared" si="16"/>
        <v>-3.7185263582059092E-3</v>
      </c>
      <c r="M135" s="30">
        <f t="shared" si="16"/>
        <v>-8.5502693082259995E-3</v>
      </c>
      <c r="N135" s="30">
        <f t="shared" si="16"/>
        <v>4.917502577045596E-3</v>
      </c>
      <c r="O135" s="30">
        <f t="shared" si="15"/>
        <v>-2.7357334551075807E-3</v>
      </c>
      <c r="P135" s="30">
        <f t="shared" si="15"/>
        <v>-2.8255084661058527E-3</v>
      </c>
      <c r="Q135" s="30">
        <f t="shared" si="15"/>
        <v>-2.6615252541895007E-3</v>
      </c>
      <c r="R135" s="30">
        <f t="shared" si="15"/>
        <v>5.2964344993222667E-4</v>
      </c>
      <c r="S135" s="30">
        <f t="shared" si="15"/>
        <v>2.3487130637815934E-3</v>
      </c>
      <c r="T135" s="30">
        <f t="shared" si="15"/>
        <v>-8.0858018711083002E-4</v>
      </c>
      <c r="U135" s="63">
        <f t="shared" si="17"/>
        <v>-2.1618566209779476E-3</v>
      </c>
    </row>
    <row r="136" spans="1:21">
      <c r="A136" s="28">
        <v>43525</v>
      </c>
      <c r="B136" s="29">
        <v>1296.400024</v>
      </c>
      <c r="C136" s="29">
        <v>15.16899967</v>
      </c>
      <c r="D136" s="29">
        <v>55.799999239999998</v>
      </c>
      <c r="E136" s="29">
        <v>7151.5698240000002</v>
      </c>
      <c r="F136" s="29">
        <v>2803.6899410000001</v>
      </c>
      <c r="G136" s="29">
        <v>26026.320309999999</v>
      </c>
      <c r="H136" s="29">
        <v>10.19315052</v>
      </c>
      <c r="I136" s="29">
        <v>8.2655143740000003</v>
      </c>
      <c r="J136" s="29">
        <v>10.83813477</v>
      </c>
      <c r="L136" s="30">
        <f t="shared" si="16"/>
        <v>-1.2492401270469466E-2</v>
      </c>
      <c r="M136" s="30">
        <f t="shared" si="16"/>
        <v>-2.3748258294998825E-2</v>
      </c>
      <c r="N136" s="30">
        <f t="shared" si="16"/>
        <v>-2.4816531802234088E-2</v>
      </c>
      <c r="O136" s="30">
        <f t="shared" si="15"/>
        <v>7.6139221161437565E-3</v>
      </c>
      <c r="P136" s="30">
        <f t="shared" si="15"/>
        <v>6.8953205322890287E-3</v>
      </c>
      <c r="Q136" s="30">
        <f t="shared" si="15"/>
        <v>4.2568417194011055E-3</v>
      </c>
      <c r="R136" s="30">
        <f t="shared" si="15"/>
        <v>-1.7653547900986499E-3</v>
      </c>
      <c r="S136" s="30">
        <f t="shared" si="15"/>
        <v>-2.1303265363256108E-3</v>
      </c>
      <c r="T136" s="30">
        <f t="shared" si="15"/>
        <v>-2.4269110651684578E-3</v>
      </c>
      <c r="U136" s="63">
        <f t="shared" si="17"/>
        <v>-3.6031495108966986E-3</v>
      </c>
    </row>
    <row r="137" spans="1:21">
      <c r="A137" s="28">
        <v>43528</v>
      </c>
      <c r="B137" s="29">
        <v>1284.8000489999999</v>
      </c>
      <c r="C137" s="29">
        <v>15.0170002</v>
      </c>
      <c r="D137" s="29">
        <v>56.590000150000002</v>
      </c>
      <c r="E137" s="29">
        <v>7150.830078</v>
      </c>
      <c r="F137" s="29">
        <v>2792.8100589999999</v>
      </c>
      <c r="G137" s="29">
        <v>25819.650389999999</v>
      </c>
      <c r="H137" s="29">
        <v>10.211176869999999</v>
      </c>
      <c r="I137" s="29">
        <v>8.2743368149999998</v>
      </c>
      <c r="J137" s="29">
        <v>10.864501949999999</v>
      </c>
      <c r="L137" s="30">
        <f t="shared" si="16"/>
        <v>-8.9478361503023685E-3</v>
      </c>
      <c r="M137" s="30">
        <f t="shared" si="16"/>
        <v>-1.0020401694688652E-2</v>
      </c>
      <c r="N137" s="30">
        <f t="shared" si="16"/>
        <v>1.4157722594262845E-2</v>
      </c>
      <c r="O137" s="30">
        <f t="shared" si="15"/>
        <v>-1.0343826854875005E-4</v>
      </c>
      <c r="P137" s="30">
        <f t="shared" si="15"/>
        <v>-3.8805582032795938E-3</v>
      </c>
      <c r="Q137" s="30">
        <f t="shared" si="15"/>
        <v>-7.940804444821703E-3</v>
      </c>
      <c r="R137" s="30">
        <f t="shared" si="15"/>
        <v>1.7684767790517864E-3</v>
      </c>
      <c r="S137" s="30">
        <f t="shared" si="15"/>
        <v>1.067379548422398E-3</v>
      </c>
      <c r="T137" s="30">
        <f t="shared" si="15"/>
        <v>2.4328152915189527E-3</v>
      </c>
      <c r="U137" s="63">
        <f t="shared" si="17"/>
        <v>-1.9371542413688559E-3</v>
      </c>
    </row>
    <row r="138" spans="1:21">
      <c r="A138" s="28">
        <v>43529</v>
      </c>
      <c r="B138" s="29">
        <v>1282</v>
      </c>
      <c r="C138" s="29">
        <v>15.02000046</v>
      </c>
      <c r="D138" s="29">
        <v>56.560001370000002</v>
      </c>
      <c r="E138" s="29">
        <v>7156.7900390000004</v>
      </c>
      <c r="F138" s="29">
        <v>2789.6499020000001</v>
      </c>
      <c r="G138" s="29">
        <v>25806.630860000001</v>
      </c>
      <c r="H138" s="29">
        <v>10.211176869999999</v>
      </c>
      <c r="I138" s="29">
        <v>8.2743368149999998</v>
      </c>
      <c r="J138" s="29">
        <v>10.873295779999999</v>
      </c>
      <c r="L138" s="30">
        <f t="shared" si="16"/>
        <v>-2.179365576907677E-3</v>
      </c>
      <c r="M138" s="30">
        <f t="shared" si="16"/>
        <v>1.9979090098165564E-4</v>
      </c>
      <c r="N138" s="30">
        <f t="shared" si="16"/>
        <v>-5.3010743807180294E-4</v>
      </c>
      <c r="O138" s="30">
        <f t="shared" si="15"/>
        <v>8.3346421813845772E-4</v>
      </c>
      <c r="P138" s="30">
        <f t="shared" si="15"/>
        <v>-1.1315330914882793E-3</v>
      </c>
      <c r="Q138" s="30">
        <f t="shared" si="15"/>
        <v>-5.0424888808875412E-4</v>
      </c>
      <c r="R138" s="30">
        <f t="shared" si="15"/>
        <v>0</v>
      </c>
      <c r="S138" s="30">
        <f t="shared" si="15"/>
        <v>0</v>
      </c>
      <c r="T138" s="30">
        <f t="shared" si="15"/>
        <v>8.094093995720808E-4</v>
      </c>
      <c r="U138" s="63">
        <f t="shared" si="17"/>
        <v>-3.2249128576587722E-4</v>
      </c>
    </row>
    <row r="139" spans="1:21">
      <c r="A139" s="28">
        <v>43530</v>
      </c>
      <c r="B139" s="29">
        <v>1284.900024</v>
      </c>
      <c r="C139" s="29">
        <v>15.00300026</v>
      </c>
      <c r="D139" s="29">
        <v>56.22000122</v>
      </c>
      <c r="E139" s="29">
        <v>7112.4702150000003</v>
      </c>
      <c r="F139" s="29">
        <v>2771.4499510000001</v>
      </c>
      <c r="G139" s="29">
        <v>25673.460940000001</v>
      </c>
      <c r="H139" s="29">
        <v>10.22920322</v>
      </c>
      <c r="I139" s="29">
        <v>8.2831602100000001</v>
      </c>
      <c r="J139" s="29">
        <v>10.88208199</v>
      </c>
      <c r="L139" s="30">
        <f t="shared" si="16"/>
        <v>2.2621092043682012E-3</v>
      </c>
      <c r="M139" s="30">
        <f t="shared" si="16"/>
        <v>-1.1318375152699067E-3</v>
      </c>
      <c r="N139" s="30">
        <f t="shared" si="16"/>
        <v>-6.0113179237004655E-3</v>
      </c>
      <c r="O139" s="30">
        <f t="shared" si="15"/>
        <v>-6.192695853655783E-3</v>
      </c>
      <c r="P139" s="30">
        <f t="shared" si="15"/>
        <v>-6.5240985927846884E-3</v>
      </c>
      <c r="Q139" s="30">
        <f t="shared" si="15"/>
        <v>-5.160298557469245E-3</v>
      </c>
      <c r="R139" s="30">
        <f t="shared" si="15"/>
        <v>1.765354790098872E-3</v>
      </c>
      <c r="S139" s="30">
        <f t="shared" si="15"/>
        <v>1.0663567603392821E-3</v>
      </c>
      <c r="T139" s="30">
        <f t="shared" si="15"/>
        <v>8.0805398636929482E-4</v>
      </c>
      <c r="U139" s="63">
        <f t="shared" si="17"/>
        <v>-3.1115342739961378E-3</v>
      </c>
    </row>
    <row r="140" spans="1:21">
      <c r="A140" s="28">
        <v>43531</v>
      </c>
      <c r="B140" s="29">
        <v>1283.8000489999999</v>
      </c>
      <c r="C140" s="29">
        <v>14.960000040000001</v>
      </c>
      <c r="D140" s="29">
        <v>56.659999849999998</v>
      </c>
      <c r="E140" s="29">
        <v>7026.8798829999996</v>
      </c>
      <c r="F140" s="29">
        <v>2748.929932</v>
      </c>
      <c r="G140" s="29">
        <v>25473.230469999999</v>
      </c>
      <c r="H140" s="29">
        <v>10.247229580000001</v>
      </c>
      <c r="I140" s="29">
        <v>8.3096218109999995</v>
      </c>
      <c r="J140" s="29">
        <v>10.908452990000001</v>
      </c>
      <c r="L140" s="30">
        <f t="shared" si="16"/>
        <v>-8.5607827804046188E-4</v>
      </c>
      <c r="M140" s="30">
        <f t="shared" si="16"/>
        <v>-2.8661080620416834E-3</v>
      </c>
      <c r="N140" s="30">
        <f t="shared" si="16"/>
        <v>7.8263717618609618E-3</v>
      </c>
      <c r="O140" s="30">
        <f t="shared" si="15"/>
        <v>-1.2033840481959879E-2</v>
      </c>
      <c r="P140" s="30">
        <f t="shared" si="15"/>
        <v>-8.1257173675007843E-3</v>
      </c>
      <c r="Q140" s="30">
        <f t="shared" si="15"/>
        <v>-7.7991226219148446E-3</v>
      </c>
      <c r="R140" s="30">
        <f t="shared" si="15"/>
        <v>1.7622447821503684E-3</v>
      </c>
      <c r="S140" s="30">
        <f t="shared" si="15"/>
        <v>3.1946262451922891E-3</v>
      </c>
      <c r="T140" s="30">
        <f t="shared" si="15"/>
        <v>2.4233414179597457E-3</v>
      </c>
      <c r="U140" s="63">
        <f t="shared" si="17"/>
        <v>-3.3073639486434154E-3</v>
      </c>
    </row>
    <row r="141" spans="1:21">
      <c r="A141" s="28">
        <v>43532</v>
      </c>
      <c r="B141" s="29">
        <v>1297</v>
      </c>
      <c r="C141" s="29">
        <v>15.272000309999999</v>
      </c>
      <c r="D141" s="29">
        <v>56.069999690000003</v>
      </c>
      <c r="E141" s="29">
        <v>7015.6899409999996</v>
      </c>
      <c r="F141" s="29">
        <v>2743.070068</v>
      </c>
      <c r="G141" s="29">
        <v>25450.240229999999</v>
      </c>
      <c r="H141" s="29">
        <v>10.25623798</v>
      </c>
      <c r="I141" s="29">
        <v>8.3096218109999995</v>
      </c>
      <c r="J141" s="29">
        <v>10.917242999999999</v>
      </c>
      <c r="L141" s="30">
        <f t="shared" si="16"/>
        <v>1.0281936825194959E-2</v>
      </c>
      <c r="M141" s="30">
        <f t="shared" si="16"/>
        <v>2.0855632965626647E-2</v>
      </c>
      <c r="N141" s="30">
        <f t="shared" si="16"/>
        <v>-1.0412992614930228E-2</v>
      </c>
      <c r="O141" s="30">
        <f t="shared" si="15"/>
        <v>-1.5924481685066771E-3</v>
      </c>
      <c r="P141" s="30">
        <f t="shared" si="15"/>
        <v>-2.1316891099282254E-3</v>
      </c>
      <c r="Q141" s="30">
        <f t="shared" si="15"/>
        <v>-9.0252549738734089E-4</v>
      </c>
      <c r="R141" s="30">
        <f t="shared" ref="O141:T204" si="18">(H141/H140)-1</f>
        <v>8.7910590171436098E-4</v>
      </c>
      <c r="S141" s="30">
        <f t="shared" si="18"/>
        <v>0</v>
      </c>
      <c r="T141" s="30">
        <f t="shared" si="18"/>
        <v>8.0579803644531545E-4</v>
      </c>
      <c r="U141" s="63">
        <f t="shared" si="17"/>
        <v>2.179698087332644E-3</v>
      </c>
    </row>
    <row r="142" spans="1:21">
      <c r="A142" s="28">
        <v>43535</v>
      </c>
      <c r="B142" s="29">
        <v>1288.8000489999999</v>
      </c>
      <c r="C142" s="29">
        <v>15.196999549999999</v>
      </c>
      <c r="D142" s="29">
        <v>56.790000919999997</v>
      </c>
      <c r="E142" s="29">
        <v>7164.0200199999999</v>
      </c>
      <c r="F142" s="29">
        <v>2783.3000489999999</v>
      </c>
      <c r="G142" s="29">
        <v>25650.880860000001</v>
      </c>
      <c r="H142" s="29">
        <v>10.247229580000001</v>
      </c>
      <c r="I142" s="29">
        <v>8.3096218109999995</v>
      </c>
      <c r="J142" s="29">
        <v>10.908452990000001</v>
      </c>
      <c r="L142" s="30">
        <f t="shared" si="16"/>
        <v>-6.3222444101773689E-3</v>
      </c>
      <c r="M142" s="30">
        <f t="shared" si="16"/>
        <v>-4.9109978049758363E-3</v>
      </c>
      <c r="N142" s="30">
        <f t="shared" si="16"/>
        <v>1.2841113500637436E-2</v>
      </c>
      <c r="O142" s="30">
        <f t="shared" si="18"/>
        <v>2.1142621787367366E-2</v>
      </c>
      <c r="P142" s="30">
        <f t="shared" si="18"/>
        <v>1.4666042063348428E-2</v>
      </c>
      <c r="Q142" s="30">
        <f t="shared" si="18"/>
        <v>7.8836438550977661E-3</v>
      </c>
      <c r="R142" s="30">
        <f t="shared" si="18"/>
        <v>-8.7833375332801999E-4</v>
      </c>
      <c r="S142" s="30">
        <f t="shared" si="18"/>
        <v>0</v>
      </c>
      <c r="T142" s="30">
        <f t="shared" si="18"/>
        <v>-8.0514924876162741E-4</v>
      </c>
      <c r="U142" s="63">
        <f t="shared" si="17"/>
        <v>6.9908264665430458E-3</v>
      </c>
    </row>
    <row r="143" spans="1:21">
      <c r="A143" s="28">
        <v>43536</v>
      </c>
      <c r="B143" s="29">
        <v>1296.3000489999999</v>
      </c>
      <c r="C143" s="29">
        <v>15.338000299999999</v>
      </c>
      <c r="D143" s="29">
        <v>56.869998930000001</v>
      </c>
      <c r="E143" s="29">
        <v>7201.2797849999997</v>
      </c>
      <c r="F143" s="29">
        <v>2791.5200199999999</v>
      </c>
      <c r="G143" s="29">
        <v>25554.660159999999</v>
      </c>
      <c r="H143" s="29">
        <v>10.27426434</v>
      </c>
      <c r="I143" s="29">
        <v>8.3272628780000009</v>
      </c>
      <c r="J143" s="29">
        <v>10.943614009999999</v>
      </c>
      <c r="L143" s="30">
        <f t="shared" si="16"/>
        <v>5.819366631634848E-3</v>
      </c>
      <c r="M143" s="30">
        <f t="shared" si="16"/>
        <v>9.2781966292814211E-3</v>
      </c>
      <c r="N143" s="30">
        <f t="shared" si="16"/>
        <v>1.4086636503616301E-3</v>
      </c>
      <c r="O143" s="30">
        <f t="shared" si="18"/>
        <v>5.2009576879992192E-3</v>
      </c>
      <c r="P143" s="30">
        <f t="shared" si="18"/>
        <v>2.9533183111010164E-3</v>
      </c>
      <c r="Q143" s="30">
        <f t="shared" si="18"/>
        <v>-3.751165526250877E-3</v>
      </c>
      <c r="R143" s="30">
        <f t="shared" si="18"/>
        <v>2.6382506402280459E-3</v>
      </c>
      <c r="S143" s="30">
        <f t="shared" si="18"/>
        <v>2.1229686983645912E-3</v>
      </c>
      <c r="T143" s="30">
        <f t="shared" si="18"/>
        <v>3.2232819843684979E-3</v>
      </c>
      <c r="U143" s="63">
        <f t="shared" si="17"/>
        <v>3.9447769285344903E-3</v>
      </c>
    </row>
    <row r="144" spans="1:21">
      <c r="A144" s="28">
        <v>43537</v>
      </c>
      <c r="B144" s="29">
        <v>1307.5</v>
      </c>
      <c r="C144" s="29">
        <v>15.38099957</v>
      </c>
      <c r="D144" s="29">
        <v>58.259998320000001</v>
      </c>
      <c r="E144" s="29">
        <v>7256.9799800000001</v>
      </c>
      <c r="F144" s="29">
        <v>2810.919922</v>
      </c>
      <c r="G144" s="29">
        <v>25702.890630000002</v>
      </c>
      <c r="H144" s="29">
        <v>10.27426434</v>
      </c>
      <c r="I144" s="29">
        <v>8.3272628780000009</v>
      </c>
      <c r="J144" s="29">
        <v>10.93482208</v>
      </c>
      <c r="L144" s="30">
        <f t="shared" si="16"/>
        <v>8.6399371878755904E-3</v>
      </c>
      <c r="M144" s="30">
        <f t="shared" si="16"/>
        <v>2.803446939559695E-3</v>
      </c>
      <c r="N144" s="30">
        <f t="shared" si="16"/>
        <v>2.4441698894893893E-2</v>
      </c>
      <c r="O144" s="30">
        <f t="shared" si="18"/>
        <v>7.7347633563720208E-3</v>
      </c>
      <c r="P144" s="30">
        <f t="shared" si="18"/>
        <v>6.9495836895341334E-3</v>
      </c>
      <c r="Q144" s="30">
        <f t="shared" si="18"/>
        <v>5.8005259734199566E-3</v>
      </c>
      <c r="R144" s="30">
        <f t="shared" si="18"/>
        <v>0</v>
      </c>
      <c r="S144" s="30">
        <f t="shared" si="18"/>
        <v>0</v>
      </c>
      <c r="T144" s="30">
        <f t="shared" si="18"/>
        <v>-8.0338451191397375E-4</v>
      </c>
      <c r="U144" s="63">
        <f t="shared" si="17"/>
        <v>5.8919492008512597E-3</v>
      </c>
    </row>
    <row r="145" spans="1:21">
      <c r="A145" s="28">
        <v>43538</v>
      </c>
      <c r="B145" s="29">
        <v>1293.400024</v>
      </c>
      <c r="C145" s="29">
        <v>15.100999829999999</v>
      </c>
      <c r="D145" s="29">
        <v>58.61000061</v>
      </c>
      <c r="E145" s="29">
        <v>7243.0097660000001</v>
      </c>
      <c r="F145" s="29">
        <v>2808.4799800000001</v>
      </c>
      <c r="G145" s="29">
        <v>25709.939450000002</v>
      </c>
      <c r="H145" s="29">
        <v>10.25623798</v>
      </c>
      <c r="I145" s="29">
        <v>8.3184423449999993</v>
      </c>
      <c r="J145" s="29">
        <v>10.926035880000001</v>
      </c>
      <c r="L145" s="30">
        <f t="shared" si="16"/>
        <v>-1.0783920458890983E-2</v>
      </c>
      <c r="M145" s="30">
        <f t="shared" si="16"/>
        <v>-1.8204261610287542E-2</v>
      </c>
      <c r="N145" s="30">
        <f t="shared" si="16"/>
        <v>6.0075918313209353E-3</v>
      </c>
      <c r="O145" s="30">
        <f t="shared" si="18"/>
        <v>-1.9250726939444851E-3</v>
      </c>
      <c r="P145" s="30">
        <f t="shared" si="18"/>
        <v>-8.6802259320994946E-4</v>
      </c>
      <c r="Q145" s="30">
        <f t="shared" si="18"/>
        <v>2.7424230610750833E-4</v>
      </c>
      <c r="R145" s="30">
        <f t="shared" si="18"/>
        <v>-1.7545158858547349E-3</v>
      </c>
      <c r="S145" s="30">
        <f t="shared" si="18"/>
        <v>-1.0592355650623775E-3</v>
      </c>
      <c r="T145" s="30">
        <f t="shared" si="18"/>
        <v>-8.0350644351767642E-4</v>
      </c>
      <c r="U145" s="63">
        <f t="shared" si="17"/>
        <v>-3.6648496787552499E-3</v>
      </c>
    </row>
    <row r="146" spans="1:21">
      <c r="A146" s="28">
        <v>43539</v>
      </c>
      <c r="B146" s="29">
        <v>1301.8000489999999</v>
      </c>
      <c r="C146" s="29">
        <v>15.25300026</v>
      </c>
      <c r="D146" s="29">
        <v>58.520000459999999</v>
      </c>
      <c r="E146" s="29">
        <v>7306.9902339999999</v>
      </c>
      <c r="F146" s="29">
        <v>2822.4799800000001</v>
      </c>
      <c r="G146" s="29">
        <v>25848.869139999999</v>
      </c>
      <c r="H146" s="29">
        <v>10.27426434</v>
      </c>
      <c r="I146" s="29">
        <v>8.3272628780000009</v>
      </c>
      <c r="J146" s="29">
        <v>10.952404019999999</v>
      </c>
      <c r="L146" s="30">
        <f t="shared" si="16"/>
        <v>6.4945298006271468E-3</v>
      </c>
      <c r="M146" s="30">
        <f t="shared" si="16"/>
        <v>1.0065587160529077E-2</v>
      </c>
      <c r="N146" s="30">
        <f t="shared" si="16"/>
        <v>-1.5355766774151069E-3</v>
      </c>
      <c r="O146" s="30">
        <f t="shared" si="18"/>
        <v>8.833409047760199E-3</v>
      </c>
      <c r="P146" s="30">
        <f t="shared" si="18"/>
        <v>4.9849029011059809E-3</v>
      </c>
      <c r="Q146" s="30">
        <f t="shared" si="18"/>
        <v>5.403734624509049E-3</v>
      </c>
      <c r="R146" s="30">
        <f t="shared" si="18"/>
        <v>1.757599622312922E-3</v>
      </c>
      <c r="S146" s="30">
        <f t="shared" si="18"/>
        <v>1.0603587347459698E-3</v>
      </c>
      <c r="T146" s="30">
        <f t="shared" si="18"/>
        <v>2.4133308996601155E-3</v>
      </c>
      <c r="U146" s="63">
        <f t="shared" si="17"/>
        <v>4.924335811732055E-3</v>
      </c>
    </row>
    <row r="147" spans="1:21">
      <c r="A147" s="28">
        <v>43542</v>
      </c>
      <c r="B147" s="29">
        <v>1300.3000489999999</v>
      </c>
      <c r="C147" s="29">
        <v>15.251000400000001</v>
      </c>
      <c r="D147" s="29">
        <v>59.090000150000002</v>
      </c>
      <c r="E147" s="29">
        <v>7326.2797849999997</v>
      </c>
      <c r="F147" s="29">
        <v>2832.9399410000001</v>
      </c>
      <c r="G147" s="29">
        <v>25914.099610000001</v>
      </c>
      <c r="H147" s="29">
        <v>10.27426434</v>
      </c>
      <c r="I147" s="29">
        <v>8.3360862729999994</v>
      </c>
      <c r="J147" s="29">
        <v>10.952404019999999</v>
      </c>
      <c r="L147" s="30">
        <f t="shared" si="16"/>
        <v>-1.1522506863879123E-3</v>
      </c>
      <c r="M147" s="30">
        <f t="shared" si="16"/>
        <v>-1.3111256578446362E-4</v>
      </c>
      <c r="N147" s="30">
        <f t="shared" si="16"/>
        <v>9.7402543663616115E-3</v>
      </c>
      <c r="O147" s="30">
        <f t="shared" si="18"/>
        <v>2.639876389904483E-3</v>
      </c>
      <c r="P147" s="30">
        <f t="shared" si="18"/>
        <v>3.7059469240239284E-3</v>
      </c>
      <c r="Q147" s="30">
        <f t="shared" si="18"/>
        <v>2.5235328341330909E-3</v>
      </c>
      <c r="R147" s="30">
        <f t="shared" si="18"/>
        <v>0</v>
      </c>
      <c r="S147" s="30">
        <f t="shared" si="18"/>
        <v>1.0595792554248806E-3</v>
      </c>
      <c r="T147" s="30">
        <f t="shared" si="18"/>
        <v>0</v>
      </c>
      <c r="U147" s="63">
        <f t="shared" si="17"/>
        <v>2.3190238500255525E-3</v>
      </c>
    </row>
    <row r="148" spans="1:21">
      <c r="A148" s="28">
        <v>43543</v>
      </c>
      <c r="B148" s="29">
        <v>1305</v>
      </c>
      <c r="C148" s="29">
        <v>15.300999640000001</v>
      </c>
      <c r="D148" s="29">
        <v>59.02999878</v>
      </c>
      <c r="E148" s="29">
        <v>7349.2797849999997</v>
      </c>
      <c r="F148" s="29">
        <v>2832.570068</v>
      </c>
      <c r="G148" s="29">
        <v>25887.380860000001</v>
      </c>
      <c r="H148" s="29">
        <v>10.27426434</v>
      </c>
      <c r="I148" s="29">
        <v>8.3272628780000009</v>
      </c>
      <c r="J148" s="29">
        <v>10.943614009999999</v>
      </c>
      <c r="L148" s="30">
        <f t="shared" si="16"/>
        <v>3.6145126685294127E-3</v>
      </c>
      <c r="M148" s="30">
        <f t="shared" si="16"/>
        <v>3.278423623934934E-3</v>
      </c>
      <c r="N148" s="30">
        <f t="shared" si="16"/>
        <v>-1.0154234193211487E-3</v>
      </c>
      <c r="O148" s="30">
        <f t="shared" si="18"/>
        <v>3.1393832442887515E-3</v>
      </c>
      <c r="P148" s="30">
        <f t="shared" si="18"/>
        <v>-1.3056153949719818E-4</v>
      </c>
      <c r="Q148" s="30">
        <f t="shared" si="18"/>
        <v>-1.0310506790554008E-3</v>
      </c>
      <c r="R148" s="30">
        <f t="shared" si="18"/>
        <v>0</v>
      </c>
      <c r="S148" s="30">
        <f t="shared" si="18"/>
        <v>-1.0584577355655655E-3</v>
      </c>
      <c r="T148" s="30">
        <f t="shared" si="18"/>
        <v>-8.0256444009452199E-4</v>
      </c>
      <c r="U148" s="63">
        <f t="shared" si="17"/>
        <v>6.9691500468038563E-4</v>
      </c>
    </row>
    <row r="149" spans="1:21">
      <c r="A149" s="28">
        <v>43544</v>
      </c>
      <c r="B149" s="29">
        <v>1300.5</v>
      </c>
      <c r="C149" s="29">
        <v>15.244999890000001</v>
      </c>
      <c r="D149" s="29">
        <v>59.83000183</v>
      </c>
      <c r="E149" s="29">
        <v>7380.75</v>
      </c>
      <c r="F149" s="29">
        <v>2824.2299800000001</v>
      </c>
      <c r="G149" s="29">
        <v>25745.66992</v>
      </c>
      <c r="H149" s="29">
        <v>10.310313219999999</v>
      </c>
      <c r="I149" s="29">
        <v>8.3625488279999995</v>
      </c>
      <c r="J149" s="29">
        <v>10.98756313</v>
      </c>
      <c r="L149" s="30">
        <f t="shared" si="16"/>
        <v>-3.4482758620689724E-3</v>
      </c>
      <c r="M149" s="30">
        <f t="shared" si="16"/>
        <v>-3.6598752576665339E-3</v>
      </c>
      <c r="N149" s="30">
        <f t="shared" si="16"/>
        <v>1.3552482916043163E-2</v>
      </c>
      <c r="O149" s="30">
        <f t="shared" si="18"/>
        <v>4.282081499228152E-3</v>
      </c>
      <c r="P149" s="30">
        <f t="shared" si="18"/>
        <v>-2.9443536434347051E-3</v>
      </c>
      <c r="Q149" s="30">
        <f t="shared" si="18"/>
        <v>-5.474132001471288E-3</v>
      </c>
      <c r="R149" s="30">
        <f t="shared" si="18"/>
        <v>3.5086580223220309E-3</v>
      </c>
      <c r="S149" s="30">
        <f t="shared" si="18"/>
        <v>4.2374007542407277E-3</v>
      </c>
      <c r="T149" s="30">
        <f t="shared" si="18"/>
        <v>4.0159603545812939E-3</v>
      </c>
      <c r="U149" s="63">
        <f t="shared" si="17"/>
        <v>7.6967395634010348E-4</v>
      </c>
    </row>
    <row r="150" spans="1:21">
      <c r="A150" s="28">
        <v>43545</v>
      </c>
      <c r="B150" s="29">
        <v>1306.099976</v>
      </c>
      <c r="C150" s="29">
        <v>15.37199974</v>
      </c>
      <c r="D150" s="29">
        <v>59.979999540000001</v>
      </c>
      <c r="E150" s="29">
        <v>7493.2700199999999</v>
      </c>
      <c r="F150" s="29">
        <v>2854.8798830000001</v>
      </c>
      <c r="G150" s="29">
        <v>25962.509770000001</v>
      </c>
      <c r="H150" s="29">
        <v>10.31932926</v>
      </c>
      <c r="I150" s="29">
        <v>8.3625488279999995</v>
      </c>
      <c r="J150" s="29">
        <v>10.996350290000001</v>
      </c>
      <c r="L150" s="30">
        <f t="shared" si="16"/>
        <v>4.3060176855056476E-3</v>
      </c>
      <c r="M150" s="30">
        <f t="shared" si="16"/>
        <v>8.3305904176034229E-3</v>
      </c>
      <c r="N150" s="30">
        <f t="shared" si="16"/>
        <v>2.5070651080072448E-3</v>
      </c>
      <c r="O150" s="30">
        <f t="shared" si="18"/>
        <v>1.5245065880838737E-2</v>
      </c>
      <c r="P150" s="30">
        <f t="shared" si="18"/>
        <v>1.0852481284119753E-2</v>
      </c>
      <c r="Q150" s="30">
        <f t="shared" si="18"/>
        <v>8.4223813431070216E-3</v>
      </c>
      <c r="R150" s="30">
        <f t="shared" si="18"/>
        <v>8.7446809884594856E-4</v>
      </c>
      <c r="S150" s="30">
        <f t="shared" si="18"/>
        <v>0</v>
      </c>
      <c r="T150" s="30">
        <f t="shared" si="18"/>
        <v>7.9973692947521435E-4</v>
      </c>
      <c r="U150" s="63">
        <f t="shared" si="17"/>
        <v>7.1712489352570618E-3</v>
      </c>
    </row>
    <row r="151" spans="1:21">
      <c r="A151" s="28">
        <v>43546</v>
      </c>
      <c r="B151" s="29">
        <v>1311.599976</v>
      </c>
      <c r="C151" s="29">
        <v>15.34500027</v>
      </c>
      <c r="D151" s="29">
        <v>59.040000919999997</v>
      </c>
      <c r="E151" s="29">
        <v>7326.0600590000004</v>
      </c>
      <c r="F151" s="29">
        <v>2800.709961</v>
      </c>
      <c r="G151" s="29">
        <v>25502.320309999999</v>
      </c>
      <c r="H151" s="29">
        <v>10.36438942</v>
      </c>
      <c r="I151" s="29">
        <v>8.3978309630000005</v>
      </c>
      <c r="J151" s="29">
        <v>11.049094200000001</v>
      </c>
      <c r="L151" s="30">
        <f t="shared" si="16"/>
        <v>4.2110099541108337E-3</v>
      </c>
      <c r="M151" s="30">
        <f t="shared" si="16"/>
        <v>-1.7564058324658349E-3</v>
      </c>
      <c r="N151" s="30">
        <f t="shared" si="16"/>
        <v>-1.5671867742731993E-2</v>
      </c>
      <c r="O151" s="30">
        <f t="shared" si="18"/>
        <v>-2.2314685117939992E-2</v>
      </c>
      <c r="P151" s="30">
        <f t="shared" si="18"/>
        <v>-1.8974501282021161E-2</v>
      </c>
      <c r="Q151" s="30">
        <f t="shared" si="18"/>
        <v>-1.7725153079451328E-2</v>
      </c>
      <c r="R151" s="30">
        <f t="shared" si="18"/>
        <v>4.3665783758508603E-3</v>
      </c>
      <c r="S151" s="30">
        <f t="shared" si="18"/>
        <v>4.2190647523476787E-3</v>
      </c>
      <c r="T151" s="30">
        <f t="shared" si="18"/>
        <v>4.7964923460073194E-3</v>
      </c>
      <c r="U151" s="63">
        <f t="shared" si="17"/>
        <v>-9.0160665421144814E-3</v>
      </c>
    </row>
    <row r="152" spans="1:21">
      <c r="A152" s="28">
        <v>43549</v>
      </c>
      <c r="B152" s="29">
        <v>1321.900024</v>
      </c>
      <c r="C152" s="29">
        <v>15.506999970000001</v>
      </c>
      <c r="D152" s="29">
        <v>58.819999690000003</v>
      </c>
      <c r="E152" s="29">
        <v>7316.9599609999996</v>
      </c>
      <c r="F152" s="29">
        <v>2798.360107</v>
      </c>
      <c r="G152" s="29">
        <v>25516.83008</v>
      </c>
      <c r="H152" s="29">
        <v>10.382414819999999</v>
      </c>
      <c r="I152" s="29">
        <v>8.4154758449999996</v>
      </c>
      <c r="J152" s="29">
        <v>11.066677090000001</v>
      </c>
      <c r="L152" s="30">
        <f t="shared" si="16"/>
        <v>7.8530407048438278E-3</v>
      </c>
      <c r="M152" s="30">
        <f t="shared" si="16"/>
        <v>1.0557165014634551E-2</v>
      </c>
      <c r="N152" s="30">
        <f t="shared" si="16"/>
        <v>-3.7263080381401137E-3</v>
      </c>
      <c r="O152" s="30">
        <f t="shared" si="18"/>
        <v>-1.2421544359060288E-3</v>
      </c>
      <c r="P152" s="30">
        <f t="shared" si="18"/>
        <v>-8.3902083140408035E-4</v>
      </c>
      <c r="Q152" s="30">
        <f t="shared" si="18"/>
        <v>5.6895881722218711E-4</v>
      </c>
      <c r="R152" s="30">
        <f t="shared" si="18"/>
        <v>1.7391666088131252E-3</v>
      </c>
      <c r="S152" s="30">
        <f t="shared" si="18"/>
        <v>2.101123739896682E-3</v>
      </c>
      <c r="T152" s="30">
        <f t="shared" si="18"/>
        <v>1.591342211563429E-3</v>
      </c>
      <c r="U152" s="63">
        <f t="shared" si="17"/>
        <v>1.8513881649181571E-3</v>
      </c>
    </row>
    <row r="153" spans="1:21">
      <c r="A153" s="28">
        <v>43550</v>
      </c>
      <c r="B153" s="29">
        <v>1314.3000489999999</v>
      </c>
      <c r="C153" s="29">
        <v>15.37100029</v>
      </c>
      <c r="D153" s="29">
        <v>59.939998629999998</v>
      </c>
      <c r="E153" s="29">
        <v>7351.1499020000001</v>
      </c>
      <c r="F153" s="29">
        <v>2818.459961</v>
      </c>
      <c r="G153" s="29">
        <v>25657.730469999999</v>
      </c>
      <c r="H153" s="29">
        <v>10.382414819999999</v>
      </c>
      <c r="I153" s="29">
        <v>8.4243001940000006</v>
      </c>
      <c r="J153" s="29">
        <v>11.0754652</v>
      </c>
      <c r="L153" s="30">
        <f t="shared" si="16"/>
        <v>-5.7492812330867116E-3</v>
      </c>
      <c r="M153" s="30">
        <f t="shared" si="16"/>
        <v>-8.7702121792163634E-3</v>
      </c>
      <c r="N153" s="30">
        <f t="shared" si="16"/>
        <v>1.9041124547819477E-2</v>
      </c>
      <c r="O153" s="30">
        <f t="shared" si="18"/>
        <v>4.6726975659612258E-3</v>
      </c>
      <c r="P153" s="30">
        <f t="shared" si="18"/>
        <v>7.1827260364814016E-3</v>
      </c>
      <c r="Q153" s="30">
        <f t="shared" si="18"/>
        <v>5.5218610445830763E-3</v>
      </c>
      <c r="R153" s="30">
        <f t="shared" si="18"/>
        <v>0</v>
      </c>
      <c r="S153" s="30">
        <f t="shared" si="18"/>
        <v>1.0485858628237477E-3</v>
      </c>
      <c r="T153" s="30">
        <f t="shared" si="18"/>
        <v>7.9410557735903886E-4</v>
      </c>
      <c r="U153" s="63">
        <f t="shared" si="17"/>
        <v>2.9390779785238024E-3</v>
      </c>
    </row>
    <row r="154" spans="1:21">
      <c r="A154" s="28">
        <v>43551</v>
      </c>
      <c r="B154" s="29">
        <v>1309.900024</v>
      </c>
      <c r="C154" s="29">
        <v>15.239000320000001</v>
      </c>
      <c r="D154" s="29">
        <v>59.409999849999998</v>
      </c>
      <c r="E154" s="29">
        <v>7308.1899409999996</v>
      </c>
      <c r="F154" s="29">
        <v>2805.3701169999999</v>
      </c>
      <c r="G154" s="29">
        <v>25625.589840000001</v>
      </c>
      <c r="H154" s="29">
        <v>10.400439260000001</v>
      </c>
      <c r="I154" s="29">
        <v>8.4331207280000005</v>
      </c>
      <c r="J154" s="29">
        <v>11.09304333</v>
      </c>
      <c r="L154" s="30">
        <f t="shared" si="16"/>
        <v>-3.3478085946566649E-3</v>
      </c>
      <c r="M154" s="30">
        <f t="shared" si="16"/>
        <v>-8.5875979122760349E-3</v>
      </c>
      <c r="N154" s="30">
        <f t="shared" si="16"/>
        <v>-8.8421553572530787E-3</v>
      </c>
      <c r="O154" s="30">
        <f t="shared" si="18"/>
        <v>-5.8439783670187762E-3</v>
      </c>
      <c r="P154" s="30">
        <f t="shared" si="18"/>
        <v>-4.6443249792896824E-3</v>
      </c>
      <c r="Q154" s="30">
        <f t="shared" si="18"/>
        <v>-1.2526684711096081E-3</v>
      </c>
      <c r="R154" s="30">
        <f t="shared" si="18"/>
        <v>1.7360546956071143E-3</v>
      </c>
      <c r="S154" s="30">
        <f t="shared" si="18"/>
        <v>1.0470346256514773E-3</v>
      </c>
      <c r="T154" s="30">
        <f t="shared" si="18"/>
        <v>1.5871234013720148E-3</v>
      </c>
      <c r="U154" s="63">
        <f t="shared" si="17"/>
        <v>-3.9605199196181846E-3</v>
      </c>
    </row>
    <row r="155" spans="1:21">
      <c r="A155" s="28">
        <v>43552</v>
      </c>
      <c r="B155" s="29">
        <v>1289.8000489999999</v>
      </c>
      <c r="C155" s="29">
        <v>14.92099953</v>
      </c>
      <c r="D155" s="29">
        <v>59.299999239999998</v>
      </c>
      <c r="E155" s="29">
        <v>7320.4702150000003</v>
      </c>
      <c r="F155" s="29">
        <v>2815.4399410000001</v>
      </c>
      <c r="G155" s="29">
        <v>25717.460940000001</v>
      </c>
      <c r="H155" s="29">
        <v>10.400439260000001</v>
      </c>
      <c r="I155" s="29">
        <v>8.4331207280000005</v>
      </c>
      <c r="J155" s="29">
        <v>11.09304333</v>
      </c>
      <c r="L155" s="30">
        <f t="shared" si="16"/>
        <v>-1.534466343364238E-2</v>
      </c>
      <c r="M155" s="30">
        <f t="shared" si="16"/>
        <v>-2.0867562394014105E-2</v>
      </c>
      <c r="N155" s="30">
        <f t="shared" si="16"/>
        <v>-1.8515504170633079E-3</v>
      </c>
      <c r="O155" s="30">
        <f t="shared" si="18"/>
        <v>1.6803441206565406E-3</v>
      </c>
      <c r="P155" s="30">
        <f t="shared" si="18"/>
        <v>3.5894814516554963E-3</v>
      </c>
      <c r="Q155" s="30">
        <f t="shared" si="18"/>
        <v>3.5851311354635484E-3</v>
      </c>
      <c r="R155" s="30">
        <f t="shared" si="18"/>
        <v>0</v>
      </c>
      <c r="S155" s="30">
        <f t="shared" si="18"/>
        <v>0</v>
      </c>
      <c r="T155" s="30">
        <f t="shared" si="18"/>
        <v>0</v>
      </c>
      <c r="U155" s="63">
        <f t="shared" si="17"/>
        <v>-2.7415827435790692E-3</v>
      </c>
    </row>
    <row r="156" spans="1:21">
      <c r="A156" s="28">
        <v>43553</v>
      </c>
      <c r="B156" s="29">
        <v>1293</v>
      </c>
      <c r="C156" s="29">
        <v>15.06000042</v>
      </c>
      <c r="D156" s="29">
        <v>60.13999939</v>
      </c>
      <c r="E156" s="29">
        <v>7378.7700199999999</v>
      </c>
      <c r="F156" s="29">
        <v>2834.3999020000001</v>
      </c>
      <c r="G156" s="29">
        <v>25928.679690000001</v>
      </c>
      <c r="H156" s="29">
        <v>10.416698459999999</v>
      </c>
      <c r="I156" s="29">
        <v>8.4454994200000009</v>
      </c>
      <c r="J156" s="29">
        <v>11.08687782</v>
      </c>
      <c r="L156" s="30">
        <f t="shared" si="16"/>
        <v>2.480966722307798E-3</v>
      </c>
      <c r="M156" s="30">
        <f t="shared" si="16"/>
        <v>9.3157894496629368E-3</v>
      </c>
      <c r="N156" s="30">
        <f t="shared" si="16"/>
        <v>1.416526409385499E-2</v>
      </c>
      <c r="O156" s="30">
        <f t="shared" si="18"/>
        <v>7.9639426550142112E-3</v>
      </c>
      <c r="P156" s="30">
        <f t="shared" si="18"/>
        <v>6.7342800405345571E-3</v>
      </c>
      <c r="Q156" s="30">
        <f t="shared" si="18"/>
        <v>8.2130483445772562E-3</v>
      </c>
      <c r="R156" s="30">
        <f t="shared" si="18"/>
        <v>1.5633185862189425E-3</v>
      </c>
      <c r="S156" s="30">
        <f t="shared" si="18"/>
        <v>1.4678660959874801E-3</v>
      </c>
      <c r="T156" s="30">
        <f t="shared" si="18"/>
        <v>-5.5579968603625129E-4</v>
      </c>
      <c r="U156" s="63">
        <f t="shared" si="17"/>
        <v>6.0481869459260585E-3</v>
      </c>
    </row>
    <row r="157" spans="1:21">
      <c r="A157" s="28">
        <v>43556</v>
      </c>
      <c r="B157" s="29">
        <v>1288.400024</v>
      </c>
      <c r="C157" s="29">
        <v>15.050999640000001</v>
      </c>
      <c r="D157" s="29">
        <v>61.590000150000002</v>
      </c>
      <c r="E157" s="29">
        <v>7478.419922</v>
      </c>
      <c r="F157" s="29">
        <v>2867.1899410000001</v>
      </c>
      <c r="G157" s="29">
        <v>26258.41992</v>
      </c>
      <c r="H157" s="29">
        <v>10.371527670000001</v>
      </c>
      <c r="I157" s="29">
        <v>8.4189691539999991</v>
      </c>
      <c r="J157" s="29">
        <v>11.04280853</v>
      </c>
      <c r="L157" s="30">
        <f t="shared" si="16"/>
        <v>-3.5575993812838602E-3</v>
      </c>
      <c r="M157" s="30">
        <f t="shared" si="16"/>
        <v>-5.9766133791372411E-4</v>
      </c>
      <c r="N157" s="30">
        <f t="shared" si="16"/>
        <v>2.4110421927292291E-2</v>
      </c>
      <c r="O157" s="30">
        <f t="shared" si="18"/>
        <v>1.3504947535958101E-2</v>
      </c>
      <c r="P157" s="30">
        <f t="shared" si="18"/>
        <v>1.1568600103627924E-2</v>
      </c>
      <c r="Q157" s="30">
        <f t="shared" si="18"/>
        <v>1.2717200950543184E-2</v>
      </c>
      <c r="R157" s="30">
        <f t="shared" si="18"/>
        <v>-4.336382604666289E-3</v>
      </c>
      <c r="S157" s="30">
        <f t="shared" si="18"/>
        <v>-3.1413495733804142E-3</v>
      </c>
      <c r="T157" s="30">
        <f t="shared" si="18"/>
        <v>-3.9749053534712253E-3</v>
      </c>
      <c r="U157" s="63">
        <f t="shared" si="17"/>
        <v>6.0931438897377233E-3</v>
      </c>
    </row>
    <row r="158" spans="1:21">
      <c r="A158" s="28">
        <v>43557</v>
      </c>
      <c r="B158" s="29">
        <v>1290</v>
      </c>
      <c r="C158" s="29">
        <v>15.01799965</v>
      </c>
      <c r="D158" s="29">
        <v>62.58000183</v>
      </c>
      <c r="E158" s="29">
        <v>7499.6401370000003</v>
      </c>
      <c r="F158" s="29">
        <v>2867.23999</v>
      </c>
      <c r="G158" s="29">
        <v>26179.130860000001</v>
      </c>
      <c r="H158" s="29">
        <v>10.38056564</v>
      </c>
      <c r="I158" s="29">
        <v>8.4189691539999991</v>
      </c>
      <c r="J158" s="29">
        <v>11.05162621</v>
      </c>
      <c r="L158" s="30">
        <f t="shared" si="16"/>
        <v>1.2418317061440032E-3</v>
      </c>
      <c r="M158" s="30">
        <f t="shared" si="16"/>
        <v>-2.1925447338593251E-3</v>
      </c>
      <c r="N158" s="30">
        <f t="shared" si="16"/>
        <v>1.6074065231188372E-2</v>
      </c>
      <c r="O158" s="30">
        <f t="shared" si="18"/>
        <v>2.8375265392057702E-3</v>
      </c>
      <c r="P158" s="30">
        <f t="shared" si="18"/>
        <v>1.7455767155283297E-5</v>
      </c>
      <c r="Q158" s="30">
        <f t="shared" si="18"/>
        <v>-3.019567066166351E-3</v>
      </c>
      <c r="R158" s="30">
        <f t="shared" si="18"/>
        <v>8.7142128793060714E-4</v>
      </c>
      <c r="S158" s="30">
        <f t="shared" si="18"/>
        <v>0</v>
      </c>
      <c r="T158" s="30">
        <f t="shared" si="18"/>
        <v>7.9849976353796315E-4</v>
      </c>
      <c r="U158" s="63">
        <f t="shared" si="17"/>
        <v>1.3163222092781566E-3</v>
      </c>
    </row>
    <row r="159" spans="1:21">
      <c r="A159" s="28">
        <v>43558</v>
      </c>
      <c r="B159" s="29">
        <v>1289.900024</v>
      </c>
      <c r="C159" s="29">
        <v>15.059000019999999</v>
      </c>
      <c r="D159" s="29">
        <v>62.459999080000003</v>
      </c>
      <c r="E159" s="29">
        <v>7544.9702150000003</v>
      </c>
      <c r="F159" s="29">
        <v>2873.3999020000001</v>
      </c>
      <c r="G159" s="29">
        <v>26218.130860000001</v>
      </c>
      <c r="H159" s="29">
        <v>10.36249256</v>
      </c>
      <c r="I159" s="29">
        <v>8.4101257319999991</v>
      </c>
      <c r="J159" s="29">
        <v>11.04280853</v>
      </c>
      <c r="L159" s="30">
        <f t="shared" si="16"/>
        <v>-7.7500775193750648E-5</v>
      </c>
      <c r="M159" s="30">
        <f t="shared" si="16"/>
        <v>2.7300819653435227E-3</v>
      </c>
      <c r="N159" s="30">
        <f t="shared" si="16"/>
        <v>-1.9175894293833595E-3</v>
      </c>
      <c r="O159" s="30">
        <f t="shared" si="18"/>
        <v>6.0443004160106728E-3</v>
      </c>
      <c r="P159" s="30">
        <f t="shared" si="18"/>
        <v>2.1483768437535744E-3</v>
      </c>
      <c r="Q159" s="30">
        <f t="shared" si="18"/>
        <v>1.4897362409991288E-3</v>
      </c>
      <c r="R159" s="30">
        <f t="shared" si="18"/>
        <v>-1.7410496332067593E-3</v>
      </c>
      <c r="S159" s="30">
        <f t="shared" si="18"/>
        <v>-1.0504162490960756E-3</v>
      </c>
      <c r="T159" s="30">
        <f t="shared" si="18"/>
        <v>-7.9786267038428615E-4</v>
      </c>
      <c r="U159" s="63">
        <f t="shared" si="17"/>
        <v>1.3927520030849563E-3</v>
      </c>
    </row>
    <row r="160" spans="1:21">
      <c r="A160" s="28">
        <v>43559</v>
      </c>
      <c r="B160" s="29">
        <v>1289</v>
      </c>
      <c r="C160" s="29">
        <v>15.041000370000001</v>
      </c>
      <c r="D160" s="29">
        <v>62.099998470000003</v>
      </c>
      <c r="E160" s="29">
        <v>7540.5698240000002</v>
      </c>
      <c r="F160" s="29">
        <v>2879.389893</v>
      </c>
      <c r="G160" s="29">
        <v>26384.630860000001</v>
      </c>
      <c r="H160" s="29">
        <v>10.371527670000001</v>
      </c>
      <c r="I160" s="29">
        <v>8.4101257319999991</v>
      </c>
      <c r="J160" s="29">
        <v>11.05162621</v>
      </c>
      <c r="L160" s="30">
        <f t="shared" si="16"/>
        <v>-6.9774709919689926E-4</v>
      </c>
      <c r="M160" s="30">
        <f t="shared" si="16"/>
        <v>-1.1952752490931307E-3</v>
      </c>
      <c r="N160" s="30">
        <f t="shared" si="16"/>
        <v>-5.7636986119532496E-3</v>
      </c>
      <c r="O160" s="30">
        <f t="shared" si="16"/>
        <v>-5.8322178545544556E-4</v>
      </c>
      <c r="P160" s="30">
        <f t="shared" si="16"/>
        <v>2.0846353463821465E-3</v>
      </c>
      <c r="Q160" s="30">
        <f t="shared" si="16"/>
        <v>6.3505671281098852E-3</v>
      </c>
      <c r="R160" s="30">
        <f t="shared" si="18"/>
        <v>8.7190508921342058E-4</v>
      </c>
      <c r="S160" s="30">
        <f t="shared" si="18"/>
        <v>0</v>
      </c>
      <c r="T160" s="30">
        <f t="shared" si="18"/>
        <v>7.9849976353796315E-4</v>
      </c>
      <c r="U160" s="63">
        <f t="shared" si="17"/>
        <v>2.0865053659310348E-4</v>
      </c>
    </row>
    <row r="161" spans="1:21">
      <c r="A161" s="28">
        <v>43560</v>
      </c>
      <c r="B161" s="29">
        <v>1290.400024</v>
      </c>
      <c r="C161" s="29">
        <v>15.04300022</v>
      </c>
      <c r="D161" s="29">
        <v>63.08000183</v>
      </c>
      <c r="E161" s="29">
        <v>7578.8398440000001</v>
      </c>
      <c r="F161" s="29">
        <v>2892.73999</v>
      </c>
      <c r="G161" s="29">
        <v>26424.990229999999</v>
      </c>
      <c r="H161" s="29">
        <v>10.38056564</v>
      </c>
      <c r="I161" s="29">
        <v>8.4189691539999991</v>
      </c>
      <c r="J161" s="29">
        <v>11.06043816</v>
      </c>
      <c r="L161" s="30">
        <f t="shared" si="16"/>
        <v>1.086131885182251E-3</v>
      </c>
      <c r="M161" s="30">
        <f t="shared" si="16"/>
        <v>1.32959906309571E-4</v>
      </c>
      <c r="N161" s="30">
        <f t="shared" si="16"/>
        <v>1.578105288478282E-2</v>
      </c>
      <c r="O161" s="30">
        <f t="shared" si="16"/>
        <v>5.0752159177938072E-3</v>
      </c>
      <c r="P161" s="30">
        <f t="shared" si="16"/>
        <v>4.636432541648805E-3</v>
      </c>
      <c r="Q161" s="30">
        <f t="shared" si="16"/>
        <v>1.5296545255512051E-3</v>
      </c>
      <c r="R161" s="30">
        <f t="shared" si="18"/>
        <v>8.7142128793060714E-4</v>
      </c>
      <c r="S161" s="30">
        <f t="shared" si="18"/>
        <v>1.0515207836134799E-3</v>
      </c>
      <c r="T161" s="30">
        <f t="shared" si="18"/>
        <v>7.9734419465138373E-4</v>
      </c>
      <c r="U161" s="63">
        <f t="shared" si="17"/>
        <v>3.5951858927588836E-3</v>
      </c>
    </row>
    <row r="162" spans="1:21">
      <c r="A162" s="28">
        <v>43563</v>
      </c>
      <c r="B162" s="29">
        <v>1297.099976</v>
      </c>
      <c r="C162" s="29">
        <v>15.17300034</v>
      </c>
      <c r="D162" s="29">
        <v>64.400001529999997</v>
      </c>
      <c r="E162" s="29">
        <v>7599.7402339999999</v>
      </c>
      <c r="F162" s="29">
        <v>2895.7700199999999</v>
      </c>
      <c r="G162" s="29">
        <v>26341.019530000001</v>
      </c>
      <c r="H162" s="29">
        <v>10.371527670000001</v>
      </c>
      <c r="I162" s="29">
        <v>8.4101257319999991</v>
      </c>
      <c r="J162" s="29">
        <v>11.05162621</v>
      </c>
      <c r="L162" s="30">
        <f t="shared" si="16"/>
        <v>5.1921511743555637E-3</v>
      </c>
      <c r="M162" s="30">
        <f t="shared" si="16"/>
        <v>8.6419010901270799E-3</v>
      </c>
      <c r="N162" s="30">
        <f t="shared" si="16"/>
        <v>2.0925803134206999E-2</v>
      </c>
      <c r="O162" s="30">
        <f t="shared" si="16"/>
        <v>2.7577294718197365E-3</v>
      </c>
      <c r="P162" s="30">
        <f t="shared" si="16"/>
        <v>1.0474601970706932E-3</v>
      </c>
      <c r="Q162" s="30">
        <f t="shared" si="16"/>
        <v>-3.1777003234108037E-3</v>
      </c>
      <c r="R162" s="30">
        <f t="shared" si="18"/>
        <v>-8.7066257402901304E-4</v>
      </c>
      <c r="S162" s="30">
        <f t="shared" si="18"/>
        <v>-1.0504162490960756E-3</v>
      </c>
      <c r="T162" s="30">
        <f t="shared" si="18"/>
        <v>-7.9670894340044818E-4</v>
      </c>
      <c r="U162" s="63">
        <f t="shared" si="17"/>
        <v>3.4987852400612395E-3</v>
      </c>
    </row>
    <row r="163" spans="1:21">
      <c r="A163" s="28">
        <v>43564</v>
      </c>
      <c r="B163" s="29">
        <v>1303.5</v>
      </c>
      <c r="C163" s="29">
        <v>15.16800022</v>
      </c>
      <c r="D163" s="29">
        <v>63.979999540000001</v>
      </c>
      <c r="E163" s="29">
        <v>7568.4902339999999</v>
      </c>
      <c r="F163" s="29">
        <v>2878.1999510000001</v>
      </c>
      <c r="G163" s="29">
        <v>26150.58008</v>
      </c>
      <c r="H163" s="29">
        <v>10.38056564</v>
      </c>
      <c r="I163" s="29">
        <v>8.4189691539999991</v>
      </c>
      <c r="J163" s="29">
        <v>11.06925201</v>
      </c>
      <c r="L163" s="30">
        <f t="shared" si="16"/>
        <v>4.934102319341882E-3</v>
      </c>
      <c r="M163" s="30">
        <f t="shared" si="16"/>
        <v>-3.2954062400025741E-4</v>
      </c>
      <c r="N163" s="30">
        <f t="shared" si="16"/>
        <v>-6.5217698761131926E-3</v>
      </c>
      <c r="O163" s="30">
        <f t="shared" si="16"/>
        <v>-4.1119826517480584E-3</v>
      </c>
      <c r="P163" s="30">
        <f t="shared" si="16"/>
        <v>-6.0674946140922836E-3</v>
      </c>
      <c r="Q163" s="30">
        <f t="shared" si="16"/>
        <v>-7.2297676171231284E-3</v>
      </c>
      <c r="R163" s="30">
        <f t="shared" si="18"/>
        <v>8.7142128793060714E-4</v>
      </c>
      <c r="S163" s="30">
        <f t="shared" si="18"/>
        <v>1.0515207836134799E-3</v>
      </c>
      <c r="T163" s="30">
        <f t="shared" si="18"/>
        <v>1.5948603097026837E-3</v>
      </c>
      <c r="U163" s="63">
        <f t="shared" si="17"/>
        <v>-2.5089312560590041E-3</v>
      </c>
    </row>
    <row r="164" spans="1:21">
      <c r="A164" s="28">
        <v>43565</v>
      </c>
      <c r="B164" s="29">
        <v>1309.099976</v>
      </c>
      <c r="C164" s="29">
        <v>15.20100021</v>
      </c>
      <c r="D164" s="29">
        <v>64.61000061</v>
      </c>
      <c r="E164" s="29">
        <v>7611.4902339999999</v>
      </c>
      <c r="F164" s="29">
        <v>2888.209961</v>
      </c>
      <c r="G164" s="29">
        <v>26157.160159999999</v>
      </c>
      <c r="H164" s="29">
        <v>10.39863205</v>
      </c>
      <c r="I164" s="29">
        <v>8.4366550450000002</v>
      </c>
      <c r="J164" s="29">
        <v>11.08687782</v>
      </c>
      <c r="L164" s="30">
        <f t="shared" ref="L164:T205" si="19">(B164/B163)-1</f>
        <v>4.2961074031453439E-3</v>
      </c>
      <c r="M164" s="30">
        <f t="shared" si="19"/>
        <v>2.1756322205539469E-3</v>
      </c>
      <c r="N164" s="30">
        <f t="shared" si="19"/>
        <v>9.8468439282517473E-3</v>
      </c>
      <c r="O164" s="30">
        <f t="shared" si="19"/>
        <v>5.6814501532724826E-3</v>
      </c>
      <c r="P164" s="30">
        <f t="shared" si="19"/>
        <v>3.4778716456171921E-3</v>
      </c>
      <c r="Q164" s="30">
        <f t="shared" si="19"/>
        <v>2.5162271658496493E-4</v>
      </c>
      <c r="R164" s="30">
        <f t="shared" si="18"/>
        <v>1.7404070863329402E-3</v>
      </c>
      <c r="S164" s="30">
        <f t="shared" si="18"/>
        <v>2.1007193014359604E-3</v>
      </c>
      <c r="T164" s="30">
        <f t="shared" si="18"/>
        <v>1.5923216838931165E-3</v>
      </c>
      <c r="U164" s="63">
        <f t="shared" si="17"/>
        <v>3.5497724421979923E-3</v>
      </c>
    </row>
    <row r="165" spans="1:21">
      <c r="A165" s="28">
        <v>43566</v>
      </c>
      <c r="B165" s="29">
        <v>1288.599976</v>
      </c>
      <c r="C165" s="29">
        <v>14.824000359999999</v>
      </c>
      <c r="D165" s="29">
        <v>63.58000183</v>
      </c>
      <c r="E165" s="29">
        <v>7594.8901370000003</v>
      </c>
      <c r="F165" s="29">
        <v>2888.320068</v>
      </c>
      <c r="G165" s="29">
        <v>26143.050780000001</v>
      </c>
      <c r="H165" s="29">
        <v>10.38056564</v>
      </c>
      <c r="I165" s="29">
        <v>8.4278116230000002</v>
      </c>
      <c r="J165" s="29">
        <v>11.078064919999999</v>
      </c>
      <c r="L165" s="30">
        <f t="shared" si="19"/>
        <v>-1.5659613761997315E-2</v>
      </c>
      <c r="M165" s="30">
        <f t="shared" si="19"/>
        <v>-2.4800989723820277E-2</v>
      </c>
      <c r="N165" s="30">
        <f t="shared" si="19"/>
        <v>-1.5941785641162554E-2</v>
      </c>
      <c r="O165" s="30">
        <f t="shared" si="19"/>
        <v>-2.1809260065588365E-3</v>
      </c>
      <c r="P165" s="30">
        <f t="shared" si="19"/>
        <v>3.8122920939631655E-5</v>
      </c>
      <c r="Q165" s="30">
        <f t="shared" si="19"/>
        <v>-5.3940794465812125E-4</v>
      </c>
      <c r="R165" s="30">
        <f t="shared" si="18"/>
        <v>-1.7373833320700749E-3</v>
      </c>
      <c r="S165" s="30">
        <f t="shared" si="18"/>
        <v>-1.048214245199075E-3</v>
      </c>
      <c r="T165" s="30">
        <f t="shared" si="18"/>
        <v>-7.9489466223781058E-4</v>
      </c>
      <c r="U165" s="63">
        <f t="shared" si="17"/>
        <v>-6.3614089405972509E-3</v>
      </c>
    </row>
    <row r="166" spans="1:21">
      <c r="A166" s="28">
        <v>43567</v>
      </c>
      <c r="B166" s="29">
        <v>1290.599976</v>
      </c>
      <c r="C166" s="29">
        <v>14.920000079999999</v>
      </c>
      <c r="D166" s="29">
        <v>63.88999939</v>
      </c>
      <c r="E166" s="29">
        <v>7628.1499020000001</v>
      </c>
      <c r="F166" s="29">
        <v>2907.4099120000001</v>
      </c>
      <c r="G166" s="29">
        <v>26412.300780000001</v>
      </c>
      <c r="H166" s="29">
        <v>10.36249256</v>
      </c>
      <c r="I166" s="29">
        <v>8.4101257319999991</v>
      </c>
      <c r="J166" s="29">
        <v>11.05162621</v>
      </c>
      <c r="L166" s="30">
        <f t="shared" si="19"/>
        <v>1.5520720450485914E-3</v>
      </c>
      <c r="M166" s="30">
        <f t="shared" si="19"/>
        <v>6.475965843810938E-3</v>
      </c>
      <c r="N166" s="30">
        <f t="shared" si="19"/>
        <v>4.8757085730961602E-3</v>
      </c>
      <c r="O166" s="30">
        <f t="shared" si="19"/>
        <v>4.3792292449325032E-3</v>
      </c>
      <c r="P166" s="30">
        <f t="shared" si="19"/>
        <v>6.6093242959803788E-3</v>
      </c>
      <c r="Q166" s="30">
        <f t="shared" si="19"/>
        <v>1.0299104043587137E-2</v>
      </c>
      <c r="R166" s="30">
        <f t="shared" si="18"/>
        <v>-1.7410496332067593E-3</v>
      </c>
      <c r="S166" s="30">
        <f t="shared" si="18"/>
        <v>-2.0985152244902272E-3</v>
      </c>
      <c r="T166" s="30">
        <f t="shared" si="18"/>
        <v>-2.3865819699492308E-3</v>
      </c>
      <c r="U166" s="63">
        <f t="shared" si="17"/>
        <v>3.7131987125470544E-3</v>
      </c>
    </row>
    <row r="167" spans="1:21">
      <c r="A167" s="28">
        <v>43570</v>
      </c>
      <c r="B167" s="29">
        <v>1286.8000489999999</v>
      </c>
      <c r="C167" s="29">
        <v>14.94799995</v>
      </c>
      <c r="D167" s="29">
        <v>63.400001529999997</v>
      </c>
      <c r="E167" s="29">
        <v>7629.1201170000004</v>
      </c>
      <c r="F167" s="29">
        <v>2905.580078</v>
      </c>
      <c r="G167" s="29">
        <v>26384.769530000001</v>
      </c>
      <c r="H167" s="29">
        <v>10.36249256</v>
      </c>
      <c r="I167" s="29">
        <v>8.4101257319999991</v>
      </c>
      <c r="J167" s="29">
        <v>11.06043816</v>
      </c>
      <c r="L167" s="30">
        <f t="shared" si="19"/>
        <v>-2.9443104530167963E-3</v>
      </c>
      <c r="M167" s="30">
        <f t="shared" si="19"/>
        <v>1.8766668800178632E-3</v>
      </c>
      <c r="N167" s="30">
        <f t="shared" si="19"/>
        <v>-7.6693984141232852E-3</v>
      </c>
      <c r="O167" s="30">
        <f t="shared" si="19"/>
        <v>1.2718876955286618E-4</v>
      </c>
      <c r="P167" s="30">
        <f t="shared" si="19"/>
        <v>-6.2936911387956318E-4</v>
      </c>
      <c r="Q167" s="30">
        <f t="shared" si="19"/>
        <v>-1.0423647008005466E-3</v>
      </c>
      <c r="R167" s="30">
        <f t="shared" si="18"/>
        <v>0</v>
      </c>
      <c r="S167" s="30">
        <f t="shared" si="18"/>
        <v>0</v>
      </c>
      <c r="T167" s="30">
        <f t="shared" si="18"/>
        <v>7.9734419465138373E-4</v>
      </c>
      <c r="U167" s="63">
        <f t="shared" si="17"/>
        <v>-5.9041596097530254E-4</v>
      </c>
    </row>
    <row r="168" spans="1:21">
      <c r="A168" s="28">
        <v>43571</v>
      </c>
      <c r="B168" s="29">
        <v>1272.599976</v>
      </c>
      <c r="C168" s="29">
        <v>14.89099979</v>
      </c>
      <c r="D168" s="29">
        <v>64.050003050000001</v>
      </c>
      <c r="E168" s="29">
        <v>7654.7299800000001</v>
      </c>
      <c r="F168" s="29">
        <v>2907.0600589999999</v>
      </c>
      <c r="G168" s="29">
        <v>26452.660159999999</v>
      </c>
      <c r="H168" s="29">
        <v>10.34442806</v>
      </c>
      <c r="I168" s="29">
        <v>8.4012823099999991</v>
      </c>
      <c r="J168" s="29">
        <v>11.04280853</v>
      </c>
      <c r="L168" s="30">
        <f t="shared" si="19"/>
        <v>-1.1035182203354088E-2</v>
      </c>
      <c r="M168" s="30">
        <f t="shared" si="19"/>
        <v>-3.8132298762818539E-3</v>
      </c>
      <c r="N168" s="30">
        <f t="shared" si="19"/>
        <v>1.025238965794717E-2</v>
      </c>
      <c r="O168" s="30">
        <f t="shared" si="19"/>
        <v>3.3568567026402985E-3</v>
      </c>
      <c r="P168" s="30">
        <f t="shared" si="19"/>
        <v>5.0935818675434952E-4</v>
      </c>
      <c r="Q168" s="30">
        <f t="shared" si="19"/>
        <v>2.5730992238839345E-3</v>
      </c>
      <c r="R168" s="30">
        <f t="shared" si="18"/>
        <v>-1.7432581876806186E-3</v>
      </c>
      <c r="S168" s="30">
        <f t="shared" si="18"/>
        <v>-1.0515207836133689E-3</v>
      </c>
      <c r="T168" s="30">
        <f t="shared" si="18"/>
        <v>-1.5939359494596683E-3</v>
      </c>
      <c r="U168" s="63">
        <f t="shared" si="17"/>
        <v>-1.5745828876713219E-4</v>
      </c>
    </row>
    <row r="169" spans="1:21">
      <c r="A169" s="28">
        <v>43572</v>
      </c>
      <c r="B169" s="29">
        <v>1272.1999510000001</v>
      </c>
      <c r="C169" s="29">
        <v>14.92099953</v>
      </c>
      <c r="D169" s="29">
        <v>63.759998320000001</v>
      </c>
      <c r="E169" s="29">
        <v>7680.7202150000003</v>
      </c>
      <c r="F169" s="29">
        <v>2900.4499510000001</v>
      </c>
      <c r="G169" s="29">
        <v>26449.539059999999</v>
      </c>
      <c r="H169" s="29">
        <v>10.34442806</v>
      </c>
      <c r="I169" s="29">
        <v>8.4012823099999991</v>
      </c>
      <c r="J169" s="29">
        <v>11.04280853</v>
      </c>
      <c r="L169" s="30">
        <f t="shared" si="19"/>
        <v>-3.1433679674996995E-4</v>
      </c>
      <c r="M169" s="30">
        <f t="shared" si="19"/>
        <v>2.0146222834644956E-3</v>
      </c>
      <c r="N169" s="30">
        <f t="shared" si="19"/>
        <v>-4.5277863573809363E-3</v>
      </c>
      <c r="O169" s="30">
        <f t="shared" si="19"/>
        <v>3.3953170220120121E-3</v>
      </c>
      <c r="P169" s="30">
        <f t="shared" si="19"/>
        <v>-2.27381198387544E-3</v>
      </c>
      <c r="Q169" s="30">
        <f t="shared" si="19"/>
        <v>-1.1798813356089788E-4</v>
      </c>
      <c r="R169" s="30">
        <f t="shared" si="18"/>
        <v>0</v>
      </c>
      <c r="S169" s="30">
        <f t="shared" si="18"/>
        <v>0</v>
      </c>
      <c r="T169" s="30">
        <f t="shared" si="18"/>
        <v>0</v>
      </c>
      <c r="U169" s="63">
        <f t="shared" si="17"/>
        <v>-3.8260409001270572E-4</v>
      </c>
    </row>
    <row r="170" spans="1:21">
      <c r="A170" s="28">
        <v>43573</v>
      </c>
      <c r="B170" s="29">
        <v>1271.900024</v>
      </c>
      <c r="C170" s="29">
        <v>14.93700027</v>
      </c>
      <c r="D170" s="29">
        <v>64</v>
      </c>
      <c r="E170" s="29">
        <v>7689.7202150000003</v>
      </c>
      <c r="F170" s="29">
        <v>2905.030029</v>
      </c>
      <c r="G170" s="29">
        <v>26559.539059999999</v>
      </c>
      <c r="H170" s="29">
        <v>10.36249256</v>
      </c>
      <c r="I170" s="29">
        <v>8.4101257319999991</v>
      </c>
      <c r="J170" s="29">
        <v>11.06043816</v>
      </c>
      <c r="L170" s="30">
        <f t="shared" si="19"/>
        <v>-2.3575460741387388E-4</v>
      </c>
      <c r="M170" s="30">
        <f t="shared" si="19"/>
        <v>1.0723638163669946E-3</v>
      </c>
      <c r="N170" s="30">
        <f t="shared" si="19"/>
        <v>3.7641418808620486E-3</v>
      </c>
      <c r="O170" s="30">
        <f t="shared" si="19"/>
        <v>1.171765114217127E-3</v>
      </c>
      <c r="P170" s="30">
        <f t="shared" si="19"/>
        <v>1.5790922365066518E-3</v>
      </c>
      <c r="Q170" s="30">
        <f t="shared" si="19"/>
        <v>4.1588626459792E-3</v>
      </c>
      <c r="R170" s="30">
        <f t="shared" si="18"/>
        <v>1.7463024437138763E-3</v>
      </c>
      <c r="S170" s="30">
        <f t="shared" si="18"/>
        <v>1.0526276434579263E-3</v>
      </c>
      <c r="T170" s="30">
        <f t="shared" si="18"/>
        <v>1.5964806373400808E-3</v>
      </c>
      <c r="U170" s="63">
        <f t="shared" si="17"/>
        <v>1.5292973293070421E-3</v>
      </c>
    </row>
    <row r="171" spans="1:21">
      <c r="A171" s="28">
        <v>43577</v>
      </c>
      <c r="B171" s="29">
        <v>1273.5</v>
      </c>
      <c r="C171" s="29">
        <v>14.95699978</v>
      </c>
      <c r="D171" s="29">
        <v>65.699996949999999</v>
      </c>
      <c r="E171" s="29">
        <v>7713.4902339999999</v>
      </c>
      <c r="F171" s="29">
        <v>2907.969971</v>
      </c>
      <c r="G171" s="29">
        <v>26511.050780000001</v>
      </c>
      <c r="H171" s="29">
        <v>10.34442806</v>
      </c>
      <c r="I171" s="29">
        <v>8.3924360280000005</v>
      </c>
      <c r="J171" s="29">
        <v>11.04280853</v>
      </c>
      <c r="L171" s="30">
        <f t="shared" si="19"/>
        <v>1.2579416383438069E-3</v>
      </c>
      <c r="M171" s="30">
        <f t="shared" si="19"/>
        <v>1.3389241238863647E-3</v>
      </c>
      <c r="N171" s="30">
        <f t="shared" si="19"/>
        <v>2.6562452343749987E-2</v>
      </c>
      <c r="O171" s="30">
        <f t="shared" si="19"/>
        <v>3.0911422438533176E-3</v>
      </c>
      <c r="P171" s="30">
        <f t="shared" si="19"/>
        <v>1.0120177659616036E-3</v>
      </c>
      <c r="Q171" s="30">
        <f t="shared" si="19"/>
        <v>-1.8256446352649114E-3</v>
      </c>
      <c r="R171" s="30">
        <f t="shared" si="18"/>
        <v>-1.7432581876806186E-3</v>
      </c>
      <c r="S171" s="30">
        <f t="shared" si="18"/>
        <v>-2.1033816334862232E-3</v>
      </c>
      <c r="T171" s="30">
        <f t="shared" si="18"/>
        <v>-1.5939359494596683E-3</v>
      </c>
      <c r="U171" s="63">
        <f t="shared" si="17"/>
        <v>2.4186915154792059E-3</v>
      </c>
    </row>
    <row r="172" spans="1:21">
      <c r="A172" s="28">
        <v>43578</v>
      </c>
      <c r="B172" s="29">
        <v>1269.3000489999999</v>
      </c>
      <c r="C172" s="29">
        <v>14.772999759999999</v>
      </c>
      <c r="D172" s="29">
        <v>66.300003050000001</v>
      </c>
      <c r="E172" s="29">
        <v>7810.7099609999996</v>
      </c>
      <c r="F172" s="29">
        <v>2933.679932</v>
      </c>
      <c r="G172" s="29">
        <v>26656.390630000002</v>
      </c>
      <c r="H172" s="29">
        <v>10.353460309999999</v>
      </c>
      <c r="I172" s="29">
        <v>8.4012823099999991</v>
      </c>
      <c r="J172" s="29">
        <v>11.06043816</v>
      </c>
      <c r="L172" s="30">
        <f t="shared" si="19"/>
        <v>-3.2979591676483011E-3</v>
      </c>
      <c r="M172" s="30">
        <f t="shared" si="19"/>
        <v>-1.2301933723769864E-2</v>
      </c>
      <c r="N172" s="30">
        <f t="shared" si="19"/>
        <v>9.1325133615549614E-3</v>
      </c>
      <c r="O172" s="30">
        <f t="shared" si="19"/>
        <v>1.2603856885883946E-2</v>
      </c>
      <c r="P172" s="30">
        <f t="shared" si="19"/>
        <v>8.8412058089990531E-3</v>
      </c>
      <c r="Q172" s="30">
        <f t="shared" si="19"/>
        <v>5.4822364909672405E-3</v>
      </c>
      <c r="R172" s="30">
        <f t="shared" si="18"/>
        <v>8.7315122185671612E-4</v>
      </c>
      <c r="S172" s="30">
        <f t="shared" si="18"/>
        <v>1.054077978132284E-3</v>
      </c>
      <c r="T172" s="30">
        <f t="shared" si="18"/>
        <v>1.5964806373400808E-3</v>
      </c>
      <c r="U172" s="63">
        <f t="shared" si="17"/>
        <v>3.3282057964806049E-3</v>
      </c>
    </row>
    <row r="173" spans="1:21">
      <c r="A173" s="28">
        <v>43579</v>
      </c>
      <c r="B173" s="29">
        <v>1275.5</v>
      </c>
      <c r="C173" s="29">
        <v>14.897999759999999</v>
      </c>
      <c r="D173" s="29">
        <v>65.88999939</v>
      </c>
      <c r="E173" s="29">
        <v>7784.4101559999999</v>
      </c>
      <c r="F173" s="29">
        <v>2927.25</v>
      </c>
      <c r="G173" s="29">
        <v>26597.050780000001</v>
      </c>
      <c r="H173" s="29">
        <v>10.38056564</v>
      </c>
      <c r="I173" s="29">
        <v>8.4189691539999991</v>
      </c>
      <c r="J173" s="29">
        <v>11.08687782</v>
      </c>
      <c r="L173" s="30">
        <f t="shared" si="19"/>
        <v>4.88454326058263E-3</v>
      </c>
      <c r="M173" s="30">
        <f t="shared" si="19"/>
        <v>8.461382388867067E-3</v>
      </c>
      <c r="N173" s="30">
        <f t="shared" si="19"/>
        <v>-6.1840669854992258E-3</v>
      </c>
      <c r="O173" s="30">
        <f t="shared" si="19"/>
        <v>-3.3671465374234266E-3</v>
      </c>
      <c r="P173" s="30">
        <f t="shared" si="19"/>
        <v>-2.1917632969649103E-3</v>
      </c>
      <c r="Q173" s="30">
        <f t="shared" si="19"/>
        <v>-2.2261022065461766E-3</v>
      </c>
      <c r="R173" s="30">
        <f t="shared" si="18"/>
        <v>2.6179971901587606E-3</v>
      </c>
      <c r="S173" s="30">
        <f t="shared" si="18"/>
        <v>2.1052552869158525E-3</v>
      </c>
      <c r="T173" s="30">
        <f t="shared" si="18"/>
        <v>2.3904713011839718E-3</v>
      </c>
      <c r="U173" s="63">
        <f t="shared" si="17"/>
        <v>5.5418571259710622E-4</v>
      </c>
    </row>
    <row r="174" spans="1:21">
      <c r="A174" s="28">
        <v>43580</v>
      </c>
      <c r="B174" s="29">
        <v>1275.8000489999999</v>
      </c>
      <c r="C174" s="29">
        <v>14.86100006</v>
      </c>
      <c r="D174" s="29">
        <v>65.209999080000003</v>
      </c>
      <c r="E174" s="29">
        <v>7816.919922</v>
      </c>
      <c r="F174" s="29">
        <v>2926.169922</v>
      </c>
      <c r="G174" s="29">
        <v>26462.08008</v>
      </c>
      <c r="H174" s="29">
        <v>10.371527670000001</v>
      </c>
      <c r="I174" s="29">
        <v>8.4189691539999991</v>
      </c>
      <c r="J174" s="29">
        <v>11.08687782</v>
      </c>
      <c r="L174" s="30">
        <f t="shared" si="19"/>
        <v>2.3524029792243439E-4</v>
      </c>
      <c r="M174" s="30">
        <f t="shared" si="19"/>
        <v>-2.4835347426531706E-3</v>
      </c>
      <c r="N174" s="30">
        <f t="shared" si="19"/>
        <v>-1.032023548786376E-2</v>
      </c>
      <c r="O174" s="30">
        <f t="shared" si="19"/>
        <v>4.176265811860258E-3</v>
      </c>
      <c r="P174" s="30">
        <f t="shared" si="19"/>
        <v>-3.6897361004351037E-4</v>
      </c>
      <c r="Q174" s="30">
        <f t="shared" si="19"/>
        <v>-5.0746491073925259E-3</v>
      </c>
      <c r="R174" s="30">
        <f t="shared" si="18"/>
        <v>-8.7066257402901304E-4</v>
      </c>
      <c r="S174" s="30">
        <f t="shared" si="18"/>
        <v>0</v>
      </c>
      <c r="T174" s="30">
        <f t="shared" si="18"/>
        <v>0</v>
      </c>
      <c r="U174" s="63">
        <f t="shared" si="17"/>
        <v>-9.4764747303434957E-4</v>
      </c>
    </row>
    <row r="175" spans="1:21">
      <c r="A175" s="28">
        <v>43581</v>
      </c>
      <c r="B175" s="29">
        <v>1284.900024</v>
      </c>
      <c r="C175" s="29">
        <v>15.00199986</v>
      </c>
      <c r="D175" s="29">
        <v>63.299999239999998</v>
      </c>
      <c r="E175" s="29">
        <v>7826.6801759999998</v>
      </c>
      <c r="F175" s="29">
        <v>2939.8798830000001</v>
      </c>
      <c r="G175" s="29">
        <v>26543.33008</v>
      </c>
      <c r="H175" s="29">
        <v>10.39863205</v>
      </c>
      <c r="I175" s="29">
        <v>8.4366550450000002</v>
      </c>
      <c r="J175" s="29">
        <v>11.10449886</v>
      </c>
      <c r="L175" s="30">
        <f t="shared" si="19"/>
        <v>7.1327595630152896E-3</v>
      </c>
      <c r="M175" s="30">
        <f t="shared" si="19"/>
        <v>9.4879079086687135E-3</v>
      </c>
      <c r="N175" s="30">
        <f t="shared" si="19"/>
        <v>-2.9289984158055393E-2</v>
      </c>
      <c r="O175" s="30">
        <f t="shared" si="19"/>
        <v>1.2486061130714265E-3</v>
      </c>
      <c r="P175" s="30">
        <f t="shared" si="19"/>
        <v>4.685292161922483E-3</v>
      </c>
      <c r="Q175" s="30">
        <f t="shared" si="19"/>
        <v>3.0704313400293781E-3</v>
      </c>
      <c r="R175" s="30">
        <f t="shared" si="18"/>
        <v>2.6133450020482396E-3</v>
      </c>
      <c r="S175" s="30">
        <f t="shared" si="18"/>
        <v>2.1007193014359604E-3</v>
      </c>
      <c r="T175" s="30">
        <f t="shared" si="18"/>
        <v>1.5893599880945075E-3</v>
      </c>
      <c r="U175" s="63">
        <f t="shared" si="17"/>
        <v>1.8268776489176724E-3</v>
      </c>
    </row>
    <row r="176" spans="1:21">
      <c r="A176" s="28">
        <v>43584</v>
      </c>
      <c r="B176" s="29">
        <v>1278.599976</v>
      </c>
      <c r="C176" s="29">
        <v>14.84399986</v>
      </c>
      <c r="D176" s="29">
        <v>63.5</v>
      </c>
      <c r="E176" s="29">
        <v>7839.0400390000004</v>
      </c>
      <c r="F176" s="29">
        <v>2943.030029</v>
      </c>
      <c r="G176" s="29">
        <v>26554.390630000002</v>
      </c>
      <c r="H176" s="29">
        <v>10.38056564</v>
      </c>
      <c r="I176" s="29">
        <v>8.4189691539999991</v>
      </c>
      <c r="J176" s="29">
        <v>11.08687782</v>
      </c>
      <c r="L176" s="30">
        <f t="shared" si="19"/>
        <v>-4.9031425654327832E-3</v>
      </c>
      <c r="M176" s="30">
        <f t="shared" si="19"/>
        <v>-1.0531929174408039E-2</v>
      </c>
      <c r="N176" s="30">
        <f t="shared" si="19"/>
        <v>3.1595697061812533E-3</v>
      </c>
      <c r="O176" s="30">
        <f t="shared" si="19"/>
        <v>1.5791961242905828E-3</v>
      </c>
      <c r="P176" s="30">
        <f t="shared" si="19"/>
        <v>1.0715220095269817E-3</v>
      </c>
      <c r="Q176" s="30">
        <f t="shared" si="19"/>
        <v>4.1669790364151638E-4</v>
      </c>
      <c r="R176" s="30">
        <f t="shared" si="18"/>
        <v>-1.7373833320700749E-3</v>
      </c>
      <c r="S176" s="30">
        <f t="shared" si="18"/>
        <v>-2.096315530938142E-3</v>
      </c>
      <c r="T176" s="30">
        <f t="shared" si="18"/>
        <v>-1.586837931378704E-3</v>
      </c>
      <c r="U176" s="63">
        <f t="shared" si="17"/>
        <v>-1.5883293313323275E-3</v>
      </c>
    </row>
    <row r="177" spans="1:21">
      <c r="A177" s="28">
        <v>43585</v>
      </c>
      <c r="B177" s="29">
        <v>1282.8000489999999</v>
      </c>
      <c r="C177" s="29">
        <v>14.899999619999999</v>
      </c>
      <c r="D177" s="29">
        <v>63.909999849999998</v>
      </c>
      <c r="E177" s="29">
        <v>7781.4599609999996</v>
      </c>
      <c r="F177" s="29">
        <v>2945.830078</v>
      </c>
      <c r="G177" s="29">
        <v>26592.910159999999</v>
      </c>
      <c r="H177" s="29">
        <v>10.414071079999999</v>
      </c>
      <c r="I177" s="29">
        <v>8.4579792020000006</v>
      </c>
      <c r="J177" s="29">
        <v>11.10985661</v>
      </c>
      <c r="L177" s="30">
        <f t="shared" si="19"/>
        <v>3.2848999521646327E-3</v>
      </c>
      <c r="M177" s="30">
        <f t="shared" si="19"/>
        <v>3.7725519083910974E-3</v>
      </c>
      <c r="N177" s="30">
        <f t="shared" si="19"/>
        <v>6.4566905511811434E-3</v>
      </c>
      <c r="O177" s="30">
        <f t="shared" si="19"/>
        <v>-7.3452970916763061E-3</v>
      </c>
      <c r="P177" s="30">
        <f t="shared" si="19"/>
        <v>9.5141706758306022E-4</v>
      </c>
      <c r="Q177" s="30">
        <f t="shared" si="19"/>
        <v>1.450589868045471E-3</v>
      </c>
      <c r="R177" s="30">
        <f t="shared" si="18"/>
        <v>3.2277085047167642E-3</v>
      </c>
      <c r="S177" s="30">
        <f t="shared" si="18"/>
        <v>4.6335896101326046E-3</v>
      </c>
      <c r="T177" s="30">
        <f t="shared" si="18"/>
        <v>2.0726114577134247E-3</v>
      </c>
      <c r="U177" s="63">
        <f t="shared" si="17"/>
        <v>1.6506937960785288E-3</v>
      </c>
    </row>
    <row r="178" spans="1:21">
      <c r="A178" s="28">
        <v>43586</v>
      </c>
      <c r="B178" s="29">
        <v>1281.400024</v>
      </c>
      <c r="C178" s="29">
        <v>14.64500046</v>
      </c>
      <c r="D178" s="29">
        <v>63.599998470000003</v>
      </c>
      <c r="E178" s="29">
        <v>7751.8500979999999</v>
      </c>
      <c r="F178" s="29">
        <v>2923.7299800000001</v>
      </c>
      <c r="G178" s="29">
        <v>26430.140630000002</v>
      </c>
      <c r="H178" s="29">
        <v>10.414071079999999</v>
      </c>
      <c r="I178" s="29">
        <v>8.4579792020000006</v>
      </c>
      <c r="J178" s="29">
        <v>11.10985661</v>
      </c>
      <c r="L178" s="30">
        <f t="shared" si="19"/>
        <v>-1.0913820911461203E-3</v>
      </c>
      <c r="M178" s="30">
        <f t="shared" si="19"/>
        <v>-1.7114038020357936E-2</v>
      </c>
      <c r="N178" s="30">
        <f t="shared" si="19"/>
        <v>-4.850592719880864E-3</v>
      </c>
      <c r="O178" s="30">
        <f t="shared" si="19"/>
        <v>-3.8051809234258549E-3</v>
      </c>
      <c r="P178" s="30">
        <f t="shared" si="19"/>
        <v>-7.5021631984300008E-3</v>
      </c>
      <c r="Q178" s="30">
        <f t="shared" si="19"/>
        <v>-6.1207866691036505E-3</v>
      </c>
      <c r="R178" s="30">
        <f t="shared" si="18"/>
        <v>0</v>
      </c>
      <c r="S178" s="30">
        <f t="shared" si="18"/>
        <v>0</v>
      </c>
      <c r="T178" s="30">
        <f t="shared" si="18"/>
        <v>0</v>
      </c>
      <c r="U178" s="63">
        <f t="shared" si="17"/>
        <v>-5.9698337886460156E-3</v>
      </c>
    </row>
    <row r="179" spans="1:21">
      <c r="A179" s="28">
        <v>43587</v>
      </c>
      <c r="B179" s="29">
        <v>1269.6999510000001</v>
      </c>
      <c r="C179" s="29">
        <v>14.539999959999999</v>
      </c>
      <c r="D179" s="29">
        <v>61.810001370000002</v>
      </c>
      <c r="E179" s="29">
        <v>7724.0600590000004</v>
      </c>
      <c r="F179" s="29">
        <v>2917.5200199999999</v>
      </c>
      <c r="G179" s="29">
        <v>26307.789059999999</v>
      </c>
      <c r="H179" s="29">
        <v>10.39595795</v>
      </c>
      <c r="I179" s="29">
        <v>8.4313831330000006</v>
      </c>
      <c r="J179" s="29">
        <v>11.07450008</v>
      </c>
      <c r="L179" s="30">
        <f t="shared" si="19"/>
        <v>-9.1306951622157628E-3</v>
      </c>
      <c r="M179" s="30">
        <f t="shared" si="19"/>
        <v>-7.1697164016341075E-3</v>
      </c>
      <c r="N179" s="30">
        <f t="shared" si="19"/>
        <v>-2.8144609167629731E-2</v>
      </c>
      <c r="O179" s="30">
        <f t="shared" si="19"/>
        <v>-3.5849556749258937E-3</v>
      </c>
      <c r="P179" s="30">
        <f t="shared" si="19"/>
        <v>-2.1239854714627526E-3</v>
      </c>
      <c r="Q179" s="30">
        <f t="shared" si="19"/>
        <v>-4.6292440026265425E-3</v>
      </c>
      <c r="R179" s="30">
        <f t="shared" si="18"/>
        <v>-1.7392938708461481E-3</v>
      </c>
      <c r="S179" s="30">
        <f t="shared" si="18"/>
        <v>-3.1444944903282757E-3</v>
      </c>
      <c r="T179" s="30">
        <f t="shared" si="18"/>
        <v>-3.1824470144984351E-3</v>
      </c>
      <c r="U179" s="63">
        <f t="shared" si="17"/>
        <v>-5.7031479494852192E-3</v>
      </c>
    </row>
    <row r="180" spans="1:21">
      <c r="A180" s="28">
        <v>43588</v>
      </c>
      <c r="B180" s="29">
        <v>1279.1999510000001</v>
      </c>
      <c r="C180" s="29">
        <v>14.90699959</v>
      </c>
      <c r="D180" s="29">
        <v>61.939998629999998</v>
      </c>
      <c r="E180" s="29">
        <v>7845.7299800000001</v>
      </c>
      <c r="F180" s="29">
        <v>2945.639893</v>
      </c>
      <c r="G180" s="29">
        <v>26504.949219999999</v>
      </c>
      <c r="H180" s="29">
        <v>10.405015949999999</v>
      </c>
      <c r="I180" s="29">
        <v>8.4491119379999997</v>
      </c>
      <c r="J180" s="29">
        <v>11.09218025</v>
      </c>
      <c r="L180" s="30">
        <f t="shared" si="19"/>
        <v>7.4820826704118382E-3</v>
      </c>
      <c r="M180" s="30">
        <f t="shared" si="19"/>
        <v>2.5240689890621004E-2</v>
      </c>
      <c r="N180" s="30">
        <f t="shared" si="19"/>
        <v>2.1031751677502708E-3</v>
      </c>
      <c r="O180" s="30">
        <f t="shared" si="19"/>
        <v>1.5752068221974946E-2</v>
      </c>
      <c r="P180" s="30">
        <f t="shared" si="19"/>
        <v>9.6382793630325203E-3</v>
      </c>
      <c r="Q180" s="30">
        <f t="shared" si="19"/>
        <v>7.4943644846146018E-3</v>
      </c>
      <c r="R180" s="30">
        <f t="shared" si="18"/>
        <v>8.7130017681524841E-4</v>
      </c>
      <c r="S180" s="30">
        <f t="shared" si="18"/>
        <v>2.1027160929989464E-3</v>
      </c>
      <c r="T180" s="30">
        <f t="shared" si="18"/>
        <v>1.5964756758573007E-3</v>
      </c>
      <c r="U180" s="63">
        <f t="shared" si="17"/>
        <v>9.8787338728012868E-3</v>
      </c>
    </row>
    <row r="181" spans="1:21">
      <c r="A181" s="28">
        <v>43591</v>
      </c>
      <c r="B181" s="29">
        <v>1281.6999510000001</v>
      </c>
      <c r="C181" s="29">
        <v>14.85700035</v>
      </c>
      <c r="D181" s="29">
        <v>62.25</v>
      </c>
      <c r="E181" s="29">
        <v>7794.0898440000001</v>
      </c>
      <c r="F181" s="29">
        <v>2932.469971</v>
      </c>
      <c r="G181" s="29">
        <v>26438.480469999999</v>
      </c>
      <c r="H181" s="29">
        <v>10.414071079999999</v>
      </c>
      <c r="I181" s="29">
        <v>8.4579792020000006</v>
      </c>
      <c r="J181" s="29">
        <v>11.10985661</v>
      </c>
      <c r="L181" s="30">
        <f t="shared" si="19"/>
        <v>1.9543465414031402E-3</v>
      </c>
      <c r="M181" s="30">
        <f t="shared" si="19"/>
        <v>-3.3540780422064431E-3</v>
      </c>
      <c r="N181" s="30">
        <f t="shared" si="19"/>
        <v>5.0048656257131174E-3</v>
      </c>
      <c r="O181" s="30">
        <f t="shared" si="19"/>
        <v>-6.5819415314621876E-3</v>
      </c>
      <c r="P181" s="30">
        <f t="shared" si="19"/>
        <v>-4.4709884705517178E-3</v>
      </c>
      <c r="Q181" s="30">
        <f t="shared" si="19"/>
        <v>-2.5077863552307456E-3</v>
      </c>
      <c r="R181" s="30">
        <f t="shared" si="18"/>
        <v>8.7026584519556138E-4</v>
      </c>
      <c r="S181" s="30">
        <f t="shared" si="18"/>
        <v>1.0494906523985659E-3</v>
      </c>
      <c r="T181" s="30">
        <f t="shared" si="18"/>
        <v>1.5935875185584258E-3</v>
      </c>
      <c r="U181" s="63">
        <f t="shared" si="17"/>
        <v>-1.9176827510956754E-3</v>
      </c>
    </row>
    <row r="182" spans="1:21">
      <c r="A182" s="28">
        <v>43592</v>
      </c>
      <c r="B182" s="29">
        <v>1283.5</v>
      </c>
      <c r="C182" s="29">
        <v>14.85999966</v>
      </c>
      <c r="D182" s="29">
        <v>61.400001529999997</v>
      </c>
      <c r="E182" s="29">
        <v>7640.1499020000001</v>
      </c>
      <c r="F182" s="29">
        <v>2884.0500489999999</v>
      </c>
      <c r="G182" s="29">
        <v>25965.089840000001</v>
      </c>
      <c r="H182" s="29">
        <v>10.432183269999999</v>
      </c>
      <c r="I182" s="29">
        <v>8.4668455120000008</v>
      </c>
      <c r="J182" s="29">
        <v>11.12753391</v>
      </c>
      <c r="L182" s="30">
        <f t="shared" si="19"/>
        <v>1.4044230856025131E-3</v>
      </c>
      <c r="M182" s="30">
        <f t="shared" si="19"/>
        <v>2.0187857099962514E-4</v>
      </c>
      <c r="N182" s="30">
        <f t="shared" si="19"/>
        <v>-1.3654593895582323E-2</v>
      </c>
      <c r="O182" s="30">
        <f t="shared" si="19"/>
        <v>-1.9750855466274198E-2</v>
      </c>
      <c r="P182" s="30">
        <f t="shared" si="19"/>
        <v>-1.6511651433377961E-2</v>
      </c>
      <c r="Q182" s="30">
        <f t="shared" si="19"/>
        <v>-1.7905364513560396E-2</v>
      </c>
      <c r="R182" s="30">
        <f t="shared" si="18"/>
        <v>1.7392036083547779E-3</v>
      </c>
      <c r="S182" s="30">
        <f t="shared" si="18"/>
        <v>1.0482775835987113E-3</v>
      </c>
      <c r="T182" s="30">
        <f t="shared" si="18"/>
        <v>1.5911366474423705E-3</v>
      </c>
      <c r="U182" s="63">
        <f t="shared" si="17"/>
        <v>-8.4791265402779994E-3</v>
      </c>
    </row>
    <row r="183" spans="1:21">
      <c r="A183" s="28">
        <v>43593</v>
      </c>
      <c r="B183" s="29">
        <v>1279.400024</v>
      </c>
      <c r="C183" s="29">
        <v>14.791999819999999</v>
      </c>
      <c r="D183" s="29">
        <v>62.119998930000001</v>
      </c>
      <c r="E183" s="29">
        <v>7617.5498049999997</v>
      </c>
      <c r="F183" s="29">
        <v>2879.419922</v>
      </c>
      <c r="G183" s="29">
        <v>25967.33008</v>
      </c>
      <c r="H183" s="29">
        <v>10.42312622</v>
      </c>
      <c r="I183" s="29">
        <v>8.4579792020000006</v>
      </c>
      <c r="J183" s="29">
        <v>11.10985661</v>
      </c>
      <c r="L183" s="30">
        <f t="shared" si="19"/>
        <v>-3.194371640046767E-3</v>
      </c>
      <c r="M183" s="30">
        <f t="shared" si="19"/>
        <v>-4.5760324061810964E-3</v>
      </c>
      <c r="N183" s="30">
        <f t="shared" si="19"/>
        <v>1.1726341727340328E-2</v>
      </c>
      <c r="O183" s="30">
        <f t="shared" si="19"/>
        <v>-2.9580698402376093E-3</v>
      </c>
      <c r="P183" s="30">
        <f t="shared" si="19"/>
        <v>-1.6054253294270904E-3</v>
      </c>
      <c r="Q183" s="30">
        <f t="shared" si="19"/>
        <v>8.6278923500993088E-5</v>
      </c>
      <c r="R183" s="30">
        <f t="shared" si="18"/>
        <v>-8.6818355904894062E-4</v>
      </c>
      <c r="S183" s="30">
        <f t="shared" si="18"/>
        <v>-1.0471798484374961E-3</v>
      </c>
      <c r="T183" s="30">
        <f t="shared" si="18"/>
        <v>-1.5886089535179782E-3</v>
      </c>
      <c r="U183" s="63">
        <f t="shared" si="17"/>
        <v>-1.1449572508042401E-3</v>
      </c>
    </row>
    <row r="184" spans="1:21">
      <c r="A184" s="28">
        <v>43594</v>
      </c>
      <c r="B184" s="29">
        <v>1283.5</v>
      </c>
      <c r="C184" s="29">
        <v>14.70699978</v>
      </c>
      <c r="D184" s="29">
        <v>61.700000760000002</v>
      </c>
      <c r="E184" s="29">
        <v>7582.75</v>
      </c>
      <c r="F184" s="29">
        <v>2870.719971</v>
      </c>
      <c r="G184" s="29">
        <v>25828.359380000002</v>
      </c>
      <c r="H184" s="29">
        <v>10.432183269999999</v>
      </c>
      <c r="I184" s="29">
        <v>8.4579792020000006</v>
      </c>
      <c r="J184" s="29">
        <v>11.118693349999999</v>
      </c>
      <c r="L184" s="30">
        <f t="shared" si="19"/>
        <v>3.2046083500776312E-3</v>
      </c>
      <c r="M184" s="30">
        <f t="shared" si="19"/>
        <v>-5.7463521521323724E-3</v>
      </c>
      <c r="N184" s="30">
        <f t="shared" si="19"/>
        <v>-6.7610781911519036E-3</v>
      </c>
      <c r="O184" s="30">
        <f t="shared" si="19"/>
        <v>-4.5683724938900827E-3</v>
      </c>
      <c r="P184" s="30">
        <f t="shared" si="19"/>
        <v>-3.0214248826746504E-3</v>
      </c>
      <c r="Q184" s="30">
        <f t="shared" si="19"/>
        <v>-5.351751588317244E-3</v>
      </c>
      <c r="R184" s="30">
        <f t="shared" si="18"/>
        <v>8.6893795669684692E-4</v>
      </c>
      <c r="S184" s="30">
        <f t="shared" si="18"/>
        <v>0</v>
      </c>
      <c r="T184" s="30">
        <f t="shared" si="18"/>
        <v>7.9539640431058878E-4</v>
      </c>
      <c r="U184" s="63">
        <f t="shared" si="17"/>
        <v>-2.7051967274688907E-3</v>
      </c>
    </row>
    <row r="185" spans="1:21">
      <c r="A185" s="28">
        <v>43595</v>
      </c>
      <c r="B185" s="29">
        <v>1285.6999510000001</v>
      </c>
      <c r="C185" s="29">
        <v>14.725999829999999</v>
      </c>
      <c r="D185" s="29">
        <v>61.659999849999998</v>
      </c>
      <c r="E185" s="29">
        <v>7586.5297849999997</v>
      </c>
      <c r="F185" s="29">
        <v>2881.3999020000001</v>
      </c>
      <c r="G185" s="29">
        <v>25942.369139999999</v>
      </c>
      <c r="H185" s="29">
        <v>10.42312622</v>
      </c>
      <c r="I185" s="29">
        <v>8.4668455120000008</v>
      </c>
      <c r="J185" s="29">
        <v>11.118693349999999</v>
      </c>
      <c r="L185" s="30">
        <f t="shared" si="19"/>
        <v>1.7140249318270406E-3</v>
      </c>
      <c r="M185" s="30">
        <f t="shared" si="19"/>
        <v>1.2919052345290449E-3</v>
      </c>
      <c r="N185" s="30">
        <f t="shared" si="19"/>
        <v>-6.4831295797873612E-4</v>
      </c>
      <c r="O185" s="30">
        <f t="shared" si="19"/>
        <v>4.9847153077697826E-4</v>
      </c>
      <c r="P185" s="30">
        <f t="shared" si="19"/>
        <v>3.7202970362448795E-3</v>
      </c>
      <c r="Q185" s="30">
        <f t="shared" si="19"/>
        <v>4.414130929596638E-3</v>
      </c>
      <c r="R185" s="30">
        <f t="shared" si="18"/>
        <v>-8.6818355904894062E-4</v>
      </c>
      <c r="S185" s="30">
        <f t="shared" si="18"/>
        <v>1.0482775835987113E-3</v>
      </c>
      <c r="T185" s="30">
        <f t="shared" si="18"/>
        <v>0</v>
      </c>
      <c r="U185" s="63">
        <f t="shared" si="17"/>
        <v>1.6831746288241815E-3</v>
      </c>
    </row>
    <row r="186" spans="1:21">
      <c r="A186" s="28">
        <v>43598</v>
      </c>
      <c r="B186" s="29">
        <v>1300.099976</v>
      </c>
      <c r="C186" s="29">
        <v>14.713000299999999</v>
      </c>
      <c r="D186" s="29">
        <v>61.040000919999997</v>
      </c>
      <c r="E186" s="29">
        <v>7324.1298829999996</v>
      </c>
      <c r="F186" s="29">
        <v>2811.8701169999999</v>
      </c>
      <c r="G186" s="29">
        <v>25324.990229999999</v>
      </c>
      <c r="H186" s="29">
        <v>10.45029068</v>
      </c>
      <c r="I186" s="29">
        <v>8.4757118229999993</v>
      </c>
      <c r="J186" s="29">
        <v>11.14521027</v>
      </c>
      <c r="L186" s="30">
        <f t="shared" si="19"/>
        <v>1.1200144317342398E-2</v>
      </c>
      <c r="M186" s="30">
        <f t="shared" si="19"/>
        <v>-8.8276043393109571E-4</v>
      </c>
      <c r="N186" s="30">
        <f t="shared" si="19"/>
        <v>-1.0055123767568452E-2</v>
      </c>
      <c r="O186" s="30">
        <f t="shared" si="19"/>
        <v>-3.4587605853576675E-2</v>
      </c>
      <c r="P186" s="30">
        <f t="shared" si="19"/>
        <v>-2.4130557147495901E-2</v>
      </c>
      <c r="Q186" s="30">
        <f t="shared" si="19"/>
        <v>-2.3798092867627685E-2</v>
      </c>
      <c r="R186" s="30">
        <f t="shared" si="18"/>
        <v>2.606172028107645E-3</v>
      </c>
      <c r="S186" s="30">
        <f t="shared" si="18"/>
        <v>1.0471799665450199E-3</v>
      </c>
      <c r="T186" s="30">
        <f t="shared" si="18"/>
        <v>2.384895343840121E-3</v>
      </c>
      <c r="U186" s="63">
        <f t="shared" si="17"/>
        <v>-1.1958552652758216E-2</v>
      </c>
    </row>
    <row r="187" spans="1:21">
      <c r="A187" s="28">
        <v>43599</v>
      </c>
      <c r="B187" s="29">
        <v>1294.6999510000001</v>
      </c>
      <c r="C187" s="29">
        <v>14.75199986</v>
      </c>
      <c r="D187" s="29">
        <v>61.77999878</v>
      </c>
      <c r="E187" s="29">
        <v>7401.8798829999996</v>
      </c>
      <c r="F187" s="29">
        <v>2834.4099120000001</v>
      </c>
      <c r="G187" s="29">
        <v>25532.050780000001</v>
      </c>
      <c r="H187" s="29">
        <v>10.45029068</v>
      </c>
      <c r="I187" s="29">
        <v>8.4757118229999993</v>
      </c>
      <c r="J187" s="29">
        <v>11.14521027</v>
      </c>
      <c r="L187" s="30">
        <f t="shared" si="19"/>
        <v>-4.1535459577609624E-3</v>
      </c>
      <c r="M187" s="30">
        <f t="shared" si="19"/>
        <v>2.6506870933729054E-3</v>
      </c>
      <c r="N187" s="30">
        <f t="shared" si="19"/>
        <v>1.2123162661315412E-2</v>
      </c>
      <c r="O187" s="30">
        <f t="shared" si="19"/>
        <v>1.0615595468953298E-2</v>
      </c>
      <c r="P187" s="30">
        <f t="shared" si="19"/>
        <v>8.0159445714540478E-3</v>
      </c>
      <c r="Q187" s="30">
        <f t="shared" si="19"/>
        <v>8.1761354345841752E-3</v>
      </c>
      <c r="R187" s="30">
        <f t="shared" si="18"/>
        <v>0</v>
      </c>
      <c r="S187" s="30">
        <f t="shared" si="18"/>
        <v>0</v>
      </c>
      <c r="T187" s="30">
        <f t="shared" si="18"/>
        <v>0</v>
      </c>
      <c r="U187" s="63">
        <f t="shared" si="17"/>
        <v>5.0327094650949016E-3</v>
      </c>
    </row>
    <row r="188" spans="1:21">
      <c r="A188" s="28">
        <v>43600</v>
      </c>
      <c r="B188" s="29">
        <v>1296.3000489999999</v>
      </c>
      <c r="C188" s="29">
        <v>14.75199986</v>
      </c>
      <c r="D188" s="29">
        <v>62.020000459999999</v>
      </c>
      <c r="E188" s="29">
        <v>7503.25</v>
      </c>
      <c r="F188" s="29">
        <v>2850.959961</v>
      </c>
      <c r="G188" s="29">
        <v>25648.019530000001</v>
      </c>
      <c r="H188" s="29">
        <v>10.46840096</v>
      </c>
      <c r="I188" s="29">
        <v>8.4934482570000007</v>
      </c>
      <c r="J188" s="29">
        <v>11.171724319999999</v>
      </c>
      <c r="L188" s="30">
        <f t="shared" si="19"/>
        <v>1.2358832629630889E-3</v>
      </c>
      <c r="M188" s="30">
        <f t="shared" si="19"/>
        <v>0</v>
      </c>
      <c r="N188" s="30">
        <f t="shared" si="19"/>
        <v>3.8847796170189408E-3</v>
      </c>
      <c r="O188" s="30">
        <f t="shared" si="19"/>
        <v>1.3695185358630013E-2</v>
      </c>
      <c r="P188" s="30">
        <f t="shared" si="19"/>
        <v>5.8389751355061303E-3</v>
      </c>
      <c r="Q188" s="30">
        <f t="shared" si="19"/>
        <v>4.5420852010384927E-3</v>
      </c>
      <c r="R188" s="30">
        <f t="shared" si="18"/>
        <v>1.732992942929279E-3</v>
      </c>
      <c r="S188" s="30">
        <f t="shared" si="18"/>
        <v>2.092618811303959E-3</v>
      </c>
      <c r="T188" s="30">
        <f t="shared" si="18"/>
        <v>2.3789636406743586E-3</v>
      </c>
      <c r="U188" s="63">
        <f t="shared" si="17"/>
        <v>4.4462491649100702E-3</v>
      </c>
    </row>
    <row r="189" spans="1:21">
      <c r="A189" s="28">
        <v>43601</v>
      </c>
      <c r="B189" s="29">
        <v>1285</v>
      </c>
      <c r="C189" s="29">
        <v>14.47900009</v>
      </c>
      <c r="D189" s="29">
        <v>62.869998930000001</v>
      </c>
      <c r="E189" s="29">
        <v>7580.1401370000003</v>
      </c>
      <c r="F189" s="29">
        <v>2876.320068</v>
      </c>
      <c r="G189" s="29">
        <v>25862.679690000001</v>
      </c>
      <c r="H189" s="29">
        <v>10.45934772</v>
      </c>
      <c r="I189" s="29">
        <v>8.4757118229999993</v>
      </c>
      <c r="J189" s="29">
        <v>11.154047970000001</v>
      </c>
      <c r="L189" s="30">
        <f t="shared" si="19"/>
        <v>-8.7171554214759972E-3</v>
      </c>
      <c r="M189" s="30">
        <f t="shared" si="19"/>
        <v>-1.8505949877361205E-2</v>
      </c>
      <c r="N189" s="30">
        <f t="shared" si="19"/>
        <v>1.3705231597800571E-2</v>
      </c>
      <c r="O189" s="30">
        <f t="shared" si="19"/>
        <v>1.0247577649685091E-2</v>
      </c>
      <c r="P189" s="30">
        <f t="shared" si="19"/>
        <v>8.8952869724290284E-3</v>
      </c>
      <c r="Q189" s="30">
        <f t="shared" si="19"/>
        <v>8.3694633711939304E-3</v>
      </c>
      <c r="R189" s="30">
        <f t="shared" si="18"/>
        <v>-8.6481593842202553E-4</v>
      </c>
      <c r="S189" s="30">
        <f t="shared" si="18"/>
        <v>-2.0882489023682504E-3</v>
      </c>
      <c r="T189" s="30">
        <f t="shared" si="18"/>
        <v>-1.5822400816276616E-3</v>
      </c>
      <c r="U189" s="63">
        <f t="shared" si="17"/>
        <v>1.4776788544570312E-3</v>
      </c>
    </row>
    <row r="190" spans="1:21">
      <c r="A190" s="28">
        <v>43602</v>
      </c>
      <c r="B190" s="29">
        <v>1274.5</v>
      </c>
      <c r="C190" s="29">
        <v>14.347999570000001</v>
      </c>
      <c r="D190" s="29">
        <v>62.759998320000001</v>
      </c>
      <c r="E190" s="29">
        <v>7503.6801759999998</v>
      </c>
      <c r="F190" s="29">
        <v>2859.530029</v>
      </c>
      <c r="G190" s="29">
        <v>25764</v>
      </c>
      <c r="H190" s="29">
        <v>10.45934772</v>
      </c>
      <c r="I190" s="29">
        <v>8.4845762249999996</v>
      </c>
      <c r="J190" s="29">
        <v>11.16288662</v>
      </c>
      <c r="L190" s="30">
        <f t="shared" si="19"/>
        <v>-8.1712062256809048E-3</v>
      </c>
      <c r="M190" s="30">
        <f t="shared" si="19"/>
        <v>-9.0476220171084032E-3</v>
      </c>
      <c r="N190" s="30">
        <f t="shared" si="19"/>
        <v>-1.7496518509961811E-3</v>
      </c>
      <c r="O190" s="30">
        <f t="shared" si="19"/>
        <v>-1.0086879611471256E-2</v>
      </c>
      <c r="P190" s="30">
        <f t="shared" si="19"/>
        <v>-5.8373333297621066E-3</v>
      </c>
      <c r="Q190" s="30">
        <f t="shared" si="19"/>
        <v>-3.8155245776081426E-3</v>
      </c>
      <c r="R190" s="30">
        <f t="shared" si="18"/>
        <v>0</v>
      </c>
      <c r="S190" s="30">
        <f t="shared" si="18"/>
        <v>1.0458592959643465E-3</v>
      </c>
      <c r="T190" s="30">
        <f t="shared" si="18"/>
        <v>7.9241635178295411E-4</v>
      </c>
      <c r="U190" s="63">
        <f t="shared" si="17"/>
        <v>-4.8296110954456758E-3</v>
      </c>
    </row>
    <row r="191" spans="1:21">
      <c r="A191" s="28">
        <v>43605</v>
      </c>
      <c r="B191" s="29">
        <v>1276.099976</v>
      </c>
      <c r="C191" s="29">
        <v>14.4090004</v>
      </c>
      <c r="D191" s="29">
        <v>63.099998470000003</v>
      </c>
      <c r="E191" s="29">
        <v>7376.7001950000003</v>
      </c>
      <c r="F191" s="29">
        <v>2840.2299800000001</v>
      </c>
      <c r="G191" s="29">
        <v>25679.900389999999</v>
      </c>
      <c r="H191" s="29">
        <v>10.45029068</v>
      </c>
      <c r="I191" s="29">
        <v>8.4668455120000008</v>
      </c>
      <c r="J191" s="29">
        <v>11.14521027</v>
      </c>
      <c r="L191" s="30">
        <f t="shared" si="19"/>
        <v>1.255375441349571E-3</v>
      </c>
      <c r="M191" s="30">
        <f t="shared" si="19"/>
        <v>4.2515215938216944E-3</v>
      </c>
      <c r="N191" s="30">
        <f t="shared" si="19"/>
        <v>5.417465887529449E-3</v>
      </c>
      <c r="O191" s="30">
        <f t="shared" si="19"/>
        <v>-1.6922360498004219E-2</v>
      </c>
      <c r="P191" s="30">
        <f t="shared" si="19"/>
        <v>-6.7493779761946815E-3</v>
      </c>
      <c r="Q191" s="30">
        <f t="shared" si="19"/>
        <v>-3.2642295451017489E-3</v>
      </c>
      <c r="R191" s="30">
        <f t="shared" si="18"/>
        <v>-8.6592780376559819E-4</v>
      </c>
      <c r="S191" s="30">
        <f t="shared" si="18"/>
        <v>-2.0897582306768081E-3</v>
      </c>
      <c r="T191" s="30">
        <f t="shared" si="18"/>
        <v>-1.5834927471475302E-3</v>
      </c>
      <c r="U191" s="63">
        <f t="shared" si="17"/>
        <v>-3.4691524252057956E-3</v>
      </c>
    </row>
    <row r="192" spans="1:21">
      <c r="A192" s="28">
        <v>43606</v>
      </c>
      <c r="B192" s="29">
        <v>1272</v>
      </c>
      <c r="C192" s="29">
        <v>14.37300014</v>
      </c>
      <c r="D192" s="29">
        <v>62.990001679999999</v>
      </c>
      <c r="E192" s="29">
        <v>7451.0200199999999</v>
      </c>
      <c r="F192" s="29">
        <v>2864.360107</v>
      </c>
      <c r="G192" s="29">
        <v>25877.33008</v>
      </c>
      <c r="H192" s="29">
        <v>10.432183269999999</v>
      </c>
      <c r="I192" s="29">
        <v>8.4668455120000008</v>
      </c>
      <c r="J192" s="29">
        <v>11.13636494</v>
      </c>
      <c r="L192" s="30">
        <f t="shared" si="19"/>
        <v>-3.2128956015277099E-3</v>
      </c>
      <c r="M192" s="30">
        <f t="shared" si="19"/>
        <v>-2.4984564508722107E-3</v>
      </c>
      <c r="N192" s="30">
        <f t="shared" si="19"/>
        <v>-1.7432138299068312E-3</v>
      </c>
      <c r="O192" s="30">
        <f t="shared" si="19"/>
        <v>1.0074941780930047E-2</v>
      </c>
      <c r="P192" s="30">
        <f t="shared" si="19"/>
        <v>8.4958356083544295E-3</v>
      </c>
      <c r="Q192" s="30">
        <f t="shared" si="19"/>
        <v>7.6881018618313313E-3</v>
      </c>
      <c r="R192" s="30">
        <f t="shared" si="18"/>
        <v>-1.7327183094203447E-3</v>
      </c>
      <c r="S192" s="30">
        <f t="shared" si="18"/>
        <v>0</v>
      </c>
      <c r="T192" s="30">
        <f t="shared" si="18"/>
        <v>-7.9364406643889218E-4</v>
      </c>
      <c r="U192" s="63">
        <f t="shared" si="17"/>
        <v>3.1882443364099258E-3</v>
      </c>
    </row>
    <row r="193" spans="1:21">
      <c r="A193" s="28">
        <v>43607</v>
      </c>
      <c r="B193" s="29">
        <v>1273.599976</v>
      </c>
      <c r="C193" s="29">
        <v>14.413999560000001</v>
      </c>
      <c r="D193" s="29">
        <v>61.41999817</v>
      </c>
      <c r="E193" s="29">
        <v>7420.6601559999999</v>
      </c>
      <c r="F193" s="29">
        <v>2856.2700199999999</v>
      </c>
      <c r="G193" s="29">
        <v>25776.609380000002</v>
      </c>
      <c r="H193" s="29">
        <v>10.45029068</v>
      </c>
      <c r="I193" s="29">
        <v>8.4757118229999993</v>
      </c>
      <c r="J193" s="29">
        <v>11.154047970000001</v>
      </c>
      <c r="L193" s="30">
        <f t="shared" si="19"/>
        <v>1.2578427672955694E-3</v>
      </c>
      <c r="M193" s="30">
        <f t="shared" si="19"/>
        <v>2.8525304112325678E-3</v>
      </c>
      <c r="N193" s="30">
        <f t="shared" si="19"/>
        <v>-2.4924646263321026E-2</v>
      </c>
      <c r="O193" s="30">
        <f t="shared" si="19"/>
        <v>-4.0745916557073381E-3</v>
      </c>
      <c r="P193" s="30">
        <f t="shared" si="19"/>
        <v>-2.8243959201321722E-3</v>
      </c>
      <c r="Q193" s="30">
        <f t="shared" si="19"/>
        <v>-3.8922369382242694E-3</v>
      </c>
      <c r="R193" s="30">
        <f t="shared" si="18"/>
        <v>1.7357258333519088E-3</v>
      </c>
      <c r="S193" s="30">
        <f t="shared" si="18"/>
        <v>1.0471799665450199E-3</v>
      </c>
      <c r="T193" s="30">
        <f t="shared" si="18"/>
        <v>1.5878637324902023E-3</v>
      </c>
      <c r="U193" s="63">
        <f t="shared" si="17"/>
        <v>-2.4861064911481396E-3</v>
      </c>
    </row>
    <row r="194" spans="1:21">
      <c r="A194" s="28">
        <v>43608</v>
      </c>
      <c r="B194" s="29">
        <v>1284.8000489999999</v>
      </c>
      <c r="C194" s="29">
        <v>14.57699966</v>
      </c>
      <c r="D194" s="29">
        <v>57.909999849999998</v>
      </c>
      <c r="E194" s="29">
        <v>7307.9301759999998</v>
      </c>
      <c r="F194" s="29">
        <v>2822.23999</v>
      </c>
      <c r="G194" s="29">
        <v>25490.470700000002</v>
      </c>
      <c r="H194" s="29">
        <v>10.48651409</v>
      </c>
      <c r="I194" s="29">
        <v>8.5111722949999997</v>
      </c>
      <c r="J194" s="29">
        <v>11.18056297</v>
      </c>
      <c r="L194" s="30">
        <f t="shared" si="19"/>
        <v>8.7940273328019902E-3</v>
      </c>
      <c r="M194" s="30">
        <f t="shared" si="19"/>
        <v>1.1308457400840854E-2</v>
      </c>
      <c r="N194" s="30">
        <f t="shared" si="19"/>
        <v>-5.7147483304785029E-2</v>
      </c>
      <c r="O194" s="30">
        <f t="shared" si="19"/>
        <v>-1.5191368103396052E-2</v>
      </c>
      <c r="P194" s="30">
        <f t="shared" si="19"/>
        <v>-1.191415018948383E-2</v>
      </c>
      <c r="Q194" s="30">
        <f t="shared" si="19"/>
        <v>-1.1100710562111926E-2</v>
      </c>
      <c r="R194" s="30">
        <f t="shared" si="18"/>
        <v>3.4662586055453914E-3</v>
      </c>
      <c r="S194" s="30">
        <f t="shared" si="18"/>
        <v>4.1837750905797666E-3</v>
      </c>
      <c r="T194" s="30">
        <f t="shared" si="18"/>
        <v>2.3771638844762855E-3</v>
      </c>
      <c r="U194" s="63">
        <f t="shared" si="17"/>
        <v>-6.9998802180969745E-3</v>
      </c>
    </row>
    <row r="195" spans="1:21">
      <c r="A195" s="28">
        <v>43609</v>
      </c>
      <c r="B195" s="29">
        <v>1283</v>
      </c>
      <c r="C195" s="29">
        <v>14.52000046</v>
      </c>
      <c r="D195" s="29">
        <v>58.630001069999999</v>
      </c>
      <c r="E195" s="29">
        <v>7300.9599609999996</v>
      </c>
      <c r="F195" s="29">
        <v>2826.0600589999999</v>
      </c>
      <c r="G195" s="29">
        <v>25585.689450000002</v>
      </c>
      <c r="H195" s="29">
        <v>10.48651409</v>
      </c>
      <c r="I195" s="29">
        <v>8.4934482570000007</v>
      </c>
      <c r="J195" s="29">
        <v>11.18056297</v>
      </c>
      <c r="L195" s="30">
        <f t="shared" si="19"/>
        <v>-1.4010343488085608E-3</v>
      </c>
      <c r="M195" s="30">
        <f t="shared" si="19"/>
        <v>-3.9102148130255587E-3</v>
      </c>
      <c r="N195" s="30">
        <f t="shared" si="19"/>
        <v>1.2433106922206338E-2</v>
      </c>
      <c r="O195" s="30">
        <f t="shared" si="19"/>
        <v>-9.5378784856092746E-4</v>
      </c>
      <c r="P195" s="30">
        <f t="shared" si="19"/>
        <v>1.3535592343441039E-3</v>
      </c>
      <c r="Q195" s="30">
        <f t="shared" si="19"/>
        <v>3.7354645632339256E-3</v>
      </c>
      <c r="R195" s="30">
        <f t="shared" si="18"/>
        <v>0</v>
      </c>
      <c r="S195" s="30">
        <f t="shared" si="18"/>
        <v>-2.0824438027663428E-3</v>
      </c>
      <c r="T195" s="30">
        <f t="shared" si="18"/>
        <v>0</v>
      </c>
      <c r="U195" s="63">
        <f t="shared" si="17"/>
        <v>4.2065774798884459E-4</v>
      </c>
    </row>
    <row r="196" spans="1:21">
      <c r="A196" s="28">
        <v>43613</v>
      </c>
      <c r="B196" s="29">
        <v>1276.5</v>
      </c>
      <c r="C196" s="29">
        <v>14.28100014</v>
      </c>
      <c r="D196" s="29">
        <v>59.13999939</v>
      </c>
      <c r="E196" s="29">
        <v>7278.3798829999996</v>
      </c>
      <c r="F196" s="29">
        <v>2802.389893</v>
      </c>
      <c r="G196" s="29">
        <v>25347.769530000001</v>
      </c>
      <c r="H196" s="29">
        <v>10.50462914</v>
      </c>
      <c r="I196" s="29">
        <v>8.5111722949999997</v>
      </c>
      <c r="J196" s="29">
        <v>11.20708084</v>
      </c>
      <c r="L196" s="30">
        <f t="shared" si="19"/>
        <v>-5.0662509742790407E-3</v>
      </c>
      <c r="M196" s="30">
        <f t="shared" si="19"/>
        <v>-1.6460076613523777E-2</v>
      </c>
      <c r="N196" s="30">
        <f t="shared" si="19"/>
        <v>8.698589641693788E-3</v>
      </c>
      <c r="O196" s="30">
        <f t="shared" si="19"/>
        <v>-3.0927546679638818E-3</v>
      </c>
      <c r="P196" s="30">
        <f t="shared" si="19"/>
        <v>-8.3756769162137701E-3</v>
      </c>
      <c r="Q196" s="30">
        <f t="shared" si="19"/>
        <v>-9.2989450397632512E-3</v>
      </c>
      <c r="R196" s="30">
        <f t="shared" si="18"/>
        <v>1.7274615610611832E-3</v>
      </c>
      <c r="S196" s="30">
        <f t="shared" si="18"/>
        <v>2.0867894244709362E-3</v>
      </c>
      <c r="T196" s="30">
        <f t="shared" si="18"/>
        <v>2.3717830731022627E-3</v>
      </c>
      <c r="U196" s="63">
        <f t="shared" ref="U196:U259" si="20">SUMPRODUCT($L$2:$T$2,L196:T196)</f>
        <v>-4.776432057495607E-3</v>
      </c>
    </row>
    <row r="197" spans="1:21">
      <c r="A197" s="28">
        <v>43614</v>
      </c>
      <c r="B197" s="29">
        <v>1280.599976</v>
      </c>
      <c r="C197" s="29">
        <v>14.37199974</v>
      </c>
      <c r="D197" s="29">
        <v>58.810001370000002</v>
      </c>
      <c r="E197" s="29">
        <v>7216.8598629999997</v>
      </c>
      <c r="F197" s="29">
        <v>2783.0200199999999</v>
      </c>
      <c r="G197" s="29">
        <v>25126.410159999999</v>
      </c>
      <c r="H197" s="29">
        <v>10.50462914</v>
      </c>
      <c r="I197" s="29">
        <v>8.5200386049999999</v>
      </c>
      <c r="J197" s="29">
        <v>11.198241230000001</v>
      </c>
      <c r="L197" s="30">
        <f t="shared" si="19"/>
        <v>3.2118887583234557E-3</v>
      </c>
      <c r="M197" s="30">
        <f t="shared" si="19"/>
        <v>6.3720747222120178E-3</v>
      </c>
      <c r="N197" s="30">
        <f t="shared" si="19"/>
        <v>-5.5799462868407756E-3</v>
      </c>
      <c r="O197" s="30">
        <f t="shared" si="19"/>
        <v>-8.4524332322487572E-3</v>
      </c>
      <c r="P197" s="30">
        <f t="shared" si="19"/>
        <v>-6.9119122390440824E-3</v>
      </c>
      <c r="Q197" s="30">
        <f t="shared" si="19"/>
        <v>-8.7328934302489669E-3</v>
      </c>
      <c r="R197" s="30">
        <f t="shared" si="18"/>
        <v>0</v>
      </c>
      <c r="S197" s="30">
        <f t="shared" si="18"/>
        <v>1.041726062249726E-3</v>
      </c>
      <c r="T197" s="30">
        <f t="shared" si="18"/>
        <v>-7.8875222961261038E-4</v>
      </c>
      <c r="U197" s="63">
        <f t="shared" si="20"/>
        <v>-2.589600867551025E-3</v>
      </c>
    </row>
    <row r="198" spans="1:21">
      <c r="A198" s="28">
        <v>43615</v>
      </c>
      <c r="B198" s="29">
        <v>1287.099976</v>
      </c>
      <c r="C198" s="29">
        <v>14.460000040000001</v>
      </c>
      <c r="D198" s="29">
        <v>56.590000150000002</v>
      </c>
      <c r="E198" s="29">
        <v>7245.3999020000001</v>
      </c>
      <c r="F198" s="29">
        <v>2788.860107</v>
      </c>
      <c r="G198" s="29">
        <v>25169.880860000001</v>
      </c>
      <c r="H198" s="29">
        <v>10.531796460000001</v>
      </c>
      <c r="I198" s="29">
        <v>8.5377674100000007</v>
      </c>
      <c r="J198" s="29">
        <v>11.23359585</v>
      </c>
      <c r="L198" s="30">
        <f t="shared" si="19"/>
        <v>5.0757458393080324E-3</v>
      </c>
      <c r="M198" s="30">
        <f t="shared" si="19"/>
        <v>6.1230379621479702E-3</v>
      </c>
      <c r="N198" s="30">
        <f t="shared" si="19"/>
        <v>-3.7748702062307071E-2</v>
      </c>
      <c r="O198" s="30">
        <f t="shared" si="19"/>
        <v>3.954633946312569E-3</v>
      </c>
      <c r="P198" s="30">
        <f t="shared" si="19"/>
        <v>2.0984710702871556E-3</v>
      </c>
      <c r="Q198" s="30">
        <f t="shared" si="19"/>
        <v>1.7300800123531968E-3</v>
      </c>
      <c r="R198" s="30">
        <f t="shared" si="18"/>
        <v>2.5862236198850308E-3</v>
      </c>
      <c r="S198" s="30">
        <f t="shared" si="18"/>
        <v>2.0808362287931814E-3</v>
      </c>
      <c r="T198" s="30">
        <f t="shared" si="18"/>
        <v>3.157158278148664E-3</v>
      </c>
      <c r="U198" s="63">
        <f t="shared" si="20"/>
        <v>1.7876969242440623E-4</v>
      </c>
    </row>
    <row r="199" spans="1:21">
      <c r="A199" s="28">
        <v>43616</v>
      </c>
      <c r="B199" s="29">
        <v>1305.8000489999999</v>
      </c>
      <c r="C199" s="29">
        <v>14.52999973</v>
      </c>
      <c r="D199" s="29">
        <v>53.5</v>
      </c>
      <c r="E199" s="29">
        <v>7127.9599609999996</v>
      </c>
      <c r="F199" s="29">
        <v>2752.0600589999999</v>
      </c>
      <c r="G199" s="29">
        <v>24815.039059999999</v>
      </c>
      <c r="H199" s="29">
        <v>10.60168648</v>
      </c>
      <c r="I199" s="29">
        <v>8.5848712920000008</v>
      </c>
      <c r="J199" s="29">
        <v>11.273477550000001</v>
      </c>
      <c r="L199" s="30">
        <f t="shared" si="19"/>
        <v>1.4528842629704108E-2</v>
      </c>
      <c r="M199" s="30">
        <f t="shared" si="19"/>
        <v>4.8409190737457308E-3</v>
      </c>
      <c r="N199" s="30">
        <f t="shared" si="19"/>
        <v>-5.4603289305699021E-2</v>
      </c>
      <c r="O199" s="30">
        <f t="shared" si="19"/>
        <v>-1.6208897036529724E-2</v>
      </c>
      <c r="P199" s="30">
        <f t="shared" si="19"/>
        <v>-1.3195372513534309E-2</v>
      </c>
      <c r="Q199" s="30">
        <f t="shared" si="19"/>
        <v>-1.4097873644047243E-2</v>
      </c>
      <c r="R199" s="30">
        <f t="shared" si="18"/>
        <v>6.6360967253253911E-3</v>
      </c>
      <c r="S199" s="30">
        <f t="shared" si="18"/>
        <v>5.5171193753567049E-3</v>
      </c>
      <c r="T199" s="30">
        <f t="shared" si="18"/>
        <v>3.5502167367005288E-3</v>
      </c>
      <c r="U199" s="63">
        <f t="shared" si="20"/>
        <v>-7.6653064294885942E-3</v>
      </c>
    </row>
    <row r="200" spans="1:21">
      <c r="A200" s="28">
        <v>43619</v>
      </c>
      <c r="B200" s="29">
        <v>1322.6999510000001</v>
      </c>
      <c r="C200" s="29">
        <v>14.70300007</v>
      </c>
      <c r="D200" s="29">
        <v>53.25</v>
      </c>
      <c r="E200" s="29">
        <v>6978.0200199999999</v>
      </c>
      <c r="F200" s="29">
        <v>2744.4499510000001</v>
      </c>
      <c r="G200" s="29">
        <v>24819.779299999998</v>
      </c>
      <c r="H200" s="29">
        <v>10.628915790000001</v>
      </c>
      <c r="I200" s="29">
        <v>8.6115322110000001</v>
      </c>
      <c r="J200" s="29">
        <v>11.30892944</v>
      </c>
      <c r="L200" s="30">
        <f t="shared" si="19"/>
        <v>1.2942182084418219E-2</v>
      </c>
      <c r="M200" s="30">
        <f t="shared" si="19"/>
        <v>1.1906424171695518E-2</v>
      </c>
      <c r="N200" s="30">
        <f t="shared" si="19"/>
        <v>-4.6728971962616273E-3</v>
      </c>
      <c r="O200" s="30">
        <f t="shared" si="19"/>
        <v>-2.1035463417356848E-2</v>
      </c>
      <c r="P200" s="30">
        <f t="shared" si="19"/>
        <v>-2.7652405241348488E-3</v>
      </c>
      <c r="Q200" s="30">
        <f t="shared" si="19"/>
        <v>1.9102287078975877E-4</v>
      </c>
      <c r="R200" s="30">
        <f t="shared" si="18"/>
        <v>2.5683941938265953E-3</v>
      </c>
      <c r="S200" s="30">
        <f t="shared" si="18"/>
        <v>3.1055700304842837E-3</v>
      </c>
      <c r="T200" s="30">
        <f t="shared" si="18"/>
        <v>3.1447164233717739E-3</v>
      </c>
      <c r="U200" s="63">
        <f t="shared" si="20"/>
        <v>-2.9980089764646624E-4</v>
      </c>
    </row>
    <row r="201" spans="1:21">
      <c r="A201" s="28">
        <v>43620</v>
      </c>
      <c r="B201" s="29">
        <v>1323.400024</v>
      </c>
      <c r="C201" s="29">
        <v>14.73200035</v>
      </c>
      <c r="D201" s="29">
        <v>53.479999540000001</v>
      </c>
      <c r="E201" s="29">
        <v>7166.75</v>
      </c>
      <c r="F201" s="29">
        <v>2803.2700199999999</v>
      </c>
      <c r="G201" s="29">
        <v>25332.179690000001</v>
      </c>
      <c r="H201" s="29">
        <v>10.610756869999999</v>
      </c>
      <c r="I201" s="29">
        <v>8.6026477809999999</v>
      </c>
      <c r="J201" s="29">
        <v>11.29120255</v>
      </c>
      <c r="L201" s="30">
        <f t="shared" si="19"/>
        <v>5.292757435053641E-4</v>
      </c>
      <c r="M201" s="30">
        <f t="shared" si="19"/>
        <v>1.9724056221133157E-3</v>
      </c>
      <c r="N201" s="30">
        <f t="shared" si="19"/>
        <v>4.3192401877933939E-3</v>
      </c>
      <c r="O201" s="30">
        <f t="shared" si="19"/>
        <v>2.7046351179714767E-2</v>
      </c>
      <c r="P201" s="30">
        <f t="shared" si="19"/>
        <v>2.1432370802960898E-2</v>
      </c>
      <c r="Q201" s="30">
        <f t="shared" si="19"/>
        <v>2.0644840705735135E-2</v>
      </c>
      <c r="R201" s="30">
        <f t="shared" si="18"/>
        <v>-1.7084451846993698E-3</v>
      </c>
      <c r="S201" s="30">
        <f t="shared" si="18"/>
        <v>-1.0316898064495206E-3</v>
      </c>
      <c r="T201" s="30">
        <f t="shared" si="18"/>
        <v>-1.567512653965264E-3</v>
      </c>
      <c r="U201" s="63">
        <f t="shared" si="20"/>
        <v>1.0663956151423869E-2</v>
      </c>
    </row>
    <row r="202" spans="1:21">
      <c r="A202" s="28">
        <v>43621</v>
      </c>
      <c r="B202" s="29">
        <v>1328.3000489999999</v>
      </c>
      <c r="C202" s="29">
        <v>14.75399971</v>
      </c>
      <c r="D202" s="29">
        <v>51.680000309999997</v>
      </c>
      <c r="E202" s="29">
        <v>7220.8999020000001</v>
      </c>
      <c r="F202" s="29">
        <v>2826.1499020000001</v>
      </c>
      <c r="G202" s="29">
        <v>25539.570309999999</v>
      </c>
      <c r="H202" s="29">
        <v>10.60168648</v>
      </c>
      <c r="I202" s="29">
        <v>8.5937595370000004</v>
      </c>
      <c r="J202" s="29">
        <v>11.29120255</v>
      </c>
      <c r="L202" s="30">
        <f t="shared" si="19"/>
        <v>3.7026030762712381E-3</v>
      </c>
      <c r="M202" s="30">
        <f t="shared" si="19"/>
        <v>1.4933043359586229E-3</v>
      </c>
      <c r="N202" s="30">
        <f t="shared" si="19"/>
        <v>-3.3657427925998906E-2</v>
      </c>
      <c r="O202" s="30">
        <f t="shared" si="19"/>
        <v>7.5557124219485239E-3</v>
      </c>
      <c r="P202" s="30">
        <f t="shared" si="19"/>
        <v>8.1618544902071211E-3</v>
      </c>
      <c r="Q202" s="30">
        <f t="shared" si="19"/>
        <v>8.1868446591615296E-3</v>
      </c>
      <c r="R202" s="30">
        <f t="shared" si="18"/>
        <v>-8.5482968944894377E-4</v>
      </c>
      <c r="S202" s="30">
        <f t="shared" si="18"/>
        <v>-1.0331986414264804E-3</v>
      </c>
      <c r="T202" s="30">
        <f t="shared" si="18"/>
        <v>0</v>
      </c>
      <c r="U202" s="63">
        <f t="shared" si="20"/>
        <v>1.3589564292041086E-3</v>
      </c>
    </row>
    <row r="203" spans="1:21">
      <c r="A203" s="28">
        <v>43622</v>
      </c>
      <c r="B203" s="29">
        <v>1337.599976</v>
      </c>
      <c r="C203" s="29">
        <v>14.868000029999999</v>
      </c>
      <c r="D203" s="29">
        <v>52.590000150000002</v>
      </c>
      <c r="E203" s="29">
        <v>7275.9301759999998</v>
      </c>
      <c r="F203" s="29">
        <v>2843.48999</v>
      </c>
      <c r="G203" s="29">
        <v>25720.660159999999</v>
      </c>
      <c r="H203" s="29">
        <v>10.60168648</v>
      </c>
      <c r="I203" s="29">
        <v>8.5937595370000004</v>
      </c>
      <c r="J203" s="29">
        <v>11.28233719</v>
      </c>
      <c r="L203" s="30">
        <f t="shared" si="19"/>
        <v>7.0013751840192207E-3</v>
      </c>
      <c r="M203" s="30">
        <f t="shared" si="19"/>
        <v>7.7267400190290658E-3</v>
      </c>
      <c r="N203" s="30">
        <f t="shared" si="19"/>
        <v>1.7608355931528985E-2</v>
      </c>
      <c r="O203" s="30">
        <f t="shared" si="19"/>
        <v>7.6209717274653421E-3</v>
      </c>
      <c r="P203" s="30">
        <f t="shared" si="19"/>
        <v>6.1355867881349724E-3</v>
      </c>
      <c r="Q203" s="30">
        <f t="shared" si="19"/>
        <v>7.0905597784898244E-3</v>
      </c>
      <c r="R203" s="30">
        <f t="shared" si="18"/>
        <v>0</v>
      </c>
      <c r="S203" s="30">
        <f t="shared" si="18"/>
        <v>0</v>
      </c>
      <c r="T203" s="30">
        <f t="shared" si="18"/>
        <v>-7.8515640479759341E-4</v>
      </c>
      <c r="U203" s="63">
        <f t="shared" si="20"/>
        <v>5.7969358183193416E-3</v>
      </c>
    </row>
    <row r="204" spans="1:21">
      <c r="A204" s="28">
        <v>43623</v>
      </c>
      <c r="B204" s="29">
        <v>1341.1999510000001</v>
      </c>
      <c r="C204" s="29">
        <v>14.99400043</v>
      </c>
      <c r="D204" s="29">
        <v>53.990001679999999</v>
      </c>
      <c r="E204" s="29">
        <v>7417.2900390000004</v>
      </c>
      <c r="F204" s="29">
        <v>2873.3400879999999</v>
      </c>
      <c r="G204" s="29">
        <v>25983.939450000002</v>
      </c>
      <c r="H204" s="29">
        <v>10.63799</v>
      </c>
      <c r="I204" s="29">
        <v>8.6204204559999997</v>
      </c>
      <c r="J204" s="29">
        <v>11.317789080000001</v>
      </c>
      <c r="L204" s="30">
        <f t="shared" si="19"/>
        <v>2.691368917907333E-3</v>
      </c>
      <c r="M204" s="30">
        <f t="shared" si="19"/>
        <v>8.4746031575035907E-3</v>
      </c>
      <c r="N204" s="30">
        <f t="shared" si="19"/>
        <v>2.6621059631238619E-2</v>
      </c>
      <c r="O204" s="30">
        <f t="shared" si="19"/>
        <v>1.9428424899716967E-2</v>
      </c>
      <c r="P204" s="30">
        <f t="shared" si="19"/>
        <v>1.0497697584650245E-2</v>
      </c>
      <c r="Q204" s="30">
        <f t="shared" si="19"/>
        <v>1.0236101576018175E-2</v>
      </c>
      <c r="R204" s="30">
        <f t="shared" si="18"/>
        <v>3.4243155622915022E-3</v>
      </c>
      <c r="S204" s="30">
        <f t="shared" si="18"/>
        <v>3.1023580407634199E-3</v>
      </c>
      <c r="T204" s="30">
        <f t="shared" si="18"/>
        <v>3.1422469833133349E-3</v>
      </c>
      <c r="U204" s="63">
        <f t="shared" si="20"/>
        <v>1.0065436698578737E-2</v>
      </c>
    </row>
    <row r="205" spans="1:21">
      <c r="A205" s="28">
        <v>43626</v>
      </c>
      <c r="B205" s="29">
        <v>1324.6999510000001</v>
      </c>
      <c r="C205" s="29">
        <v>14.60499954</v>
      </c>
      <c r="D205" s="29">
        <v>53.259998320000001</v>
      </c>
      <c r="E205" s="29">
        <v>7501.9301759999998</v>
      </c>
      <c r="F205" s="29">
        <v>2886.7299800000001</v>
      </c>
      <c r="G205" s="29">
        <v>26062.679690000001</v>
      </c>
      <c r="H205" s="29">
        <v>10.60168648</v>
      </c>
      <c r="I205" s="29">
        <v>8.5937595370000004</v>
      </c>
      <c r="J205" s="29">
        <v>11.29120255</v>
      </c>
      <c r="L205" s="30">
        <f t="shared" si="19"/>
        <v>-1.2302416196554145E-2</v>
      </c>
      <c r="M205" s="30">
        <f t="shared" si="19"/>
        <v>-2.5943769430717523E-2</v>
      </c>
      <c r="N205" s="30">
        <f t="shared" si="19"/>
        <v>-1.3521084224570767E-2</v>
      </c>
      <c r="O205" s="30">
        <f t="shared" si="19"/>
        <v>1.1411194190191098E-2</v>
      </c>
      <c r="P205" s="30">
        <f t="shared" si="19"/>
        <v>4.6600442655293506E-3</v>
      </c>
      <c r="Q205" s="30">
        <f t="shared" si="19"/>
        <v>3.0303426526803179E-3</v>
      </c>
      <c r="R205" s="30">
        <f t="shared" si="19"/>
        <v>-3.4126296415019075E-3</v>
      </c>
      <c r="S205" s="30">
        <f t="shared" si="19"/>
        <v>-3.0927631820374391E-3</v>
      </c>
      <c r="T205" s="30">
        <f t="shared" si="19"/>
        <v>-2.3490921956641486E-3</v>
      </c>
      <c r="U205" s="63">
        <f t="shared" si="20"/>
        <v>-3.5418330605859198E-3</v>
      </c>
    </row>
    <row r="206" spans="1:21">
      <c r="A206" s="28">
        <v>43627</v>
      </c>
      <c r="B206" s="29">
        <v>1326.400024</v>
      </c>
      <c r="C206" s="29">
        <v>14.70600033</v>
      </c>
      <c r="D206" s="29">
        <v>53.270000459999999</v>
      </c>
      <c r="E206" s="29">
        <v>7513.8500979999999</v>
      </c>
      <c r="F206" s="29">
        <v>2885.719971</v>
      </c>
      <c r="G206" s="29">
        <v>26048.509770000001</v>
      </c>
      <c r="H206" s="29">
        <v>10.60168648</v>
      </c>
      <c r="I206" s="29">
        <v>8.6026477809999999</v>
      </c>
      <c r="J206" s="29">
        <v>11.29120255</v>
      </c>
      <c r="L206" s="30">
        <f t="shared" ref="L206:T234" si="21">(B206/B205)-1</f>
        <v>1.2833645828373985E-3</v>
      </c>
      <c r="M206" s="30">
        <f t="shared" si="21"/>
        <v>6.9154942267120045E-3</v>
      </c>
      <c r="N206" s="30">
        <f t="shared" si="21"/>
        <v>1.8779835365179132E-4</v>
      </c>
      <c r="O206" s="30">
        <f t="shared" si="21"/>
        <v>1.5889140155067594E-3</v>
      </c>
      <c r="P206" s="30">
        <f t="shared" si="21"/>
        <v>-3.4987997041557861E-4</v>
      </c>
      <c r="Q206" s="30">
        <f t="shared" si="21"/>
        <v>-5.436862275308707E-4</v>
      </c>
      <c r="R206" s="30">
        <f t="shared" si="21"/>
        <v>0</v>
      </c>
      <c r="S206" s="30">
        <f t="shared" si="21"/>
        <v>1.0342672449388246E-3</v>
      </c>
      <c r="T206" s="30">
        <f t="shared" si="21"/>
        <v>0</v>
      </c>
      <c r="U206" s="63">
        <f t="shared" si="20"/>
        <v>1.3225010702357216E-3</v>
      </c>
    </row>
    <row r="207" spans="1:21">
      <c r="A207" s="28">
        <v>43628</v>
      </c>
      <c r="B207" s="29">
        <v>1331.900024</v>
      </c>
      <c r="C207" s="29">
        <v>14.722000120000001</v>
      </c>
      <c r="D207" s="29">
        <v>51.13999939</v>
      </c>
      <c r="E207" s="29">
        <v>7472.2900390000004</v>
      </c>
      <c r="F207" s="29">
        <v>2879.8400879999999</v>
      </c>
      <c r="G207" s="29">
        <v>26004.83008</v>
      </c>
      <c r="H207" s="29">
        <v>10.61983871</v>
      </c>
      <c r="I207" s="29">
        <v>8.6026477809999999</v>
      </c>
      <c r="J207" s="29">
        <v>11.30892944</v>
      </c>
      <c r="L207" s="30">
        <f t="shared" si="21"/>
        <v>4.1465620480114485E-3</v>
      </c>
      <c r="M207" s="30">
        <f t="shared" si="21"/>
        <v>1.08797699176999E-3</v>
      </c>
      <c r="N207" s="30">
        <f t="shared" si="21"/>
        <v>-3.9985001907394402E-2</v>
      </c>
      <c r="O207" s="30">
        <f t="shared" si="21"/>
        <v>-5.5311269799036555E-3</v>
      </c>
      <c r="P207" s="30">
        <f t="shared" si="21"/>
        <v>-2.0375792034881268E-3</v>
      </c>
      <c r="Q207" s="30">
        <f t="shared" si="21"/>
        <v>-1.6768594589740005E-3</v>
      </c>
      <c r="R207" s="30">
        <f t="shared" si="21"/>
        <v>1.7122021137150334E-3</v>
      </c>
      <c r="S207" s="30">
        <f t="shared" si="21"/>
        <v>0</v>
      </c>
      <c r="T207" s="30">
        <f t="shared" si="21"/>
        <v>1.5699736074614723E-3</v>
      </c>
      <c r="U207" s="63">
        <f t="shared" si="20"/>
        <v>-3.7314704963173581E-3</v>
      </c>
    </row>
    <row r="208" spans="1:21">
      <c r="A208" s="28">
        <v>43629</v>
      </c>
      <c r="B208" s="29">
        <v>1339.1999510000001</v>
      </c>
      <c r="C208" s="29">
        <v>14.87100029</v>
      </c>
      <c r="D208" s="29">
        <v>52.27999878</v>
      </c>
      <c r="E208" s="29">
        <v>7510.6801759999998</v>
      </c>
      <c r="F208" s="29">
        <v>2891.639893</v>
      </c>
      <c r="G208" s="29">
        <v>26106.769530000001</v>
      </c>
      <c r="H208" s="29">
        <v>10.628915790000001</v>
      </c>
      <c r="I208" s="29">
        <v>8.6204204559999997</v>
      </c>
      <c r="J208" s="29">
        <v>11.317789080000001</v>
      </c>
      <c r="L208" s="30">
        <f t="shared" si="21"/>
        <v>5.4808370511749693E-3</v>
      </c>
      <c r="M208" s="30">
        <f t="shared" si="21"/>
        <v>1.0120918950243807E-2</v>
      </c>
      <c r="N208" s="30">
        <f t="shared" si="21"/>
        <v>2.2291736480210433E-2</v>
      </c>
      <c r="O208" s="30">
        <f t="shared" si="21"/>
        <v>5.1376668731579755E-3</v>
      </c>
      <c r="P208" s="30">
        <f t="shared" si="21"/>
        <v>4.0973820210257195E-3</v>
      </c>
      <c r="Q208" s="30">
        <f t="shared" si="21"/>
        <v>3.920019845790268E-3</v>
      </c>
      <c r="R208" s="30">
        <f t="shared" si="21"/>
        <v>8.5472861197533057E-4</v>
      </c>
      <c r="S208" s="30">
        <f t="shared" si="21"/>
        <v>2.0659540472240945E-3</v>
      </c>
      <c r="T208" s="30">
        <f t="shared" si="21"/>
        <v>7.8341986719476786E-4</v>
      </c>
      <c r="U208" s="63">
        <f t="shared" si="20"/>
        <v>5.8735184293139293E-3</v>
      </c>
    </row>
    <row r="209" spans="1:21">
      <c r="A209" s="28">
        <v>43630</v>
      </c>
      <c r="B209" s="29">
        <v>1340.099976</v>
      </c>
      <c r="C209" s="29">
        <v>14.78199959</v>
      </c>
      <c r="D209" s="29">
        <v>52.509998320000001</v>
      </c>
      <c r="E209" s="29">
        <v>7479.1098629999997</v>
      </c>
      <c r="F209" s="29">
        <v>2886.9799800000001</v>
      </c>
      <c r="G209" s="29">
        <v>26089.609380000002</v>
      </c>
      <c r="H209" s="29">
        <v>10.628915790000001</v>
      </c>
      <c r="I209" s="29">
        <v>8.6204204559999997</v>
      </c>
      <c r="J209" s="29">
        <v>11.317789080000001</v>
      </c>
      <c r="L209" s="30">
        <f t="shared" si="21"/>
        <v>6.7206170320410763E-4</v>
      </c>
      <c r="M209" s="30">
        <f t="shared" si="21"/>
        <v>-5.9848495907735E-3</v>
      </c>
      <c r="N209" s="30">
        <f t="shared" si="21"/>
        <v>4.3993792151346689E-3</v>
      </c>
      <c r="O209" s="30">
        <f t="shared" si="21"/>
        <v>-4.2033893416046908E-3</v>
      </c>
      <c r="P209" s="30">
        <f t="shared" si="21"/>
        <v>-1.6115122119045866E-3</v>
      </c>
      <c r="Q209" s="30">
        <f t="shared" si="21"/>
        <v>-6.5730652658047006E-4</v>
      </c>
      <c r="R209" s="30">
        <f t="shared" si="21"/>
        <v>0</v>
      </c>
      <c r="S209" s="30">
        <f t="shared" si="21"/>
        <v>0</v>
      </c>
      <c r="T209" s="30">
        <f t="shared" si="21"/>
        <v>0</v>
      </c>
      <c r="U209" s="63">
        <f t="shared" si="20"/>
        <v>-1.539887804151109E-3</v>
      </c>
    </row>
    <row r="210" spans="1:21">
      <c r="A210" s="28">
        <v>43633</v>
      </c>
      <c r="B210" s="29">
        <v>1338.6999510000001</v>
      </c>
      <c r="C210" s="29">
        <v>14.81400013</v>
      </c>
      <c r="D210" s="29">
        <v>51.930000309999997</v>
      </c>
      <c r="E210" s="29">
        <v>7526.5200199999999</v>
      </c>
      <c r="F210" s="29">
        <v>2889.669922</v>
      </c>
      <c r="G210" s="29">
        <v>26112.529299999998</v>
      </c>
      <c r="H210" s="29">
        <v>10.628915790000001</v>
      </c>
      <c r="I210" s="29">
        <v>8.6204204559999997</v>
      </c>
      <c r="J210" s="29">
        <v>11.317789080000001</v>
      </c>
      <c r="L210" s="30">
        <f t="shared" si="21"/>
        <v>-1.0447168308880261E-3</v>
      </c>
      <c r="M210" s="30">
        <f t="shared" si="21"/>
        <v>2.1648316119322608E-3</v>
      </c>
      <c r="N210" s="30">
        <f t="shared" si="21"/>
        <v>-1.1045477595818087E-2</v>
      </c>
      <c r="O210" s="30">
        <f t="shared" si="21"/>
        <v>6.3390106400955659E-3</v>
      </c>
      <c r="P210" s="30">
        <f t="shared" si="21"/>
        <v>9.3174944704665918E-4</v>
      </c>
      <c r="Q210" s="30">
        <f t="shared" si="21"/>
        <v>8.785075953481325E-4</v>
      </c>
      <c r="R210" s="30">
        <f t="shared" si="21"/>
        <v>0</v>
      </c>
      <c r="S210" s="30">
        <f t="shared" si="21"/>
        <v>0</v>
      </c>
      <c r="T210" s="30">
        <f t="shared" si="21"/>
        <v>0</v>
      </c>
      <c r="U210" s="63">
        <f t="shared" si="20"/>
        <v>4.7399484069027048E-4</v>
      </c>
    </row>
    <row r="211" spans="1:21">
      <c r="A211" s="28">
        <v>43634</v>
      </c>
      <c r="B211" s="29">
        <v>1346.599976</v>
      </c>
      <c r="C211" s="29">
        <v>14.97999954</v>
      </c>
      <c r="D211" s="29">
        <v>53.900001529999997</v>
      </c>
      <c r="E211" s="29">
        <v>7635.3999020000001</v>
      </c>
      <c r="F211" s="29">
        <v>2917.75</v>
      </c>
      <c r="G211" s="29">
        <v>26465.539059999999</v>
      </c>
      <c r="H211" s="29">
        <v>10.64706898</v>
      </c>
      <c r="I211" s="29">
        <v>8.638195992</v>
      </c>
      <c r="J211" s="29">
        <v>11.344378470000001</v>
      </c>
      <c r="L211" s="30">
        <f t="shared" si="21"/>
        <v>5.9012663697333156E-3</v>
      </c>
      <c r="M211" s="30">
        <f t="shared" si="21"/>
        <v>1.1205576383372051E-2</v>
      </c>
      <c r="N211" s="30">
        <f t="shared" si="21"/>
        <v>3.79357059164247E-2</v>
      </c>
      <c r="O211" s="30">
        <f t="shared" si="21"/>
        <v>1.4466165201271863E-2</v>
      </c>
      <c r="P211" s="30">
        <f t="shared" si="21"/>
        <v>9.7173998269550754E-3</v>
      </c>
      <c r="Q211" s="30">
        <f t="shared" si="21"/>
        <v>1.3518788469104814E-2</v>
      </c>
      <c r="R211" s="30">
        <f t="shared" si="21"/>
        <v>1.7079060892626341E-3</v>
      </c>
      <c r="S211" s="30">
        <f t="shared" si="21"/>
        <v>2.0620265671180693E-3</v>
      </c>
      <c r="T211" s="30">
        <f t="shared" si="21"/>
        <v>2.3493448951956708E-3</v>
      </c>
      <c r="U211" s="63">
        <f t="shared" si="20"/>
        <v>1.0515137252699355E-2</v>
      </c>
    </row>
    <row r="212" spans="1:21">
      <c r="A212" s="28">
        <v>43635</v>
      </c>
      <c r="B212" s="29">
        <v>1344.599976</v>
      </c>
      <c r="C212" s="29">
        <v>14.94499969</v>
      </c>
      <c r="D212" s="29">
        <v>53.759998320000001</v>
      </c>
      <c r="E212" s="29">
        <v>7667.7402339999999</v>
      </c>
      <c r="F212" s="29">
        <v>2926.459961</v>
      </c>
      <c r="G212" s="29">
        <v>26504</v>
      </c>
      <c r="H212" s="29">
        <v>10.6743021</v>
      </c>
      <c r="I212" s="29">
        <v>8.6648588180000008</v>
      </c>
      <c r="J212" s="29">
        <v>11.37096405</v>
      </c>
      <c r="L212" s="30">
        <f t="shared" si="21"/>
        <v>-1.4852220671657257E-3</v>
      </c>
      <c r="M212" s="30">
        <f t="shared" si="21"/>
        <v>-2.3364386565262185E-3</v>
      </c>
      <c r="N212" s="30">
        <f t="shared" si="21"/>
        <v>-2.5974620784021685E-3</v>
      </c>
      <c r="O212" s="30">
        <f t="shared" si="21"/>
        <v>4.2355780201543958E-3</v>
      </c>
      <c r="P212" s="30">
        <f t="shared" si="21"/>
        <v>2.9851635678177502E-3</v>
      </c>
      <c r="Q212" s="30">
        <f t="shared" si="21"/>
        <v>1.4532460462191032E-3</v>
      </c>
      <c r="R212" s="30">
        <f t="shared" si="21"/>
        <v>2.5578044108811593E-3</v>
      </c>
      <c r="S212" s="30">
        <f t="shared" si="21"/>
        <v>3.0866197091028447E-3</v>
      </c>
      <c r="T212" s="30">
        <f t="shared" si="21"/>
        <v>2.3435025612292826E-3</v>
      </c>
      <c r="U212" s="63">
        <f t="shared" si="20"/>
        <v>1.5440175961929418E-3</v>
      </c>
    </row>
    <row r="213" spans="1:21">
      <c r="A213" s="28">
        <v>43636</v>
      </c>
      <c r="B213" s="29">
        <v>1392.900024</v>
      </c>
      <c r="C213" s="29">
        <v>15.46899986</v>
      </c>
      <c r="D213" s="29">
        <v>56.650001529999997</v>
      </c>
      <c r="E213" s="29">
        <v>7738.0498049999997</v>
      </c>
      <c r="F213" s="29">
        <v>2954.179932</v>
      </c>
      <c r="G213" s="29">
        <v>26753.16992</v>
      </c>
      <c r="H213" s="29">
        <v>10.692454339999999</v>
      </c>
      <c r="I213" s="29">
        <v>8.6915140149999992</v>
      </c>
      <c r="J213" s="29">
        <v>11.397550580000001</v>
      </c>
      <c r="L213" s="30">
        <f t="shared" si="21"/>
        <v>3.5921499971825144E-2</v>
      </c>
      <c r="M213" s="30">
        <f t="shared" si="21"/>
        <v>3.5061905712224339E-2</v>
      </c>
      <c r="N213" s="30">
        <f t="shared" si="21"/>
        <v>5.3757501865933754E-2</v>
      </c>
      <c r="O213" s="30">
        <f t="shared" si="21"/>
        <v>9.169529594682313E-3</v>
      </c>
      <c r="P213" s="30">
        <f t="shared" si="21"/>
        <v>9.4721852919279481E-3</v>
      </c>
      <c r="Q213" s="30">
        <f t="shared" si="21"/>
        <v>9.4012194385753034E-3</v>
      </c>
      <c r="R213" s="30">
        <f t="shared" si="21"/>
        <v>1.7005552053843687E-3</v>
      </c>
      <c r="S213" s="30">
        <f t="shared" si="21"/>
        <v>3.0762413514027198E-3</v>
      </c>
      <c r="T213" s="30">
        <f t="shared" si="21"/>
        <v>2.338106943535756E-3</v>
      </c>
      <c r="U213" s="63">
        <f t="shared" si="20"/>
        <v>1.6330130728005991E-2</v>
      </c>
    </row>
    <row r="214" spans="1:21">
      <c r="A214" s="28">
        <v>43637</v>
      </c>
      <c r="B214" s="29">
        <v>1396.1999510000001</v>
      </c>
      <c r="C214" s="29">
        <v>15.272999759999999</v>
      </c>
      <c r="D214" s="29">
        <v>57.430000309999997</v>
      </c>
      <c r="E214" s="29">
        <v>7728.7797849999997</v>
      </c>
      <c r="F214" s="29">
        <v>2950.459961</v>
      </c>
      <c r="G214" s="29">
        <v>26719.130860000001</v>
      </c>
      <c r="H214" s="29">
        <v>10.6743021</v>
      </c>
      <c r="I214" s="29">
        <v>8.6648588180000008</v>
      </c>
      <c r="J214" s="29">
        <v>11.37096405</v>
      </c>
      <c r="L214" s="30">
        <f t="shared" si="21"/>
        <v>2.3691054226013808E-3</v>
      </c>
      <c r="M214" s="30">
        <f t="shared" si="21"/>
        <v>-1.2670508874127129E-2</v>
      </c>
      <c r="N214" s="30">
        <f t="shared" si="21"/>
        <v>1.3768733608717332E-2</v>
      </c>
      <c r="O214" s="30">
        <f t="shared" si="21"/>
        <v>-1.1979788491423005E-3</v>
      </c>
      <c r="P214" s="30">
        <f t="shared" si="21"/>
        <v>-1.2592228928592908E-3</v>
      </c>
      <c r="Q214" s="30">
        <f t="shared" si="21"/>
        <v>-1.2723374501708573E-3</v>
      </c>
      <c r="R214" s="30">
        <f t="shared" si="21"/>
        <v>-1.6976682268441401E-3</v>
      </c>
      <c r="S214" s="30">
        <f t="shared" si="21"/>
        <v>-3.0668071125463658E-3</v>
      </c>
      <c r="T214" s="30">
        <f t="shared" si="21"/>
        <v>-2.3326529514731131E-3</v>
      </c>
      <c r="U214" s="63">
        <f t="shared" si="20"/>
        <v>-1.9946364407603858E-3</v>
      </c>
    </row>
    <row r="215" spans="1:21">
      <c r="A215" s="28">
        <v>43640</v>
      </c>
      <c r="B215" s="29">
        <v>1414.3000489999999</v>
      </c>
      <c r="C215" s="29">
        <v>15.368000029999999</v>
      </c>
      <c r="D215" s="29">
        <v>57.900001529999997</v>
      </c>
      <c r="E215" s="29">
        <v>7723.0200199999999</v>
      </c>
      <c r="F215" s="29">
        <v>2945.3500979999999</v>
      </c>
      <c r="G215" s="29">
        <v>26727.539059999999</v>
      </c>
      <c r="H215" s="29">
        <v>10.70153236</v>
      </c>
      <c r="I215" s="29">
        <v>8.6648588180000008</v>
      </c>
      <c r="J215" s="29">
        <v>11.40641785</v>
      </c>
      <c r="L215" s="30">
        <f t="shared" si="21"/>
        <v>1.2963829419300632E-2</v>
      </c>
      <c r="M215" s="30">
        <f t="shared" si="21"/>
        <v>6.2201447975405166E-3</v>
      </c>
      <c r="N215" s="30">
        <f t="shared" si="21"/>
        <v>8.1838972220615869E-3</v>
      </c>
      <c r="O215" s="30">
        <f t="shared" si="21"/>
        <v>-7.4523600881715168E-4</v>
      </c>
      <c r="P215" s="30">
        <f t="shared" si="21"/>
        <v>-1.7318869151060623E-3</v>
      </c>
      <c r="Q215" s="30">
        <f t="shared" si="21"/>
        <v>3.1468837979997666E-4</v>
      </c>
      <c r="R215" s="30">
        <f t="shared" si="21"/>
        <v>2.5510108056618908E-3</v>
      </c>
      <c r="S215" s="30">
        <f t="shared" si="21"/>
        <v>0</v>
      </c>
      <c r="T215" s="30">
        <f t="shared" si="21"/>
        <v>3.117923849209614E-3</v>
      </c>
      <c r="U215" s="63">
        <f t="shared" si="20"/>
        <v>2.0652773620422884E-3</v>
      </c>
    </row>
    <row r="216" spans="1:21">
      <c r="A216" s="28">
        <v>43641</v>
      </c>
      <c r="B216" s="29">
        <v>1414.900024</v>
      </c>
      <c r="C216" s="29">
        <v>15.291000370000001</v>
      </c>
      <c r="D216" s="29">
        <v>57.83000183</v>
      </c>
      <c r="E216" s="29">
        <v>7591.5400390000004</v>
      </c>
      <c r="F216" s="29">
        <v>2917.3798830000001</v>
      </c>
      <c r="G216" s="29">
        <v>26548.220700000002</v>
      </c>
      <c r="H216" s="29">
        <v>10.70153236</v>
      </c>
      <c r="I216" s="29">
        <v>8.6915140149999992</v>
      </c>
      <c r="J216" s="29">
        <v>11.40641785</v>
      </c>
      <c r="L216" s="30">
        <f t="shared" si="21"/>
        <v>4.242204477220568E-4</v>
      </c>
      <c r="M216" s="30">
        <f t="shared" si="21"/>
        <v>-5.0103891104689158E-3</v>
      </c>
      <c r="N216" s="30">
        <f t="shared" si="21"/>
        <v>-1.2089757884329311E-3</v>
      </c>
      <c r="O216" s="30">
        <f t="shared" si="21"/>
        <v>-1.7024425763433326E-2</v>
      </c>
      <c r="P216" s="30">
        <f t="shared" si="21"/>
        <v>-9.4963973956755376E-3</v>
      </c>
      <c r="Q216" s="30">
        <f t="shared" si="21"/>
        <v>-6.7091234848614123E-3</v>
      </c>
      <c r="R216" s="30">
        <f t="shared" si="21"/>
        <v>0</v>
      </c>
      <c r="S216" s="30">
        <f t="shared" si="21"/>
        <v>3.0762413514027198E-3</v>
      </c>
      <c r="T216" s="30">
        <f t="shared" si="21"/>
        <v>0</v>
      </c>
      <c r="U216" s="63">
        <f t="shared" si="20"/>
        <v>-5.5386914461351003E-3</v>
      </c>
    </row>
    <row r="217" spans="1:21">
      <c r="A217" s="28">
        <v>43642</v>
      </c>
      <c r="B217" s="29">
        <v>1411.599976</v>
      </c>
      <c r="C217" s="29">
        <v>15.28299999</v>
      </c>
      <c r="D217" s="29">
        <v>59.380001069999999</v>
      </c>
      <c r="E217" s="29">
        <v>7627.0498049999997</v>
      </c>
      <c r="F217" s="29">
        <v>2913.780029</v>
      </c>
      <c r="G217" s="29">
        <v>26536.820309999999</v>
      </c>
      <c r="H217" s="29">
        <v>10.6743021</v>
      </c>
      <c r="I217" s="29">
        <v>8.6737480159999993</v>
      </c>
      <c r="J217" s="29">
        <v>11.388693809999999</v>
      </c>
      <c r="L217" s="30">
        <f t="shared" si="21"/>
        <v>-2.3323541904187728E-3</v>
      </c>
      <c r="M217" s="30">
        <f t="shared" si="21"/>
        <v>-5.2320841059538825E-4</v>
      </c>
      <c r="N217" s="30">
        <f t="shared" si="21"/>
        <v>2.6802683571694352E-2</v>
      </c>
      <c r="O217" s="30">
        <f t="shared" si="21"/>
        <v>4.6775444531115262E-3</v>
      </c>
      <c r="P217" s="30">
        <f t="shared" si="21"/>
        <v>-1.2339339216592693E-3</v>
      </c>
      <c r="Q217" s="30">
        <f t="shared" si="21"/>
        <v>-4.294219988912884E-4</v>
      </c>
      <c r="R217" s="30">
        <f t="shared" si="21"/>
        <v>-2.5445197083905358E-3</v>
      </c>
      <c r="S217" s="30">
        <f t="shared" si="21"/>
        <v>-2.044062630439214E-3</v>
      </c>
      <c r="T217" s="30">
        <f t="shared" si="21"/>
        <v>-1.5538655722664441E-3</v>
      </c>
      <c r="U217" s="63">
        <f t="shared" si="20"/>
        <v>1.4523725208049122E-3</v>
      </c>
    </row>
    <row r="218" spans="1:21">
      <c r="A218" s="28">
        <v>43643</v>
      </c>
      <c r="B218" s="29">
        <v>1408.400024</v>
      </c>
      <c r="C218" s="29">
        <v>15.204999920000001</v>
      </c>
      <c r="D218" s="29">
        <v>59.430000309999997</v>
      </c>
      <c r="E218" s="29">
        <v>7657.0498049999997</v>
      </c>
      <c r="F218" s="29">
        <v>2924.919922</v>
      </c>
      <c r="G218" s="29">
        <v>26526.58008</v>
      </c>
      <c r="H218" s="29">
        <v>10.70153236</v>
      </c>
      <c r="I218" s="29">
        <v>8.6915140149999992</v>
      </c>
      <c r="J218" s="29">
        <v>11.40641785</v>
      </c>
      <c r="L218" s="30">
        <f t="shared" si="21"/>
        <v>-2.2668971765411605E-3</v>
      </c>
      <c r="M218" s="30">
        <f t="shared" si="21"/>
        <v>-5.1037145881722701E-3</v>
      </c>
      <c r="N218" s="30">
        <f t="shared" si="21"/>
        <v>8.420215409066234E-4</v>
      </c>
      <c r="O218" s="30">
        <f t="shared" si="21"/>
        <v>3.9333688342160222E-3</v>
      </c>
      <c r="P218" s="30">
        <f t="shared" si="21"/>
        <v>3.8231756993074573E-3</v>
      </c>
      <c r="Q218" s="30">
        <f t="shared" si="21"/>
        <v>-3.858876037284853E-4</v>
      </c>
      <c r="R218" s="30">
        <f t="shared" si="21"/>
        <v>2.5510108056618908E-3</v>
      </c>
      <c r="S218" s="30">
        <f t="shared" si="21"/>
        <v>2.048249380455669E-3</v>
      </c>
      <c r="T218" s="30">
        <f t="shared" si="21"/>
        <v>1.5562838281277802E-3</v>
      </c>
      <c r="U218" s="63">
        <f t="shared" si="20"/>
        <v>1.3108314614978991E-3</v>
      </c>
    </row>
    <row r="219" spans="1:21">
      <c r="A219" s="28">
        <v>43644</v>
      </c>
      <c r="B219" s="29">
        <v>1409.6999510000001</v>
      </c>
      <c r="C219" s="29">
        <v>15.25300026</v>
      </c>
      <c r="D219" s="29">
        <v>58.47000122</v>
      </c>
      <c r="E219" s="29">
        <v>7671.080078</v>
      </c>
      <c r="F219" s="29">
        <v>2941.76001</v>
      </c>
      <c r="G219" s="29">
        <v>26599.960940000001</v>
      </c>
      <c r="H219" s="29">
        <v>10.72609615</v>
      </c>
      <c r="I219" s="29">
        <v>8.7200212480000001</v>
      </c>
      <c r="J219" s="29">
        <v>11.4179678</v>
      </c>
      <c r="L219" s="30">
        <f t="shared" si="21"/>
        <v>9.2298138160207266E-4</v>
      </c>
      <c r="M219" s="30">
        <f t="shared" si="21"/>
        <v>3.1568786749458511E-3</v>
      </c>
      <c r="N219" s="30">
        <f t="shared" si="21"/>
        <v>-1.6153442453179068E-2</v>
      </c>
      <c r="O219" s="30">
        <f t="shared" si="21"/>
        <v>1.8323340395198784E-3</v>
      </c>
      <c r="P219" s="30">
        <f t="shared" si="21"/>
        <v>5.7574526650578939E-3</v>
      </c>
      <c r="Q219" s="30">
        <f t="shared" si="21"/>
        <v>2.7663143827321157E-3</v>
      </c>
      <c r="R219" s="30">
        <f t="shared" si="21"/>
        <v>2.2953525881783676E-3</v>
      </c>
      <c r="S219" s="30">
        <f t="shared" si="21"/>
        <v>3.2798926574590936E-3</v>
      </c>
      <c r="T219" s="30">
        <f t="shared" si="21"/>
        <v>1.0125834553744717E-3</v>
      </c>
      <c r="U219" s="63">
        <f t="shared" si="20"/>
        <v>1.9937791158298897E-3</v>
      </c>
    </row>
    <row r="220" spans="1:21">
      <c r="A220" s="28">
        <v>43647</v>
      </c>
      <c r="B220" s="29">
        <v>1385.599976</v>
      </c>
      <c r="C220" s="29">
        <v>15.105999949999999</v>
      </c>
      <c r="D220" s="29">
        <v>59.090000150000002</v>
      </c>
      <c r="E220" s="29">
        <v>7768.1401370000003</v>
      </c>
      <c r="F220" s="29">
        <v>2964.330078</v>
      </c>
      <c r="G220" s="29">
        <v>26717.429690000001</v>
      </c>
      <c r="H220" s="29">
        <v>10.72609615</v>
      </c>
      <c r="I220" s="29">
        <v>8.711112022</v>
      </c>
      <c r="J220" s="29">
        <v>11.4179678</v>
      </c>
      <c r="L220" s="30">
        <f t="shared" si="21"/>
        <v>-1.7095818853440581E-2</v>
      </c>
      <c r="M220" s="30">
        <f t="shared" si="21"/>
        <v>-9.6374685304044805E-3</v>
      </c>
      <c r="N220" s="30">
        <f t="shared" si="21"/>
        <v>1.0603709886496837E-2</v>
      </c>
      <c r="O220" s="30">
        <f t="shared" si="21"/>
        <v>1.2652723998848758E-2</v>
      </c>
      <c r="P220" s="30">
        <f t="shared" si="21"/>
        <v>7.6723009094137318E-3</v>
      </c>
      <c r="Q220" s="30">
        <f t="shared" si="21"/>
        <v>4.4161249057834695E-3</v>
      </c>
      <c r="R220" s="30">
        <f t="shared" si="21"/>
        <v>0</v>
      </c>
      <c r="S220" s="30">
        <f t="shared" si="21"/>
        <v>-1.0216977397897731E-3</v>
      </c>
      <c r="T220" s="30">
        <f t="shared" si="21"/>
        <v>0</v>
      </c>
      <c r="U220" s="63">
        <f t="shared" si="20"/>
        <v>2.2343371733234987E-3</v>
      </c>
    </row>
    <row r="221" spans="1:21">
      <c r="A221" s="28">
        <v>43648</v>
      </c>
      <c r="B221" s="29">
        <v>1404.599976</v>
      </c>
      <c r="C221" s="29">
        <v>15.15400028</v>
      </c>
      <c r="D221" s="29">
        <v>56.25</v>
      </c>
      <c r="E221" s="29">
        <v>7799.8198240000002</v>
      </c>
      <c r="F221" s="29">
        <v>2973.01001</v>
      </c>
      <c r="G221" s="29">
        <v>26786.679690000001</v>
      </c>
      <c r="H221" s="29">
        <v>10.7533865</v>
      </c>
      <c r="I221" s="29">
        <v>8.7289276119999997</v>
      </c>
      <c r="J221" s="29">
        <v>11.444622989999999</v>
      </c>
      <c r="L221" s="30">
        <f t="shared" si="21"/>
        <v>1.3712471369153656E-2</v>
      </c>
      <c r="M221" s="30">
        <f t="shared" si="21"/>
        <v>3.1775672023619528E-3</v>
      </c>
      <c r="N221" s="30">
        <f t="shared" si="21"/>
        <v>-4.8062280297692661E-2</v>
      </c>
      <c r="O221" s="30">
        <f t="shared" si="21"/>
        <v>4.078155960280494E-3</v>
      </c>
      <c r="P221" s="30">
        <f t="shared" si="21"/>
        <v>2.9281260087796745E-3</v>
      </c>
      <c r="Q221" s="30">
        <f t="shared" si="21"/>
        <v>2.5919409465469112E-3</v>
      </c>
      <c r="R221" s="30">
        <f t="shared" si="21"/>
        <v>2.5442947385847514E-3</v>
      </c>
      <c r="S221" s="30">
        <f t="shared" si="21"/>
        <v>2.0451568014514532E-3</v>
      </c>
      <c r="T221" s="30">
        <f t="shared" si="21"/>
        <v>2.3344951104171674E-3</v>
      </c>
      <c r="U221" s="63">
        <f t="shared" si="20"/>
        <v>-3.6110350709217092E-4</v>
      </c>
    </row>
    <row r="222" spans="1:21">
      <c r="A222" s="28">
        <v>43649</v>
      </c>
      <c r="B222" s="29">
        <v>1417.6999510000001</v>
      </c>
      <c r="C222" s="29">
        <v>15.25199986</v>
      </c>
      <c r="D222" s="29">
        <v>57.340000150000002</v>
      </c>
      <c r="E222" s="29">
        <v>7857.6899409999996</v>
      </c>
      <c r="F222" s="29">
        <v>2995.820068</v>
      </c>
      <c r="G222" s="29">
        <v>26966</v>
      </c>
      <c r="H222" s="29">
        <v>10.76248264</v>
      </c>
      <c r="I222" s="29">
        <v>8.7289276119999997</v>
      </c>
      <c r="J222" s="29">
        <v>11.46239471</v>
      </c>
      <c r="L222" s="30">
        <f t="shared" si="21"/>
        <v>9.3264810079991545E-3</v>
      </c>
      <c r="M222" s="30">
        <f t="shared" si="21"/>
        <v>6.4669115869910865E-3</v>
      </c>
      <c r="N222" s="30">
        <f t="shared" si="21"/>
        <v>1.9377780444444381E-2</v>
      </c>
      <c r="O222" s="30">
        <f t="shared" si="21"/>
        <v>7.4194171539621045E-3</v>
      </c>
      <c r="P222" s="30">
        <f t="shared" si="21"/>
        <v>7.6723784727519284E-3</v>
      </c>
      <c r="Q222" s="30">
        <f t="shared" si="21"/>
        <v>6.6943836292985281E-3</v>
      </c>
      <c r="R222" s="30">
        <f t="shared" si="21"/>
        <v>8.458860843512106E-4</v>
      </c>
      <c r="S222" s="30">
        <f t="shared" si="21"/>
        <v>0</v>
      </c>
      <c r="T222" s="30">
        <f t="shared" si="21"/>
        <v>1.5528445118313527E-3</v>
      </c>
      <c r="U222" s="63">
        <f t="shared" si="20"/>
        <v>6.5816354806613672E-3</v>
      </c>
    </row>
    <row r="223" spans="1:21">
      <c r="A223" s="28">
        <v>43651</v>
      </c>
      <c r="B223" s="29">
        <v>1396.6999510000001</v>
      </c>
      <c r="C223" s="29">
        <v>14.91800022</v>
      </c>
      <c r="D223" s="29">
        <v>57.509998320000001</v>
      </c>
      <c r="E223" s="29">
        <v>7841.2998049999997</v>
      </c>
      <c r="F223" s="29">
        <v>2990.4099120000001</v>
      </c>
      <c r="G223" s="29">
        <v>26922.119139999999</v>
      </c>
      <c r="H223" s="29">
        <v>10.71699619</v>
      </c>
      <c r="I223" s="29">
        <v>8.711112022</v>
      </c>
      <c r="J223" s="29">
        <v>11.4179678</v>
      </c>
      <c r="L223" s="30">
        <f t="shared" si="21"/>
        <v>-1.481272534797462E-2</v>
      </c>
      <c r="M223" s="30">
        <f t="shared" si="21"/>
        <v>-2.1898743972319945E-2</v>
      </c>
      <c r="N223" s="30">
        <f t="shared" si="21"/>
        <v>2.9647396155438877E-3</v>
      </c>
      <c r="O223" s="30">
        <f t="shared" si="21"/>
        <v>-2.0858720722077839E-3</v>
      </c>
      <c r="P223" s="30">
        <f t="shared" si="21"/>
        <v>-1.8059015151773439E-3</v>
      </c>
      <c r="Q223" s="30">
        <f t="shared" si="21"/>
        <v>-1.6272661870504468E-3</v>
      </c>
      <c r="R223" s="30">
        <f t="shared" si="21"/>
        <v>-4.2263900924629505E-3</v>
      </c>
      <c r="S223" s="30">
        <f t="shared" si="21"/>
        <v>-2.0409826718585933E-3</v>
      </c>
      <c r="T223" s="30">
        <f t="shared" si="21"/>
        <v>-3.8758838029928633E-3</v>
      </c>
      <c r="U223" s="63">
        <f t="shared" si="20"/>
        <v>-5.5620034044008872E-3</v>
      </c>
    </row>
    <row r="224" spans="1:21">
      <c r="A224" s="28">
        <v>43654</v>
      </c>
      <c r="B224" s="29">
        <v>1397</v>
      </c>
      <c r="C224" s="29">
        <v>14.972000120000001</v>
      </c>
      <c r="D224" s="29">
        <v>57.659999849999998</v>
      </c>
      <c r="E224" s="29">
        <v>7785.7900390000004</v>
      </c>
      <c r="F224" s="29">
        <v>2975.9499510000001</v>
      </c>
      <c r="G224" s="29">
        <v>26806.140630000002</v>
      </c>
      <c r="H224" s="29">
        <v>10.71699619</v>
      </c>
      <c r="I224" s="29">
        <v>8.711112022</v>
      </c>
      <c r="J224" s="29">
        <v>11.4179678</v>
      </c>
      <c r="L224" s="30">
        <f t="shared" si="21"/>
        <v>2.1482709996889504E-4</v>
      </c>
      <c r="M224" s="30">
        <f t="shared" si="21"/>
        <v>3.6197814186653687E-3</v>
      </c>
      <c r="N224" s="30">
        <f t="shared" si="21"/>
        <v>2.6082687251240966E-3</v>
      </c>
      <c r="O224" s="30">
        <f t="shared" si="21"/>
        <v>-7.0791536327438065E-3</v>
      </c>
      <c r="P224" s="30">
        <f t="shared" si="21"/>
        <v>-4.8354444459185464E-3</v>
      </c>
      <c r="Q224" s="30">
        <f t="shared" si="21"/>
        <v>-4.3079264821943575E-3</v>
      </c>
      <c r="R224" s="30">
        <f t="shared" si="21"/>
        <v>0</v>
      </c>
      <c r="S224" s="30">
        <f t="shared" si="21"/>
        <v>0</v>
      </c>
      <c r="T224" s="30">
        <f t="shared" si="21"/>
        <v>0</v>
      </c>
      <c r="U224" s="63">
        <f t="shared" si="20"/>
        <v>-1.6814660576132325E-3</v>
      </c>
    </row>
    <row r="225" spans="1:21">
      <c r="A225" s="28">
        <v>43655</v>
      </c>
      <c r="B225" s="29">
        <v>1397.5</v>
      </c>
      <c r="C225" s="29">
        <v>15.067999840000001</v>
      </c>
      <c r="D225" s="29">
        <v>57.83000183</v>
      </c>
      <c r="E225" s="29">
        <v>7826.8598629999997</v>
      </c>
      <c r="F225" s="29">
        <v>2979.6298830000001</v>
      </c>
      <c r="G225" s="29">
        <v>26783.490229999999</v>
      </c>
      <c r="H225" s="29">
        <v>10.707898139999999</v>
      </c>
      <c r="I225" s="29">
        <v>8.7022047039999997</v>
      </c>
      <c r="J225" s="29">
        <v>11.400198939999999</v>
      </c>
      <c r="L225" s="30">
        <f t="shared" si="21"/>
        <v>3.5790980672878447E-4</v>
      </c>
      <c r="M225" s="30">
        <f t="shared" si="21"/>
        <v>6.4119502558486197E-3</v>
      </c>
      <c r="N225" s="30">
        <f t="shared" si="21"/>
        <v>2.948352071492355E-3</v>
      </c>
      <c r="O225" s="30">
        <f t="shared" si="21"/>
        <v>5.2749719417393148E-3</v>
      </c>
      <c r="P225" s="30">
        <f t="shared" si="21"/>
        <v>1.2365570861712083E-3</v>
      </c>
      <c r="Q225" s="30">
        <f t="shared" si="21"/>
        <v>-8.4497057269983245E-4</v>
      </c>
      <c r="R225" s="30">
        <f t="shared" si="21"/>
        <v>-8.4893657128382038E-4</v>
      </c>
      <c r="S225" s="30">
        <f t="shared" si="21"/>
        <v>-1.0225236430785323E-3</v>
      </c>
      <c r="T225" s="30">
        <f t="shared" si="21"/>
        <v>-1.5562191373494905E-3</v>
      </c>
      <c r="U225" s="63">
        <f t="shared" si="20"/>
        <v>1.8679092173429167E-3</v>
      </c>
    </row>
    <row r="226" spans="1:21">
      <c r="A226" s="28">
        <v>43656</v>
      </c>
      <c r="B226" s="29">
        <v>1410.099976</v>
      </c>
      <c r="C226" s="29">
        <v>15.147000309999999</v>
      </c>
      <c r="D226" s="29">
        <v>60.430000309999997</v>
      </c>
      <c r="E226" s="29">
        <v>7903.3999020000001</v>
      </c>
      <c r="F226" s="29">
        <v>2993.070068</v>
      </c>
      <c r="G226" s="29">
        <v>26860.199219999999</v>
      </c>
      <c r="H226" s="29">
        <v>10.707898139999999</v>
      </c>
      <c r="I226" s="29">
        <v>8.7022047039999997</v>
      </c>
      <c r="J226" s="29">
        <v>11.4179678</v>
      </c>
      <c r="L226" s="30">
        <f t="shared" si="21"/>
        <v>9.0160830053667151E-3</v>
      </c>
      <c r="M226" s="30">
        <f t="shared" si="21"/>
        <v>5.2429301061100997E-3</v>
      </c>
      <c r="N226" s="30">
        <f t="shared" si="21"/>
        <v>4.4959335945433443E-2</v>
      </c>
      <c r="O226" s="30">
        <f t="shared" si="21"/>
        <v>9.7791503028985538E-3</v>
      </c>
      <c r="P226" s="30">
        <f t="shared" si="21"/>
        <v>4.5106894237709749E-3</v>
      </c>
      <c r="Q226" s="30">
        <f t="shared" si="21"/>
        <v>2.8640400986306158E-3</v>
      </c>
      <c r="R226" s="30">
        <f t="shared" si="21"/>
        <v>0</v>
      </c>
      <c r="S226" s="30">
        <f t="shared" si="21"/>
        <v>0</v>
      </c>
      <c r="T226" s="30">
        <f t="shared" si="21"/>
        <v>1.5586447301068063E-3</v>
      </c>
      <c r="U226" s="63">
        <f t="shared" si="20"/>
        <v>7.4650484907296368E-3</v>
      </c>
    </row>
    <row r="227" spans="1:21">
      <c r="A227" s="28">
        <v>43657</v>
      </c>
      <c r="B227" s="29">
        <v>1404.3000489999999</v>
      </c>
      <c r="C227" s="29">
        <v>15.06700039</v>
      </c>
      <c r="D227" s="29">
        <v>60.200000760000002</v>
      </c>
      <c r="E227" s="29">
        <v>7896.7797849999997</v>
      </c>
      <c r="F227" s="29">
        <v>2999.9099120000001</v>
      </c>
      <c r="G227" s="29">
        <v>27088.08008</v>
      </c>
      <c r="H227" s="29">
        <v>10.67150593</v>
      </c>
      <c r="I227" s="29">
        <v>8.6754856109999992</v>
      </c>
      <c r="J227" s="29">
        <v>11.37354279</v>
      </c>
      <c r="L227" s="30">
        <f t="shared" si="21"/>
        <v>-4.1131317627935982E-3</v>
      </c>
      <c r="M227" s="30">
        <f t="shared" si="21"/>
        <v>-5.2815685193577933E-3</v>
      </c>
      <c r="N227" s="30">
        <f t="shared" si="21"/>
        <v>-3.8060491282495557E-3</v>
      </c>
      <c r="O227" s="30">
        <f t="shared" si="21"/>
        <v>-8.3762900550243824E-4</v>
      </c>
      <c r="P227" s="30">
        <f t="shared" si="21"/>
        <v>2.2852268221607019E-3</v>
      </c>
      <c r="Q227" s="30">
        <f t="shared" si="21"/>
        <v>8.4839601573141188E-3</v>
      </c>
      <c r="R227" s="30">
        <f t="shared" si="21"/>
        <v>-3.3986324416043212E-3</v>
      </c>
      <c r="S227" s="30">
        <f t="shared" si="21"/>
        <v>-3.0703820363727763E-3</v>
      </c>
      <c r="T227" s="30">
        <f t="shared" si="21"/>
        <v>-3.8907983257755463E-3</v>
      </c>
      <c r="U227" s="63">
        <f t="shared" si="20"/>
        <v>-1.3743227446107184E-3</v>
      </c>
    </row>
    <row r="228" spans="1:21">
      <c r="A228" s="28">
        <v>43658</v>
      </c>
      <c r="B228" s="29">
        <v>1409.900024</v>
      </c>
      <c r="C228" s="29">
        <v>15.161000250000001</v>
      </c>
      <c r="D228" s="29">
        <v>60.209999080000003</v>
      </c>
      <c r="E228" s="29">
        <v>7943.2402339999999</v>
      </c>
      <c r="F228" s="29">
        <v>3013.7700199999999</v>
      </c>
      <c r="G228" s="29">
        <v>27332.029299999998</v>
      </c>
      <c r="H228" s="29">
        <v>10.680605890000001</v>
      </c>
      <c r="I228" s="29">
        <v>8.6843910219999998</v>
      </c>
      <c r="J228" s="29">
        <v>11.38242722</v>
      </c>
      <c r="L228" s="30">
        <f t="shared" si="21"/>
        <v>3.9877339632565789E-3</v>
      </c>
      <c r="M228" s="30">
        <f t="shared" si="21"/>
        <v>6.2387905732310678E-3</v>
      </c>
      <c r="N228" s="30">
        <f t="shared" si="21"/>
        <v>1.6608504773718558E-4</v>
      </c>
      <c r="O228" s="30">
        <f t="shared" si="21"/>
        <v>5.8834677254457901E-3</v>
      </c>
      <c r="P228" s="30">
        <f t="shared" si="21"/>
        <v>4.6201747407672578E-3</v>
      </c>
      <c r="Q228" s="30">
        <f t="shared" si="21"/>
        <v>9.0057774223768483E-3</v>
      </c>
      <c r="R228" s="30">
        <f t="shared" si="21"/>
        <v>8.5273438066679752E-4</v>
      </c>
      <c r="S228" s="30">
        <f t="shared" si="21"/>
        <v>1.0265028840239498E-3</v>
      </c>
      <c r="T228" s="30">
        <f t="shared" si="21"/>
        <v>7.8114886135671746E-4</v>
      </c>
      <c r="U228" s="63">
        <f t="shared" si="20"/>
        <v>3.7770397631903679E-3</v>
      </c>
    </row>
    <row r="229" spans="1:21">
      <c r="A229" s="28">
        <v>43661</v>
      </c>
      <c r="B229" s="29">
        <v>1411.400024</v>
      </c>
      <c r="C229" s="29">
        <v>15.289999959999999</v>
      </c>
      <c r="D229" s="29">
        <v>59.58000183</v>
      </c>
      <c r="E229" s="29">
        <v>7966.9301759999998</v>
      </c>
      <c r="F229" s="29">
        <v>3014.3000489999999</v>
      </c>
      <c r="G229" s="29">
        <v>27359.160159999999</v>
      </c>
      <c r="H229" s="29">
        <v>10.689703939999999</v>
      </c>
      <c r="I229" s="29">
        <v>8.6932983400000001</v>
      </c>
      <c r="J229" s="29">
        <v>11.400198939999999</v>
      </c>
      <c r="L229" s="30">
        <f t="shared" si="21"/>
        <v>1.0639052233962776E-3</v>
      </c>
      <c r="M229" s="30">
        <f t="shared" si="21"/>
        <v>8.5086543020140848E-3</v>
      </c>
      <c r="N229" s="30">
        <f t="shared" si="21"/>
        <v>-1.0463332662784763E-2</v>
      </c>
      <c r="O229" s="30">
        <f t="shared" si="21"/>
        <v>2.9824028107066081E-3</v>
      </c>
      <c r="P229" s="30">
        <f t="shared" si="21"/>
        <v>1.7586909302380604E-4</v>
      </c>
      <c r="Q229" s="30">
        <f t="shared" si="21"/>
        <v>9.9263979641639466E-4</v>
      </c>
      <c r="R229" s="30">
        <f t="shared" si="21"/>
        <v>8.5182901547908862E-4</v>
      </c>
      <c r="S229" s="30">
        <f t="shared" si="21"/>
        <v>1.0256698457538072E-3</v>
      </c>
      <c r="T229" s="30">
        <f t="shared" si="21"/>
        <v>1.5613295526961668E-3</v>
      </c>
      <c r="U229" s="63">
        <f t="shared" si="20"/>
        <v>1.2952681771915431E-3</v>
      </c>
    </row>
    <row r="230" spans="1:21">
      <c r="A230" s="28">
        <v>43662</v>
      </c>
      <c r="B230" s="29">
        <v>1409.1999510000001</v>
      </c>
      <c r="C230" s="29">
        <v>15.600000380000001</v>
      </c>
      <c r="D230" s="29">
        <v>57.619998930000001</v>
      </c>
      <c r="E230" s="29">
        <v>7927.080078</v>
      </c>
      <c r="F230" s="29">
        <v>3004.040039</v>
      </c>
      <c r="G230" s="29">
        <v>27335.630860000001</v>
      </c>
      <c r="H230" s="29">
        <v>10.680605890000001</v>
      </c>
      <c r="I230" s="29">
        <v>8.6754856109999992</v>
      </c>
      <c r="J230" s="29">
        <v>11.38242722</v>
      </c>
      <c r="L230" s="30">
        <f t="shared" si="21"/>
        <v>-1.5587877019902496E-3</v>
      </c>
      <c r="M230" s="30">
        <f t="shared" si="21"/>
        <v>2.0274716861412134E-2</v>
      </c>
      <c r="N230" s="30">
        <f t="shared" si="21"/>
        <v>-3.2896992947272663E-2</v>
      </c>
      <c r="O230" s="30">
        <f t="shared" si="21"/>
        <v>-5.001938904905523E-3</v>
      </c>
      <c r="P230" s="30">
        <f t="shared" si="21"/>
        <v>-3.4037785997461656E-3</v>
      </c>
      <c r="Q230" s="30">
        <f t="shared" si="21"/>
        <v>-8.6001543404090608E-4</v>
      </c>
      <c r="R230" s="30">
        <f t="shared" si="21"/>
        <v>-8.5110402037935629E-4</v>
      </c>
      <c r="S230" s="30">
        <f t="shared" si="21"/>
        <v>-2.0490184856580829E-3</v>
      </c>
      <c r="T230" s="30">
        <f t="shared" si="21"/>
        <v>-1.5588956029217726E-3</v>
      </c>
      <c r="U230" s="63">
        <f t="shared" si="20"/>
        <v>-1.6153078894747895E-3</v>
      </c>
    </row>
    <row r="231" spans="1:21">
      <c r="A231" s="28">
        <v>43663</v>
      </c>
      <c r="B231" s="29">
        <v>1421.3000489999999</v>
      </c>
      <c r="C231" s="29">
        <v>15.89299965</v>
      </c>
      <c r="D231" s="29">
        <v>56.77999878</v>
      </c>
      <c r="E231" s="29">
        <v>7888.7597660000001</v>
      </c>
      <c r="F231" s="29">
        <v>2984.419922</v>
      </c>
      <c r="G231" s="29">
        <v>27219.849610000001</v>
      </c>
      <c r="H231" s="29">
        <v>10.71699619</v>
      </c>
      <c r="I231" s="29">
        <v>8.7022047039999997</v>
      </c>
      <c r="J231" s="29">
        <v>11.4179678</v>
      </c>
      <c r="L231" s="30">
        <f t="shared" si="21"/>
        <v>8.586501859734863E-3</v>
      </c>
      <c r="M231" s="30">
        <f t="shared" si="21"/>
        <v>1.8782004029669119E-2</v>
      </c>
      <c r="N231" s="30">
        <f t="shared" si="21"/>
        <v>-1.4578274307510464E-2</v>
      </c>
      <c r="O231" s="30">
        <f t="shared" si="21"/>
        <v>-4.8341017906896599E-3</v>
      </c>
      <c r="P231" s="30">
        <f t="shared" si="21"/>
        <v>-6.5312435071708252E-3</v>
      </c>
      <c r="Q231" s="30">
        <f t="shared" si="21"/>
        <v>-4.2355433680304477E-3</v>
      </c>
      <c r="R231" s="30">
        <f t="shared" si="21"/>
        <v>3.4071381693869807E-3</v>
      </c>
      <c r="S231" s="30">
        <f t="shared" si="21"/>
        <v>3.0798383166150689E-3</v>
      </c>
      <c r="T231" s="30">
        <f t="shared" si="21"/>
        <v>3.1224078408822464E-3</v>
      </c>
      <c r="U231" s="63">
        <f t="shared" si="20"/>
        <v>3.3161842182607905E-4</v>
      </c>
    </row>
    <row r="232" spans="1:21">
      <c r="A232" s="28">
        <v>43664</v>
      </c>
      <c r="B232" s="29">
        <v>1426.099976</v>
      </c>
      <c r="C232" s="29">
        <v>16.120000839999999</v>
      </c>
      <c r="D232" s="29">
        <v>55.299999239999998</v>
      </c>
      <c r="E232" s="29">
        <v>7904.1298829999996</v>
      </c>
      <c r="F232" s="29">
        <v>2995.110107</v>
      </c>
      <c r="G232" s="29">
        <v>27222.970700000002</v>
      </c>
      <c r="H232" s="29">
        <v>10.72609615</v>
      </c>
      <c r="I232" s="29">
        <v>8.711112022</v>
      </c>
      <c r="J232" s="29">
        <v>11.435740470000001</v>
      </c>
      <c r="L232" s="30">
        <f t="shared" si="21"/>
        <v>3.3771384187153419E-3</v>
      </c>
      <c r="M232" s="30">
        <f t="shared" si="21"/>
        <v>1.4283092871017589E-2</v>
      </c>
      <c r="N232" s="30">
        <f t="shared" si="21"/>
        <v>-2.6065508485380806E-2</v>
      </c>
      <c r="O232" s="30">
        <f t="shared" si="21"/>
        <v>1.9483565802376202E-3</v>
      </c>
      <c r="P232" s="30">
        <f t="shared" si="21"/>
        <v>3.5819976006714604E-3</v>
      </c>
      <c r="Q232" s="30">
        <f t="shared" si="21"/>
        <v>1.1466227935574835E-4</v>
      </c>
      <c r="R232" s="30">
        <f t="shared" si="21"/>
        <v>8.4911479286442493E-4</v>
      </c>
      <c r="S232" s="30">
        <f t="shared" si="21"/>
        <v>1.0235702678778047E-3</v>
      </c>
      <c r="T232" s="30">
        <f t="shared" si="21"/>
        <v>1.5565528219478875E-3</v>
      </c>
      <c r="U232" s="63">
        <f t="shared" si="20"/>
        <v>2.0422785162716793E-3</v>
      </c>
    </row>
    <row r="233" spans="1:21">
      <c r="A233" s="28">
        <v>43665</v>
      </c>
      <c r="B233" s="29">
        <v>1425.099976</v>
      </c>
      <c r="C233" s="29">
        <v>16.117000579999999</v>
      </c>
      <c r="D233" s="29">
        <v>55.630001069999999</v>
      </c>
      <c r="E233" s="29">
        <v>7834.8999020000001</v>
      </c>
      <c r="F233" s="29">
        <v>2976.610107</v>
      </c>
      <c r="G233" s="29">
        <v>27154.199219999999</v>
      </c>
      <c r="H233" s="29">
        <v>10.71699619</v>
      </c>
      <c r="I233" s="29">
        <v>8.711112022</v>
      </c>
      <c r="J233" s="29">
        <v>11.42685509</v>
      </c>
      <c r="L233" s="30">
        <f t="shared" si="21"/>
        <v>-7.0121311046145163E-4</v>
      </c>
      <c r="M233" s="30">
        <f t="shared" si="21"/>
        <v>-1.8612033769593861E-4</v>
      </c>
      <c r="N233" s="30">
        <f t="shared" si="21"/>
        <v>5.9674834454843673E-3</v>
      </c>
      <c r="O233" s="30">
        <f t="shared" si="21"/>
        <v>-8.7587099433800164E-3</v>
      </c>
      <c r="P233" s="30">
        <f t="shared" si="21"/>
        <v>-6.1767345236366511E-3</v>
      </c>
      <c r="Q233" s="30">
        <f t="shared" si="21"/>
        <v>-2.5262298063599697E-3</v>
      </c>
      <c r="R233" s="30">
        <f t="shared" si="21"/>
        <v>-8.4839440862183313E-4</v>
      </c>
      <c r="S233" s="30">
        <f t="shared" si="21"/>
        <v>0</v>
      </c>
      <c r="T233" s="30">
        <f t="shared" si="21"/>
        <v>-7.7698335523701534E-4</v>
      </c>
      <c r="U233" s="63">
        <f t="shared" si="20"/>
        <v>-2.7286022365295014E-3</v>
      </c>
    </row>
    <row r="234" spans="1:21">
      <c r="A234" s="28">
        <v>43668</v>
      </c>
      <c r="B234" s="29">
        <v>1425.3000489999999</v>
      </c>
      <c r="C234" s="29">
        <v>16.340000150000002</v>
      </c>
      <c r="D234" s="29">
        <v>56.22000122</v>
      </c>
      <c r="E234" s="29">
        <v>7905.1201170000004</v>
      </c>
      <c r="F234" s="29">
        <v>2985.030029</v>
      </c>
      <c r="G234" s="29">
        <v>27171.900389999999</v>
      </c>
      <c r="H234" s="29">
        <v>10.71699619</v>
      </c>
      <c r="I234" s="29">
        <v>8.7200212480000001</v>
      </c>
      <c r="J234" s="29">
        <v>11.435740470000001</v>
      </c>
      <c r="L234" s="30">
        <f t="shared" si="21"/>
        <v>1.4039225553963419E-4</v>
      </c>
      <c r="M234" s="30">
        <f t="shared" si="21"/>
        <v>1.383629471830683E-2</v>
      </c>
      <c r="N234" s="30">
        <f t="shared" si="21"/>
        <v>1.0605790736146092E-2</v>
      </c>
      <c r="O234" s="30">
        <f t="shared" ref="O234:T286" si="22">(E234/E233)-1</f>
        <v>8.9624903800078481E-3</v>
      </c>
      <c r="P234" s="30">
        <f t="shared" si="22"/>
        <v>2.8286949574616305E-3</v>
      </c>
      <c r="Q234" s="30">
        <f t="shared" si="22"/>
        <v>6.5187597161631139E-4</v>
      </c>
      <c r="R234" s="30">
        <f t="shared" si="22"/>
        <v>0</v>
      </c>
      <c r="S234" s="30">
        <f t="shared" si="22"/>
        <v>1.0227426736677536E-3</v>
      </c>
      <c r="T234" s="30">
        <f t="shared" si="22"/>
        <v>7.7758752780332507E-4</v>
      </c>
      <c r="U234" s="63">
        <f t="shared" si="20"/>
        <v>5.0451329815917904E-3</v>
      </c>
    </row>
    <row r="235" spans="1:21">
      <c r="A235" s="28">
        <v>43669</v>
      </c>
      <c r="B235" s="29">
        <v>1420.099976</v>
      </c>
      <c r="C235" s="29">
        <v>16.405000690000001</v>
      </c>
      <c r="D235" s="29">
        <v>56.770000459999999</v>
      </c>
      <c r="E235" s="29">
        <v>7954.5600590000004</v>
      </c>
      <c r="F235" s="29">
        <v>3005.469971</v>
      </c>
      <c r="G235" s="29">
        <v>27349.189450000002</v>
      </c>
      <c r="H235" s="29">
        <v>10.707898139999999</v>
      </c>
      <c r="I235" s="29">
        <v>8.711112022</v>
      </c>
      <c r="J235" s="29">
        <v>11.435740470000001</v>
      </c>
      <c r="L235" s="30">
        <f t="shared" ref="L235:Q287" si="23">(B235/B234)-1</f>
        <v>-3.6484058241971207E-3</v>
      </c>
      <c r="M235" s="30">
        <f t="shared" si="23"/>
        <v>3.9780011874723797E-3</v>
      </c>
      <c r="N235" s="30">
        <f t="shared" si="23"/>
        <v>9.7829816446950435E-3</v>
      </c>
      <c r="O235" s="30">
        <f t="shared" si="22"/>
        <v>6.2541670801028459E-3</v>
      </c>
      <c r="P235" s="30">
        <f t="shared" si="22"/>
        <v>6.8474828733455784E-3</v>
      </c>
      <c r="Q235" s="30">
        <f t="shared" si="22"/>
        <v>6.5247206656642298E-3</v>
      </c>
      <c r="R235" s="30">
        <f t="shared" si="22"/>
        <v>-8.4893657128382038E-4</v>
      </c>
      <c r="S235" s="30">
        <f t="shared" si="22"/>
        <v>-1.0216977397897731E-3</v>
      </c>
      <c r="T235" s="30">
        <f t="shared" si="22"/>
        <v>0</v>
      </c>
      <c r="U235" s="63">
        <f t="shared" si="20"/>
        <v>4.015387523312648E-3</v>
      </c>
    </row>
    <row r="236" spans="1:21">
      <c r="A236" s="28">
        <v>43670</v>
      </c>
      <c r="B236" s="29">
        <v>1422.8000489999999</v>
      </c>
      <c r="C236" s="29">
        <v>16.554000850000001</v>
      </c>
      <c r="D236" s="29">
        <v>55.880001069999999</v>
      </c>
      <c r="E236" s="29">
        <v>8010.6098629999997</v>
      </c>
      <c r="F236" s="29">
        <v>3019.5600589999999</v>
      </c>
      <c r="G236" s="29">
        <v>27269.970700000002</v>
      </c>
      <c r="H236" s="29">
        <v>10.72609615</v>
      </c>
      <c r="I236" s="29">
        <v>8.7200212480000001</v>
      </c>
      <c r="J236" s="29">
        <v>11.444622989999999</v>
      </c>
      <c r="L236" s="30">
        <f t="shared" si="23"/>
        <v>1.9013259950930728E-3</v>
      </c>
      <c r="M236" s="30">
        <f t="shared" si="23"/>
        <v>9.0826061403841418E-3</v>
      </c>
      <c r="N236" s="30">
        <f t="shared" si="23"/>
        <v>-1.56772834734622E-2</v>
      </c>
      <c r="O236" s="30">
        <f t="shared" si="22"/>
        <v>7.0462481374544694E-3</v>
      </c>
      <c r="P236" s="30">
        <f t="shared" si="22"/>
        <v>4.6881479888192246E-3</v>
      </c>
      <c r="Q236" s="30">
        <f t="shared" si="22"/>
        <v>-2.8965666476086227E-3</v>
      </c>
      <c r="R236" s="30">
        <f t="shared" si="22"/>
        <v>1.6994941268650976E-3</v>
      </c>
      <c r="S236" s="30">
        <f t="shared" si="22"/>
        <v>1.0227426736677536E-3</v>
      </c>
      <c r="T236" s="30">
        <f t="shared" si="22"/>
        <v>7.767332621180234E-4</v>
      </c>
      <c r="U236" s="63">
        <f t="shared" si="20"/>
        <v>2.7628464615700263E-3</v>
      </c>
    </row>
    <row r="237" spans="1:21">
      <c r="A237" s="28">
        <v>43671</v>
      </c>
      <c r="B237" s="29">
        <v>1413.900024</v>
      </c>
      <c r="C237" s="29">
        <v>16.3390007</v>
      </c>
      <c r="D237" s="29">
        <v>56.020000459999999</v>
      </c>
      <c r="E237" s="29">
        <v>7929.8701170000004</v>
      </c>
      <c r="F237" s="29">
        <v>3003.669922</v>
      </c>
      <c r="G237" s="29">
        <v>27140.980469999999</v>
      </c>
      <c r="H237" s="29">
        <v>10.707898139999999</v>
      </c>
      <c r="I237" s="29">
        <v>8.711112022</v>
      </c>
      <c r="J237" s="29">
        <v>11.435740470000001</v>
      </c>
      <c r="L237" s="30">
        <f t="shared" si="23"/>
        <v>-6.2552886515959694E-3</v>
      </c>
      <c r="M237" s="30">
        <f t="shared" si="23"/>
        <v>-1.2987805905543492E-2</v>
      </c>
      <c r="N237" s="30">
        <f t="shared" si="23"/>
        <v>2.5053576828788504E-3</v>
      </c>
      <c r="O237" s="30">
        <f t="shared" si="22"/>
        <v>-1.0079101014883518E-2</v>
      </c>
      <c r="P237" s="30">
        <f t="shared" si="22"/>
        <v>-5.2624013728881369E-3</v>
      </c>
      <c r="Q237" s="30">
        <f t="shared" si="22"/>
        <v>-4.7301198603783012E-3</v>
      </c>
      <c r="R237" s="30">
        <f t="shared" si="22"/>
        <v>-1.6966107468653346E-3</v>
      </c>
      <c r="S237" s="30">
        <f t="shared" si="22"/>
        <v>-1.0216977397897731E-3</v>
      </c>
      <c r="T237" s="30">
        <f t="shared" si="22"/>
        <v>-7.7613041580837372E-4</v>
      </c>
      <c r="U237" s="63">
        <f t="shared" si="20"/>
        <v>-5.3214132213094331E-3</v>
      </c>
    </row>
    <row r="238" spans="1:21">
      <c r="A238" s="28">
        <v>43672</v>
      </c>
      <c r="B238" s="29">
        <v>1418.5</v>
      </c>
      <c r="C238" s="29">
        <v>16.325000760000002</v>
      </c>
      <c r="D238" s="29">
        <v>56.200000760000002</v>
      </c>
      <c r="E238" s="29">
        <v>8016.9501950000003</v>
      </c>
      <c r="F238" s="29">
        <v>3025.860107</v>
      </c>
      <c r="G238" s="29">
        <v>27192.449219999999</v>
      </c>
      <c r="H238" s="29">
        <v>10.707898139999999</v>
      </c>
      <c r="I238" s="29">
        <v>8.711112022</v>
      </c>
      <c r="J238" s="29">
        <v>11.435740470000001</v>
      </c>
      <c r="L238" s="30">
        <f t="shared" si="23"/>
        <v>3.2533955173057461E-3</v>
      </c>
      <c r="M238" s="30">
        <f t="shared" si="23"/>
        <v>-8.5684187528056732E-4</v>
      </c>
      <c r="N238" s="30">
        <f t="shared" si="23"/>
        <v>3.2131434937872072E-3</v>
      </c>
      <c r="O238" s="30">
        <f t="shared" si="22"/>
        <v>1.098127418421635E-2</v>
      </c>
      <c r="P238" s="30">
        <f t="shared" si="22"/>
        <v>7.3876909168584248E-3</v>
      </c>
      <c r="Q238" s="30">
        <f t="shared" si="22"/>
        <v>1.8963482198770532E-3</v>
      </c>
      <c r="R238" s="30">
        <f t="shared" si="22"/>
        <v>0</v>
      </c>
      <c r="S238" s="30">
        <f t="shared" si="22"/>
        <v>0</v>
      </c>
      <c r="T238" s="30">
        <f t="shared" si="22"/>
        <v>0</v>
      </c>
      <c r="U238" s="63">
        <f t="shared" si="20"/>
        <v>3.9168456463476702E-3</v>
      </c>
    </row>
    <row r="239" spans="1:21">
      <c r="A239" s="28">
        <v>43675</v>
      </c>
      <c r="B239" s="29">
        <v>1419.599976</v>
      </c>
      <c r="C239" s="29">
        <v>16.368000030000001</v>
      </c>
      <c r="D239" s="29">
        <v>56.869998930000001</v>
      </c>
      <c r="E239" s="29">
        <v>7989.080078</v>
      </c>
      <c r="F239" s="29">
        <v>3020.969971</v>
      </c>
      <c r="G239" s="29">
        <v>27221.349610000001</v>
      </c>
      <c r="H239" s="29">
        <v>10.71699619</v>
      </c>
      <c r="I239" s="29">
        <v>8.7200212480000001</v>
      </c>
      <c r="J239" s="29">
        <v>11.444622989999999</v>
      </c>
      <c r="L239" s="30">
        <f t="shared" si="23"/>
        <v>7.7545012336965868E-4</v>
      </c>
      <c r="M239" s="30">
        <f t="shared" si="23"/>
        <v>2.6339520978986286E-3</v>
      </c>
      <c r="N239" s="30">
        <f t="shared" si="23"/>
        <v>1.1921675461557424E-2</v>
      </c>
      <c r="O239" s="30">
        <f t="shared" si="22"/>
        <v>-3.476398920050916E-3</v>
      </c>
      <c r="P239" s="30">
        <f t="shared" si="22"/>
        <v>-1.6161143698240066E-3</v>
      </c>
      <c r="Q239" s="30">
        <f t="shared" si="22"/>
        <v>1.0628093764626367E-3</v>
      </c>
      <c r="R239" s="30">
        <f t="shared" si="22"/>
        <v>8.4965787692858896E-4</v>
      </c>
      <c r="S239" s="30">
        <f t="shared" si="22"/>
        <v>1.0227426736677536E-3</v>
      </c>
      <c r="T239" s="30">
        <f t="shared" si="22"/>
        <v>7.767332621180234E-4</v>
      </c>
      <c r="U239" s="63">
        <f t="shared" si="20"/>
        <v>7.0681855725617611E-4</v>
      </c>
    </row>
    <row r="240" spans="1:21">
      <c r="A240" s="28">
        <v>43676</v>
      </c>
      <c r="B240" s="29">
        <v>1429.6999510000001</v>
      </c>
      <c r="C240" s="29">
        <v>16.495000839999999</v>
      </c>
      <c r="D240" s="29">
        <v>58.049999239999998</v>
      </c>
      <c r="E240" s="29">
        <v>7952.4702150000003</v>
      </c>
      <c r="F240" s="29">
        <v>3013.179932</v>
      </c>
      <c r="G240" s="29">
        <v>27198.019530000001</v>
      </c>
      <c r="H240" s="29">
        <v>10.71699619</v>
      </c>
      <c r="I240" s="29">
        <v>8.711112022</v>
      </c>
      <c r="J240" s="29">
        <v>11.444622989999999</v>
      </c>
      <c r="L240" s="30">
        <f t="shared" si="23"/>
        <v>7.114662701290575E-3</v>
      </c>
      <c r="M240" s="30">
        <f t="shared" si="23"/>
        <v>7.7590915058178833E-3</v>
      </c>
      <c r="N240" s="30">
        <f t="shared" si="23"/>
        <v>2.0749082683339415E-2</v>
      </c>
      <c r="O240" s="30">
        <f t="shared" si="22"/>
        <v>-4.5824879263401952E-3</v>
      </c>
      <c r="P240" s="30">
        <f t="shared" si="22"/>
        <v>-2.5786548938854237E-3</v>
      </c>
      <c r="Q240" s="30">
        <f t="shared" si="22"/>
        <v>-8.5705081982523357E-4</v>
      </c>
      <c r="R240" s="30">
        <f t="shared" si="22"/>
        <v>0</v>
      </c>
      <c r="S240" s="30">
        <f t="shared" si="22"/>
        <v>-1.0216977397897731E-3</v>
      </c>
      <c r="T240" s="30">
        <f t="shared" si="22"/>
        <v>0</v>
      </c>
      <c r="U240" s="63">
        <f t="shared" si="20"/>
        <v>1.6570888567023448E-3</v>
      </c>
    </row>
    <row r="241" spans="1:21">
      <c r="A241" s="28">
        <v>43677</v>
      </c>
      <c r="B241" s="29">
        <v>1426.099976</v>
      </c>
      <c r="C241" s="29">
        <v>16.346000669999999</v>
      </c>
      <c r="D241" s="29">
        <v>58.58000183</v>
      </c>
      <c r="E241" s="29">
        <v>7848.7797849999997</v>
      </c>
      <c r="F241" s="29">
        <v>2980.3798830000001</v>
      </c>
      <c r="G241" s="29">
        <v>26864.269530000001</v>
      </c>
      <c r="H241" s="29">
        <v>10.759852410000001</v>
      </c>
      <c r="I241" s="29">
        <v>8.7486066820000001</v>
      </c>
      <c r="J241" s="29">
        <v>11.45531654</v>
      </c>
      <c r="L241" s="30">
        <f t="shared" si="23"/>
        <v>-2.5179933716036329E-3</v>
      </c>
      <c r="M241" s="30">
        <f t="shared" si="23"/>
        <v>-9.0330501613966607E-3</v>
      </c>
      <c r="N241" s="30">
        <f t="shared" si="23"/>
        <v>9.1301050290935049E-3</v>
      </c>
      <c r="O241" s="30">
        <f t="shared" si="22"/>
        <v>-1.3038769991796872E-2</v>
      </c>
      <c r="P241" s="30">
        <f t="shared" si="22"/>
        <v>-1.088552616843852E-2</v>
      </c>
      <c r="Q241" s="30">
        <f t="shared" si="22"/>
        <v>-1.2271114065193878E-2</v>
      </c>
      <c r="R241" s="30">
        <f t="shared" si="22"/>
        <v>3.9989022334439017E-3</v>
      </c>
      <c r="S241" s="30">
        <f t="shared" si="22"/>
        <v>4.3042334784935132E-3</v>
      </c>
      <c r="T241" s="30">
        <f t="shared" si="22"/>
        <v>9.3437328685652687E-4</v>
      </c>
      <c r="U241" s="63">
        <f t="shared" si="20"/>
        <v>-5.260672854949985E-3</v>
      </c>
    </row>
    <row r="242" spans="1:21">
      <c r="A242" s="28">
        <v>43678</v>
      </c>
      <c r="B242" s="29">
        <v>1420.900024</v>
      </c>
      <c r="C242" s="29">
        <v>16.121000290000001</v>
      </c>
      <c r="D242" s="29">
        <v>53.950000760000002</v>
      </c>
      <c r="E242" s="29">
        <v>7801.1499020000001</v>
      </c>
      <c r="F242" s="29">
        <v>2953.5600589999999</v>
      </c>
      <c r="G242" s="29">
        <v>26583.41992</v>
      </c>
      <c r="H242" s="29">
        <v>10.83280182</v>
      </c>
      <c r="I242" s="29">
        <v>8.8021707530000004</v>
      </c>
      <c r="J242" s="29">
        <v>11.52657604</v>
      </c>
      <c r="L242" s="30">
        <f t="shared" si="23"/>
        <v>-3.6462745161703891E-3</v>
      </c>
      <c r="M242" s="30">
        <f t="shared" si="23"/>
        <v>-1.3764858116820156E-2</v>
      </c>
      <c r="N242" s="30">
        <f t="shared" si="23"/>
        <v>-7.903722986278372E-2</v>
      </c>
      <c r="O242" s="30">
        <f t="shared" si="22"/>
        <v>-6.0684443065948113E-3</v>
      </c>
      <c r="P242" s="30">
        <f t="shared" si="22"/>
        <v>-8.9987937957103359E-3</v>
      </c>
      <c r="Q242" s="30">
        <f t="shared" si="22"/>
        <v>-1.0454392206211693E-2</v>
      </c>
      <c r="R242" s="30">
        <f t="shared" si="22"/>
        <v>6.7797779393519164E-3</v>
      </c>
      <c r="S242" s="30">
        <f t="shared" si="22"/>
        <v>6.1225830520197366E-3</v>
      </c>
      <c r="T242" s="30">
        <f t="shared" si="22"/>
        <v>6.2206487050073811E-3</v>
      </c>
      <c r="U242" s="63">
        <f t="shared" si="20"/>
        <v>-1.0422766271093715E-2</v>
      </c>
    </row>
    <row r="243" spans="1:21">
      <c r="A243" s="28">
        <v>43679</v>
      </c>
      <c r="B243" s="29">
        <v>1445.599976</v>
      </c>
      <c r="C243" s="29">
        <v>16.222000120000001</v>
      </c>
      <c r="D243" s="29">
        <v>55.659999849999998</v>
      </c>
      <c r="E243" s="29">
        <v>7692.7998049999997</v>
      </c>
      <c r="F243" s="29">
        <v>2932.0500489999999</v>
      </c>
      <c r="G243" s="29">
        <v>26485.009770000001</v>
      </c>
      <c r="H243" s="29">
        <v>10.841919900000001</v>
      </c>
      <c r="I243" s="29">
        <v>8.8021707530000004</v>
      </c>
      <c r="J243" s="29">
        <v>11.53548717</v>
      </c>
      <c r="L243" s="30">
        <f t="shared" si="23"/>
        <v>1.7383314506862035E-2</v>
      </c>
      <c r="M243" s="30">
        <f t="shared" si="23"/>
        <v>6.2651093718204542E-3</v>
      </c>
      <c r="N243" s="30">
        <f t="shared" si="23"/>
        <v>3.1695997514569862E-2</v>
      </c>
      <c r="O243" s="30">
        <f t="shared" si="22"/>
        <v>-1.3888990515644739E-2</v>
      </c>
      <c r="P243" s="30">
        <f t="shared" si="22"/>
        <v>-7.2827400053895319E-3</v>
      </c>
      <c r="Q243" s="30">
        <f t="shared" si="22"/>
        <v>-3.7019371584301464E-3</v>
      </c>
      <c r="R243" s="30">
        <f t="shared" si="22"/>
        <v>8.4171021971113369E-4</v>
      </c>
      <c r="S243" s="30">
        <f t="shared" si="22"/>
        <v>0</v>
      </c>
      <c r="T243" s="30">
        <f t="shared" si="22"/>
        <v>7.7309427960869925E-4</v>
      </c>
      <c r="U243" s="63">
        <f t="shared" si="20"/>
        <v>4.5230105657341198E-4</v>
      </c>
    </row>
    <row r="244" spans="1:21">
      <c r="A244" s="28">
        <v>43682</v>
      </c>
      <c r="B244" s="29">
        <v>1464.599976</v>
      </c>
      <c r="C244" s="29">
        <v>16.344999309999999</v>
      </c>
      <c r="D244" s="29">
        <v>54.689998629999998</v>
      </c>
      <c r="E244" s="29">
        <v>7415.6899409999996</v>
      </c>
      <c r="F244" s="29">
        <v>2844.73999</v>
      </c>
      <c r="G244" s="29">
        <v>25717.740229999999</v>
      </c>
      <c r="H244" s="29">
        <v>10.887512210000001</v>
      </c>
      <c r="I244" s="29">
        <v>8.8378791809999999</v>
      </c>
      <c r="J244" s="29">
        <v>11.58002186</v>
      </c>
      <c r="L244" s="30">
        <f t="shared" si="23"/>
        <v>1.3143331706862105E-2</v>
      </c>
      <c r="M244" s="30">
        <f t="shared" si="23"/>
        <v>7.5822456596059684E-3</v>
      </c>
      <c r="N244" s="30">
        <f t="shared" si="23"/>
        <v>-1.7427258760583708E-2</v>
      </c>
      <c r="O244" s="30">
        <f t="shared" si="22"/>
        <v>-3.6021977826576235E-2</v>
      </c>
      <c r="P244" s="30">
        <f t="shared" si="22"/>
        <v>-2.9777820139795241E-2</v>
      </c>
      <c r="Q244" s="30">
        <f t="shared" si="22"/>
        <v>-2.8969954954258692E-2</v>
      </c>
      <c r="R244" s="30">
        <f t="shared" si="22"/>
        <v>4.2051878652968888E-3</v>
      </c>
      <c r="S244" s="30">
        <f t="shared" si="22"/>
        <v>4.0567751980760125E-3</v>
      </c>
      <c r="T244" s="30">
        <f t="shared" si="22"/>
        <v>3.8606683310107304E-3</v>
      </c>
      <c r="U244" s="63">
        <f t="shared" si="20"/>
        <v>-1.2609963813135188E-2</v>
      </c>
    </row>
    <row r="245" spans="1:21">
      <c r="A245" s="28">
        <v>43683</v>
      </c>
      <c r="B245" s="29">
        <v>1472.400024</v>
      </c>
      <c r="C245" s="29">
        <v>16.405000690000001</v>
      </c>
      <c r="D245" s="29">
        <v>53.630001069999999</v>
      </c>
      <c r="E245" s="29">
        <v>7521.3198240000002</v>
      </c>
      <c r="F245" s="29">
        <v>2881.7700199999999</v>
      </c>
      <c r="G245" s="29">
        <v>26029.519530000001</v>
      </c>
      <c r="H245" s="29">
        <v>10.8966341</v>
      </c>
      <c r="I245" s="29">
        <v>8.8378791809999999</v>
      </c>
      <c r="J245" s="29">
        <v>11.59784031</v>
      </c>
      <c r="L245" s="30">
        <f t="shared" si="23"/>
        <v>5.3257190549074185E-3</v>
      </c>
      <c r="M245" s="30">
        <f t="shared" si="23"/>
        <v>3.6709319383876338E-3</v>
      </c>
      <c r="N245" s="30">
        <f t="shared" si="23"/>
        <v>-1.9381926980311603E-2</v>
      </c>
      <c r="O245" s="30">
        <f t="shared" si="22"/>
        <v>1.4244107269910433E-2</v>
      </c>
      <c r="P245" s="30">
        <f t="shared" si="22"/>
        <v>1.301701741817185E-2</v>
      </c>
      <c r="Q245" s="30">
        <f t="shared" si="22"/>
        <v>1.2123121907744672E-2</v>
      </c>
      <c r="R245" s="30">
        <f t="shared" si="22"/>
        <v>8.3783051849262158E-4</v>
      </c>
      <c r="S245" s="30">
        <f t="shared" si="22"/>
        <v>0</v>
      </c>
      <c r="T245" s="30">
        <f t="shared" si="22"/>
        <v>1.5387233474530859E-3</v>
      </c>
      <c r="U245" s="63">
        <f t="shared" si="20"/>
        <v>5.597558036521599E-3</v>
      </c>
    </row>
    <row r="246" spans="1:21">
      <c r="A246" s="28">
        <v>43684</v>
      </c>
      <c r="B246" s="29">
        <v>1507.3000489999999</v>
      </c>
      <c r="C246" s="29">
        <v>17.15600014</v>
      </c>
      <c r="D246" s="29">
        <v>51.090000150000002</v>
      </c>
      <c r="E246" s="29">
        <v>7551.8999020000001</v>
      </c>
      <c r="F246" s="29">
        <v>2883.9799800000001</v>
      </c>
      <c r="G246" s="29">
        <v>26007.070309999999</v>
      </c>
      <c r="H246" s="29">
        <v>10.8966341</v>
      </c>
      <c r="I246" s="29">
        <v>8.8646574020000006</v>
      </c>
      <c r="J246" s="29">
        <v>11.58893108</v>
      </c>
      <c r="L246" s="30">
        <f t="shared" si="23"/>
        <v>2.37028147454037E-2</v>
      </c>
      <c r="M246" s="30">
        <f t="shared" si="23"/>
        <v>4.577869054633954E-2</v>
      </c>
      <c r="N246" s="30">
        <f t="shared" si="23"/>
        <v>-4.7361567580143982E-2</v>
      </c>
      <c r="O246" s="30">
        <f t="shared" si="22"/>
        <v>4.0657861539701301E-3</v>
      </c>
      <c r="P246" s="30">
        <f t="shared" si="22"/>
        <v>7.6687590774504599E-4</v>
      </c>
      <c r="Q246" s="30">
        <f t="shared" si="22"/>
        <v>-8.6245233893500473E-4</v>
      </c>
      <c r="R246" s="30">
        <f t="shared" si="22"/>
        <v>0</v>
      </c>
      <c r="S246" s="30">
        <f t="shared" si="22"/>
        <v>3.0299374376570043E-3</v>
      </c>
      <c r="T246" s="30">
        <f t="shared" si="22"/>
        <v>-7.6818008886692102E-4</v>
      </c>
      <c r="U246" s="63">
        <f t="shared" si="20"/>
        <v>5.654865398367296E-3</v>
      </c>
    </row>
    <row r="247" spans="1:21">
      <c r="A247" s="28">
        <v>43685</v>
      </c>
      <c r="B247" s="29">
        <v>1497.6999510000001</v>
      </c>
      <c r="C247" s="29">
        <v>16.900999070000001</v>
      </c>
      <c r="D247" s="29">
        <v>52.540000919999997</v>
      </c>
      <c r="E247" s="29">
        <v>7724.830078</v>
      </c>
      <c r="F247" s="29">
        <v>2938.0900879999999</v>
      </c>
      <c r="G247" s="29">
        <v>26378.189450000002</v>
      </c>
      <c r="H247" s="29">
        <v>10.8966341</v>
      </c>
      <c r="I247" s="29">
        <v>8.8468027110000005</v>
      </c>
      <c r="J247" s="29">
        <v>11.59784031</v>
      </c>
      <c r="L247" s="30">
        <f t="shared" si="23"/>
        <v>-6.3690689895279373E-3</v>
      </c>
      <c r="M247" s="30">
        <f t="shared" si="23"/>
        <v>-1.48636668173866E-2</v>
      </c>
      <c r="N247" s="30">
        <f t="shared" si="23"/>
        <v>2.838130291138774E-2</v>
      </c>
      <c r="O247" s="30">
        <f t="shared" si="22"/>
        <v>2.2898896733814178E-2</v>
      </c>
      <c r="P247" s="30">
        <f t="shared" si="22"/>
        <v>1.8762303613494513E-2</v>
      </c>
      <c r="Q247" s="30">
        <f t="shared" si="22"/>
        <v>1.4269932582806177E-2</v>
      </c>
      <c r="R247" s="30">
        <f t="shared" si="22"/>
        <v>0</v>
      </c>
      <c r="S247" s="30">
        <f t="shared" si="22"/>
        <v>-2.014143377494948E-3</v>
      </c>
      <c r="T247" s="30">
        <f t="shared" si="22"/>
        <v>7.6877064316782651E-4</v>
      </c>
      <c r="U247" s="63">
        <f t="shared" si="20"/>
        <v>8.2438174110241128E-3</v>
      </c>
    </row>
    <row r="248" spans="1:21">
      <c r="A248" s="28">
        <v>43686</v>
      </c>
      <c r="B248" s="29">
        <v>1496.599976</v>
      </c>
      <c r="C248" s="29">
        <v>16.896999359999999</v>
      </c>
      <c r="D248" s="29">
        <v>54.5</v>
      </c>
      <c r="E248" s="29">
        <v>7646.2700199999999</v>
      </c>
      <c r="F248" s="29">
        <v>2918.6499020000001</v>
      </c>
      <c r="G248" s="29">
        <v>26287.439450000002</v>
      </c>
      <c r="H248" s="29">
        <v>10.887512210000001</v>
      </c>
      <c r="I248" s="29">
        <v>8.8378791809999999</v>
      </c>
      <c r="J248" s="29">
        <v>11.58893108</v>
      </c>
      <c r="L248" s="30">
        <f t="shared" si="23"/>
        <v>-7.3444283634094276E-4</v>
      </c>
      <c r="M248" s="30">
        <f t="shared" si="23"/>
        <v>-2.3665524052374209E-4</v>
      </c>
      <c r="N248" s="30">
        <f t="shared" si="23"/>
        <v>3.7304892380652932E-2</v>
      </c>
      <c r="O248" s="30">
        <f t="shared" si="22"/>
        <v>-1.0169810495085918E-2</v>
      </c>
      <c r="P248" s="30">
        <f t="shared" si="22"/>
        <v>-6.6166065089015014E-3</v>
      </c>
      <c r="Q248" s="30">
        <f t="shared" si="22"/>
        <v>-3.440342263521079E-3</v>
      </c>
      <c r="R248" s="30">
        <f t="shared" si="22"/>
        <v>-8.3712914614608724E-4</v>
      </c>
      <c r="S248" s="30">
        <f t="shared" si="22"/>
        <v>-1.0086728834707293E-3</v>
      </c>
      <c r="T248" s="30">
        <f t="shared" si="22"/>
        <v>-7.6818008886692102E-4</v>
      </c>
      <c r="U248" s="63">
        <f t="shared" si="20"/>
        <v>-8.1439244071144438E-4</v>
      </c>
    </row>
    <row r="249" spans="1:21">
      <c r="A249" s="28">
        <v>43689</v>
      </c>
      <c r="B249" s="29">
        <v>1505.3000489999999</v>
      </c>
      <c r="C249" s="29">
        <v>17.038999560000001</v>
      </c>
      <c r="D249" s="29">
        <v>54.930000309999997</v>
      </c>
      <c r="E249" s="29">
        <v>7561.6801759999998</v>
      </c>
      <c r="F249" s="29">
        <v>2882.6999510000001</v>
      </c>
      <c r="G249" s="29">
        <v>25896.439450000002</v>
      </c>
      <c r="H249" s="29">
        <v>10.933102610000001</v>
      </c>
      <c r="I249" s="29">
        <v>8.8735818860000002</v>
      </c>
      <c r="J249" s="29">
        <v>11.63347149</v>
      </c>
      <c r="L249" s="30">
        <f t="shared" si="23"/>
        <v>5.8132254039271469E-3</v>
      </c>
      <c r="M249" s="30">
        <f t="shared" si="23"/>
        <v>8.4038708278675323E-3</v>
      </c>
      <c r="N249" s="30">
        <f t="shared" si="23"/>
        <v>7.8899139449539746E-3</v>
      </c>
      <c r="O249" s="30">
        <f t="shared" si="22"/>
        <v>-1.1062889981486745E-2</v>
      </c>
      <c r="P249" s="30">
        <f t="shared" si="22"/>
        <v>-1.231732212053438E-2</v>
      </c>
      <c r="Q249" s="30">
        <f t="shared" si="22"/>
        <v>-1.4874023799225533E-2</v>
      </c>
      <c r="R249" s="30">
        <f t="shared" si="22"/>
        <v>4.1874028814521402E-3</v>
      </c>
      <c r="S249" s="30">
        <f t="shared" si="22"/>
        <v>4.0397367138436113E-3</v>
      </c>
      <c r="T249" s="30">
        <f t="shared" si="22"/>
        <v>3.8433579156291753E-3</v>
      </c>
      <c r="U249" s="63">
        <f t="shared" si="20"/>
        <v>-2.2773992579614428E-3</v>
      </c>
    </row>
    <row r="250" spans="1:21">
      <c r="A250" s="28">
        <v>43690</v>
      </c>
      <c r="B250" s="29">
        <v>1502.1999510000001</v>
      </c>
      <c r="C250" s="29">
        <v>16.955999370000001</v>
      </c>
      <c r="D250" s="29">
        <v>57.099998470000003</v>
      </c>
      <c r="E250" s="29">
        <v>7728.1499020000001</v>
      </c>
      <c r="F250" s="29">
        <v>2926.320068</v>
      </c>
      <c r="G250" s="29">
        <v>26279.910159999999</v>
      </c>
      <c r="H250" s="29">
        <v>10.90575123</v>
      </c>
      <c r="I250" s="29">
        <v>8.8557329179999993</v>
      </c>
      <c r="J250" s="29">
        <v>11.606745719999999</v>
      </c>
      <c r="L250" s="30">
        <f t="shared" si="23"/>
        <v>-2.0594551910493308E-3</v>
      </c>
      <c r="M250" s="30">
        <f t="shared" si="23"/>
        <v>-4.87118916270457E-3</v>
      </c>
      <c r="N250" s="30">
        <f t="shared" si="23"/>
        <v>3.9504790601738948E-2</v>
      </c>
      <c r="O250" s="30">
        <f t="shared" si="22"/>
        <v>2.2014912311202783E-2</v>
      </c>
      <c r="P250" s="30">
        <f t="shared" si="22"/>
        <v>1.5131688258040343E-2</v>
      </c>
      <c r="Q250" s="30">
        <f t="shared" si="22"/>
        <v>1.480785459871381E-2</v>
      </c>
      <c r="R250" s="30">
        <f t="shared" si="22"/>
        <v>-2.5017034025623941E-3</v>
      </c>
      <c r="S250" s="30">
        <f t="shared" si="22"/>
        <v>-2.0114727321287607E-3</v>
      </c>
      <c r="T250" s="30">
        <f t="shared" si="22"/>
        <v>-2.2973168432977031E-3</v>
      </c>
      <c r="U250" s="63">
        <f t="shared" si="20"/>
        <v>9.2181280672055787E-3</v>
      </c>
    </row>
    <row r="251" spans="1:21">
      <c r="A251" s="28">
        <v>43691</v>
      </c>
      <c r="B251" s="29">
        <v>1515.900024</v>
      </c>
      <c r="C251" s="29">
        <v>17.25300026</v>
      </c>
      <c r="D251" s="29">
        <v>55.229999540000001</v>
      </c>
      <c r="E251" s="29">
        <v>7490.1298829999996</v>
      </c>
      <c r="F251" s="29">
        <v>2840.6000979999999</v>
      </c>
      <c r="G251" s="29">
        <v>25479.41992</v>
      </c>
      <c r="H251" s="29">
        <v>10.9513464</v>
      </c>
      <c r="I251" s="29">
        <v>8.8914365770000003</v>
      </c>
      <c r="J251" s="29">
        <v>11.65128517</v>
      </c>
      <c r="L251" s="30">
        <f t="shared" si="23"/>
        <v>9.1200062886966915E-3</v>
      </c>
      <c r="M251" s="30">
        <f t="shared" si="23"/>
        <v>1.7515976706479419E-2</v>
      </c>
      <c r="N251" s="30">
        <f t="shared" si="23"/>
        <v>-3.2749544310101686E-2</v>
      </c>
      <c r="O251" s="30">
        <f t="shared" si="22"/>
        <v>-3.0799094481643308E-2</v>
      </c>
      <c r="P251" s="30">
        <f t="shared" si="22"/>
        <v>-2.9292752675063927E-2</v>
      </c>
      <c r="Q251" s="30">
        <f t="shared" si="22"/>
        <v>-3.0460158924683345E-2</v>
      </c>
      <c r="R251" s="30">
        <f t="shared" si="22"/>
        <v>4.1808371599909577E-3</v>
      </c>
      <c r="S251" s="30">
        <f t="shared" si="22"/>
        <v>4.031700067131716E-3</v>
      </c>
      <c r="T251" s="30">
        <f t="shared" si="22"/>
        <v>3.8373762184908955E-3</v>
      </c>
      <c r="U251" s="63">
        <f t="shared" si="20"/>
        <v>-1.1784461095199766E-2</v>
      </c>
    </row>
    <row r="252" spans="1:21">
      <c r="A252" s="28">
        <v>43692</v>
      </c>
      <c r="B252" s="29">
        <v>1519.599976</v>
      </c>
      <c r="C252" s="29">
        <v>17.187999730000001</v>
      </c>
      <c r="D252" s="29">
        <v>54.47000122</v>
      </c>
      <c r="E252" s="29">
        <v>7484.8901370000003</v>
      </c>
      <c r="F252" s="29">
        <v>2847.6000979999999</v>
      </c>
      <c r="G252" s="29">
        <v>25579.390630000002</v>
      </c>
      <c r="H252" s="29">
        <v>10.9969368</v>
      </c>
      <c r="I252" s="29">
        <v>8.9182186130000005</v>
      </c>
      <c r="J252" s="29">
        <v>11.695825579999999</v>
      </c>
      <c r="L252" s="30">
        <f t="shared" si="23"/>
        <v>2.4407625446412062E-3</v>
      </c>
      <c r="M252" s="30">
        <f t="shared" si="23"/>
        <v>-3.7674913939865773E-3</v>
      </c>
      <c r="N252" s="30">
        <f t="shared" si="23"/>
        <v>-1.3760607031140348E-2</v>
      </c>
      <c r="O252" s="30">
        <f t="shared" si="22"/>
        <v>-6.9955342321792457E-4</v>
      </c>
      <c r="P252" s="30">
        <f t="shared" si="22"/>
        <v>2.4642680273538886E-3</v>
      </c>
      <c r="Q252" s="30">
        <f t="shared" si="22"/>
        <v>3.92358657747649E-3</v>
      </c>
      <c r="R252" s="30">
        <f t="shared" si="22"/>
        <v>4.1629949720154436E-3</v>
      </c>
      <c r="S252" s="30">
        <f t="shared" si="22"/>
        <v>3.0121157327127612E-3</v>
      </c>
      <c r="T252" s="30">
        <f t="shared" si="22"/>
        <v>3.822789447698316E-3</v>
      </c>
      <c r="U252" s="63">
        <f t="shared" si="20"/>
        <v>2.324279820115546E-4</v>
      </c>
    </row>
    <row r="253" spans="1:21">
      <c r="A253" s="28">
        <v>43693</v>
      </c>
      <c r="B253" s="29">
        <v>1512.5</v>
      </c>
      <c r="C253" s="29">
        <v>17.096000669999999</v>
      </c>
      <c r="D253" s="29">
        <v>54.869998930000001</v>
      </c>
      <c r="E253" s="29">
        <v>7604.1098629999997</v>
      </c>
      <c r="F253" s="29">
        <v>2888.679932</v>
      </c>
      <c r="G253" s="29">
        <v>25886.009770000001</v>
      </c>
      <c r="H253" s="29">
        <v>10.97869873</v>
      </c>
      <c r="I253" s="29">
        <v>8.9182186130000005</v>
      </c>
      <c r="J253" s="29">
        <v>11.678007129999999</v>
      </c>
      <c r="L253" s="30">
        <f t="shared" si="23"/>
        <v>-4.6722664596831054E-3</v>
      </c>
      <c r="M253" s="30">
        <f t="shared" si="23"/>
        <v>-5.3525169563173325E-3</v>
      </c>
      <c r="N253" s="30">
        <f t="shared" si="23"/>
        <v>7.3434496243987013E-3</v>
      </c>
      <c r="O253" s="30">
        <f t="shared" si="22"/>
        <v>1.5928052892942413E-2</v>
      </c>
      <c r="P253" s="30">
        <f t="shared" si="22"/>
        <v>1.4426124661553574E-2</v>
      </c>
      <c r="Q253" s="30">
        <f t="shared" si="22"/>
        <v>1.1986960300781835E-2</v>
      </c>
      <c r="R253" s="30">
        <f t="shared" si="22"/>
        <v>-1.6584682017997121E-3</v>
      </c>
      <c r="S253" s="30">
        <f t="shared" si="22"/>
        <v>0</v>
      </c>
      <c r="T253" s="30">
        <f t="shared" si="22"/>
        <v>-1.5234880067355183E-3</v>
      </c>
      <c r="U253" s="63">
        <f t="shared" si="20"/>
        <v>5.935042968071914E-3</v>
      </c>
    </row>
    <row r="254" spans="1:21">
      <c r="A254" s="28">
        <v>43696</v>
      </c>
      <c r="B254" s="29">
        <v>1500.400024</v>
      </c>
      <c r="C254" s="29">
        <v>16.913999560000001</v>
      </c>
      <c r="D254" s="29">
        <v>56.209999080000003</v>
      </c>
      <c r="E254" s="29">
        <v>7719.3198240000002</v>
      </c>
      <c r="F254" s="29">
        <v>2923.6499020000001</v>
      </c>
      <c r="G254" s="29">
        <v>26135.789059999999</v>
      </c>
      <c r="H254" s="29">
        <v>10.9513464</v>
      </c>
      <c r="I254" s="29">
        <v>8.8914365770000003</v>
      </c>
      <c r="J254" s="29">
        <v>11.65128517</v>
      </c>
      <c r="L254" s="30">
        <f t="shared" si="23"/>
        <v>-7.9999841322313525E-3</v>
      </c>
      <c r="M254" s="30">
        <f t="shared" si="23"/>
        <v>-1.0645829601502843E-2</v>
      </c>
      <c r="N254" s="30">
        <f t="shared" si="23"/>
        <v>2.4421362787148793E-2</v>
      </c>
      <c r="O254" s="30">
        <f t="shared" si="22"/>
        <v>1.5151012159962063E-2</v>
      </c>
      <c r="P254" s="30">
        <f t="shared" si="22"/>
        <v>1.2105865247517444E-2</v>
      </c>
      <c r="Q254" s="30">
        <f t="shared" si="22"/>
        <v>9.6492001748942346E-3</v>
      </c>
      <c r="R254" s="30">
        <f t="shared" si="22"/>
        <v>-2.4913999985496371E-3</v>
      </c>
      <c r="S254" s="30">
        <f t="shared" si="22"/>
        <v>-3.0030701379040181E-3</v>
      </c>
      <c r="T254" s="30">
        <f t="shared" si="22"/>
        <v>-2.2882294643709056E-3</v>
      </c>
      <c r="U254" s="63">
        <f t="shared" si="20"/>
        <v>4.8763953797099869E-3</v>
      </c>
    </row>
    <row r="255" spans="1:21">
      <c r="A255" s="28">
        <v>43697</v>
      </c>
      <c r="B255" s="29">
        <v>1504.599976</v>
      </c>
      <c r="C255" s="29">
        <v>17.12199974</v>
      </c>
      <c r="D255" s="29">
        <v>56.340000150000002</v>
      </c>
      <c r="E255" s="29">
        <v>7664.4702150000003</v>
      </c>
      <c r="F255" s="29">
        <v>2900.51001</v>
      </c>
      <c r="G255" s="29">
        <v>25962.439450000002</v>
      </c>
      <c r="H255" s="29">
        <v>10.97869873</v>
      </c>
      <c r="I255" s="29">
        <v>8.9092950819999999</v>
      </c>
      <c r="J255" s="29">
        <v>11.686917299999999</v>
      </c>
      <c r="L255" s="30">
        <f t="shared" si="23"/>
        <v>2.7992214961467532E-3</v>
      </c>
      <c r="M255" s="30">
        <f t="shared" si="23"/>
        <v>1.2297515987401253E-2</v>
      </c>
      <c r="N255" s="30">
        <f t="shared" si="23"/>
        <v>2.312774811025653E-3</v>
      </c>
      <c r="O255" s="30">
        <f t="shared" si="22"/>
        <v>-7.1054976669664427E-3</v>
      </c>
      <c r="P255" s="30">
        <f t="shared" si="22"/>
        <v>-7.9147274043210869E-3</v>
      </c>
      <c r="Q255" s="30">
        <f t="shared" si="22"/>
        <v>-6.6326526282424192E-3</v>
      </c>
      <c r="R255" s="30">
        <f t="shared" si="22"/>
        <v>2.4976225754305137E-3</v>
      </c>
      <c r="S255" s="30">
        <f t="shared" si="22"/>
        <v>2.0085061446870611E-3</v>
      </c>
      <c r="T255" s="30">
        <f t="shared" si="22"/>
        <v>3.0582145643252012E-3</v>
      </c>
      <c r="U255" s="63">
        <f t="shared" si="20"/>
        <v>-6.2438911216397834E-4</v>
      </c>
    </row>
    <row r="256" spans="1:21">
      <c r="A256" s="28">
        <v>43698</v>
      </c>
      <c r="B256" s="29">
        <v>1504.599976</v>
      </c>
      <c r="C256" s="29">
        <v>17.125</v>
      </c>
      <c r="D256" s="29">
        <v>55.680000309999997</v>
      </c>
      <c r="E256" s="29">
        <v>7733.2202150000003</v>
      </c>
      <c r="F256" s="29">
        <v>2924.429932</v>
      </c>
      <c r="G256" s="29">
        <v>26202.730469999999</v>
      </c>
      <c r="H256" s="29">
        <v>10.96046162</v>
      </c>
      <c r="I256" s="29">
        <v>8.9003696439999995</v>
      </c>
      <c r="J256" s="29">
        <v>11.669098849999999</v>
      </c>
      <c r="L256" s="30">
        <f t="shared" si="23"/>
        <v>0</v>
      </c>
      <c r="M256" s="30">
        <f t="shared" si="23"/>
        <v>1.7522836383365714E-4</v>
      </c>
      <c r="N256" s="30">
        <f t="shared" si="23"/>
        <v>-1.17145871182609E-2</v>
      </c>
      <c r="O256" s="30">
        <f t="shared" si="23"/>
        <v>8.9699611416651504E-3</v>
      </c>
      <c r="P256" s="30">
        <f t="shared" si="23"/>
        <v>8.2467986380092562E-3</v>
      </c>
      <c r="Q256" s="30">
        <f t="shared" si="23"/>
        <v>9.2553328997748707E-3</v>
      </c>
      <c r="R256" s="30">
        <f t="shared" si="22"/>
        <v>-1.6611358457414571E-3</v>
      </c>
      <c r="S256" s="30">
        <f t="shared" si="22"/>
        <v>-1.0018119186593344E-3</v>
      </c>
      <c r="T256" s="30">
        <f t="shared" si="22"/>
        <v>-1.5246492759900532E-3</v>
      </c>
      <c r="U256" s="63">
        <f t="shared" si="20"/>
        <v>2.6551906266579607E-3</v>
      </c>
    </row>
    <row r="257" spans="1:21">
      <c r="A257" s="28">
        <v>43699</v>
      </c>
      <c r="B257" s="29">
        <v>1497.3000489999999</v>
      </c>
      <c r="C257" s="29">
        <v>17.013999940000001</v>
      </c>
      <c r="D257" s="29">
        <v>55.349998470000003</v>
      </c>
      <c r="E257" s="29">
        <v>7707.4301759999998</v>
      </c>
      <c r="F257" s="29">
        <v>2922.9499510000001</v>
      </c>
      <c r="G257" s="29">
        <v>26252.240229999999</v>
      </c>
      <c r="H257" s="29">
        <v>10.94222355</v>
      </c>
      <c r="I257" s="29">
        <v>8.8914365770000003</v>
      </c>
      <c r="J257" s="29">
        <v>11.65128517</v>
      </c>
      <c r="L257" s="30">
        <f t="shared" si="23"/>
        <v>-4.8517394101035283E-3</v>
      </c>
      <c r="M257" s="30">
        <f t="shared" si="23"/>
        <v>-6.4817553284670648E-3</v>
      </c>
      <c r="N257" s="30">
        <f t="shared" si="23"/>
        <v>-5.926757150910511E-3</v>
      </c>
      <c r="O257" s="30">
        <f t="shared" si="23"/>
        <v>-3.3349676180145504E-3</v>
      </c>
      <c r="P257" s="30">
        <f t="shared" si="23"/>
        <v>-5.0607504177324625E-4</v>
      </c>
      <c r="Q257" s="30">
        <f t="shared" si="23"/>
        <v>1.8894885804625616E-3</v>
      </c>
      <c r="R257" s="30">
        <f t="shared" si="22"/>
        <v>-1.6639873969104269E-3</v>
      </c>
      <c r="S257" s="30">
        <f t="shared" si="22"/>
        <v>-1.0036737076444258E-3</v>
      </c>
      <c r="T257" s="30">
        <f t="shared" si="22"/>
        <v>-1.5265686090233377E-3</v>
      </c>
      <c r="U257" s="63">
        <f t="shared" si="20"/>
        <v>-2.5309146818482389E-3</v>
      </c>
    </row>
    <row r="258" spans="1:21">
      <c r="A258" s="28">
        <v>43700</v>
      </c>
      <c r="B258" s="29">
        <v>1526.599976</v>
      </c>
      <c r="C258" s="29">
        <v>17.395000459999999</v>
      </c>
      <c r="D258" s="29">
        <v>54.16999817</v>
      </c>
      <c r="E258" s="29">
        <v>7464.9902339999999</v>
      </c>
      <c r="F258" s="29">
        <v>2847.110107</v>
      </c>
      <c r="G258" s="29">
        <v>25628.900389999999</v>
      </c>
      <c r="H258" s="29">
        <v>10.9969368</v>
      </c>
      <c r="I258" s="29">
        <v>8.9271516799999997</v>
      </c>
      <c r="J258" s="29">
        <v>11.70473194</v>
      </c>
      <c r="L258" s="30">
        <f t="shared" si="23"/>
        <v>1.9568507340641972E-2</v>
      </c>
      <c r="M258" s="30">
        <f t="shared" si="23"/>
        <v>2.2393353787680592E-2</v>
      </c>
      <c r="N258" s="30">
        <f t="shared" si="23"/>
        <v>-2.1318885864822001E-2</v>
      </c>
      <c r="O258" s="30">
        <f t="shared" si="23"/>
        <v>-3.1455353660540197E-2</v>
      </c>
      <c r="P258" s="30">
        <f t="shared" si="23"/>
        <v>-2.59463368416738E-2</v>
      </c>
      <c r="Q258" s="30">
        <f t="shared" si="23"/>
        <v>-2.3744253234726731E-2</v>
      </c>
      <c r="R258" s="30">
        <f t="shared" si="22"/>
        <v>5.0001948644158301E-3</v>
      </c>
      <c r="S258" s="30">
        <f t="shared" si="22"/>
        <v>4.0167978133460736E-3</v>
      </c>
      <c r="T258" s="30">
        <f t="shared" si="22"/>
        <v>4.5871995423831802E-3</v>
      </c>
      <c r="U258" s="63">
        <f t="shared" si="20"/>
        <v>-8.3465196591941595E-3</v>
      </c>
    </row>
    <row r="259" spans="1:21">
      <c r="A259" s="28">
        <v>43703</v>
      </c>
      <c r="B259" s="29">
        <v>1526.3000489999999</v>
      </c>
      <c r="C259" s="29">
        <v>17.624000550000002</v>
      </c>
      <c r="D259" s="29">
        <v>53.63999939</v>
      </c>
      <c r="E259" s="29">
        <v>7575.0200199999999</v>
      </c>
      <c r="F259" s="29">
        <v>2878.3798830000001</v>
      </c>
      <c r="G259" s="29">
        <v>25898.83008</v>
      </c>
      <c r="H259" s="29">
        <v>10.97869873</v>
      </c>
      <c r="I259" s="29">
        <v>8.9092950819999999</v>
      </c>
      <c r="J259" s="29">
        <v>11.695825579999999</v>
      </c>
      <c r="L259" s="30">
        <f t="shared" si="23"/>
        <v>-1.9646731607181334E-4</v>
      </c>
      <c r="M259" s="30">
        <f t="shared" si="23"/>
        <v>1.3164707326486891E-2</v>
      </c>
      <c r="N259" s="30">
        <f t="shared" si="23"/>
        <v>-9.7839911003267943E-3</v>
      </c>
      <c r="O259" s="30">
        <f t="shared" si="23"/>
        <v>1.4739441385851926E-2</v>
      </c>
      <c r="P259" s="30">
        <f t="shared" si="23"/>
        <v>1.098298795087671E-2</v>
      </c>
      <c r="Q259" s="30">
        <f t="shared" si="23"/>
        <v>1.0532238445365438E-2</v>
      </c>
      <c r="R259" s="30">
        <f t="shared" si="22"/>
        <v>-1.6584682017997121E-3</v>
      </c>
      <c r="S259" s="30">
        <f t="shared" si="22"/>
        <v>-2.0002570405525111E-3</v>
      </c>
      <c r="T259" s="30">
        <f t="shared" si="22"/>
        <v>-7.6091960462287833E-4</v>
      </c>
      <c r="U259" s="63">
        <f t="shared" si="20"/>
        <v>6.260197544853143E-3</v>
      </c>
    </row>
    <row r="260" spans="1:21">
      <c r="A260" s="28">
        <v>43704</v>
      </c>
      <c r="B260" s="29">
        <v>1541</v>
      </c>
      <c r="C260" s="29">
        <v>18.138999940000001</v>
      </c>
      <c r="D260" s="29">
        <v>54.930000309999997</v>
      </c>
      <c r="E260" s="29">
        <v>7566.0297849999997</v>
      </c>
      <c r="F260" s="29">
        <v>2869.1599120000001</v>
      </c>
      <c r="G260" s="29">
        <v>25777.900389999999</v>
      </c>
      <c r="H260" s="29">
        <v>11.015171049999999</v>
      </c>
      <c r="I260" s="29">
        <v>8.9450054170000008</v>
      </c>
      <c r="J260" s="29">
        <v>11.73145676</v>
      </c>
      <c r="L260" s="30">
        <f t="shared" si="23"/>
        <v>9.6311017022054912E-3</v>
      </c>
      <c r="M260" s="30">
        <f t="shared" si="23"/>
        <v>2.9221480590568838E-2</v>
      </c>
      <c r="N260" s="30">
        <f t="shared" si="23"/>
        <v>2.4049234427107269E-2</v>
      </c>
      <c r="O260" s="30">
        <f t="shared" si="23"/>
        <v>-1.1868265663013133E-3</v>
      </c>
      <c r="P260" s="30">
        <f t="shared" si="23"/>
        <v>-3.2031807387391531E-3</v>
      </c>
      <c r="Q260" s="30">
        <f t="shared" si="23"/>
        <v>-4.6693109158388868E-3</v>
      </c>
      <c r="R260" s="30">
        <f t="shared" si="22"/>
        <v>3.3220986290785071E-3</v>
      </c>
      <c r="S260" s="30">
        <f t="shared" si="22"/>
        <v>4.0082110505184065E-3</v>
      </c>
      <c r="T260" s="30">
        <f t="shared" si="22"/>
        <v>3.0464869500901326E-3</v>
      </c>
      <c r="U260" s="63">
        <f t="shared" ref="U260:U323" si="24">SUMPRODUCT($L$2:$T$2,L260:T260)</f>
        <v>6.4543192769312575E-3</v>
      </c>
    </row>
    <row r="261" spans="1:21">
      <c r="A261" s="28">
        <v>43705</v>
      </c>
      <c r="B261" s="29">
        <v>1537.8000489999999</v>
      </c>
      <c r="C261" s="29">
        <v>18.304000850000001</v>
      </c>
      <c r="D261" s="29">
        <v>55.77999878</v>
      </c>
      <c r="E261" s="29">
        <v>7587.8999020000001</v>
      </c>
      <c r="F261" s="29">
        <v>2887.9399410000001</v>
      </c>
      <c r="G261" s="29">
        <v>26036.099610000001</v>
      </c>
      <c r="H261" s="29">
        <v>11.024286269999999</v>
      </c>
      <c r="I261" s="29">
        <v>8.9539299010000004</v>
      </c>
      <c r="J261" s="29">
        <v>11.740360259999999</v>
      </c>
      <c r="L261" s="30">
        <f t="shared" si="23"/>
        <v>-2.0765418559377524E-3</v>
      </c>
      <c r="M261" s="30">
        <f t="shared" si="23"/>
        <v>9.0964722722193248E-3</v>
      </c>
      <c r="N261" s="30">
        <f t="shared" si="23"/>
        <v>1.5474212000782694E-2</v>
      </c>
      <c r="O261" s="30">
        <f t="shared" si="23"/>
        <v>2.8905671298518065E-3</v>
      </c>
      <c r="P261" s="30">
        <f t="shared" si="23"/>
        <v>6.5454800624580312E-3</v>
      </c>
      <c r="Q261" s="30">
        <f t="shared" si="23"/>
        <v>1.0016301409100148E-2</v>
      </c>
      <c r="R261" s="30">
        <f t="shared" si="22"/>
        <v>8.2751506614142656E-4</v>
      </c>
      <c r="S261" s="30">
        <f t="shared" si="22"/>
        <v>9.9770582397162855E-4</v>
      </c>
      <c r="T261" s="30">
        <f t="shared" si="22"/>
        <v>7.5894240435303573E-4</v>
      </c>
      <c r="U261" s="63">
        <f t="shared" si="24"/>
        <v>5.314215702053874E-3</v>
      </c>
    </row>
    <row r="262" spans="1:21">
      <c r="A262" s="28">
        <v>43706</v>
      </c>
      <c r="B262" s="29">
        <v>1526.5</v>
      </c>
      <c r="C262" s="29">
        <v>18.166999820000001</v>
      </c>
      <c r="D262" s="29">
        <v>56.709999080000003</v>
      </c>
      <c r="E262" s="29">
        <v>7702.3100590000004</v>
      </c>
      <c r="F262" s="29">
        <v>2924.580078</v>
      </c>
      <c r="G262" s="29">
        <v>26362.25</v>
      </c>
      <c r="H262" s="29">
        <v>11.006053919999999</v>
      </c>
      <c r="I262" s="29">
        <v>8.936077118</v>
      </c>
      <c r="J262" s="29">
        <v>11.72254467</v>
      </c>
      <c r="L262" s="30">
        <f t="shared" si="23"/>
        <v>-7.3481913382354991E-3</v>
      </c>
      <c r="M262" s="30">
        <f t="shared" si="23"/>
        <v>-7.4847587214792455E-3</v>
      </c>
      <c r="N262" s="30">
        <f t="shared" si="23"/>
        <v>1.6672648267132217E-2</v>
      </c>
      <c r="O262" s="30">
        <f t="shared" si="23"/>
        <v>1.5077973942413836E-2</v>
      </c>
      <c r="P262" s="30">
        <f t="shared" si="23"/>
        <v>1.2687291892681252E-2</v>
      </c>
      <c r="Q262" s="30">
        <f t="shared" si="23"/>
        <v>1.2526852903678831E-2</v>
      </c>
      <c r="R262" s="30">
        <f t="shared" si="22"/>
        <v>-1.6538349561563415E-3</v>
      </c>
      <c r="S262" s="30">
        <f t="shared" si="22"/>
        <v>-1.9938488683060029E-3</v>
      </c>
      <c r="T262" s="30">
        <f t="shared" si="22"/>
        <v>-1.517465359278436E-3</v>
      </c>
      <c r="U262" s="63">
        <f t="shared" si="24"/>
        <v>5.2895477384672443E-3</v>
      </c>
    </row>
    <row r="263" spans="1:21">
      <c r="A263" s="28">
        <v>43707</v>
      </c>
      <c r="B263" s="29">
        <v>1519.099976</v>
      </c>
      <c r="C263" s="29">
        <v>18.184999470000001</v>
      </c>
      <c r="D263" s="29">
        <v>55.099998470000003</v>
      </c>
      <c r="E263" s="29">
        <v>7691</v>
      </c>
      <c r="F263" s="29">
        <v>2926.459961</v>
      </c>
      <c r="G263" s="29">
        <v>26403.279299999998</v>
      </c>
      <c r="H263" s="29">
        <v>11.03986645</v>
      </c>
      <c r="I263" s="29">
        <v>8.9638090130000005</v>
      </c>
      <c r="J263" s="29">
        <v>11.730584139999999</v>
      </c>
      <c r="L263" s="30">
        <f t="shared" si="23"/>
        <v>-4.8477065181788959E-3</v>
      </c>
      <c r="M263" s="30">
        <f t="shared" si="23"/>
        <v>9.9078825223442024E-4</v>
      </c>
      <c r="N263" s="30">
        <f t="shared" si="23"/>
        <v>-2.8390065881129578E-2</v>
      </c>
      <c r="O263" s="30">
        <f t="shared" si="23"/>
        <v>-1.4683983004273315E-3</v>
      </c>
      <c r="P263" s="30">
        <f t="shared" si="23"/>
        <v>6.4278732326106258E-4</v>
      </c>
      <c r="Q263" s="30">
        <f t="shared" si="23"/>
        <v>1.5563656364687706E-3</v>
      </c>
      <c r="R263" s="30">
        <f t="shared" si="22"/>
        <v>3.0721755722600275E-3</v>
      </c>
      <c r="S263" s="30">
        <f t="shared" si="22"/>
        <v>3.1033634371999685E-3</v>
      </c>
      <c r="T263" s="30">
        <f t="shared" si="22"/>
        <v>6.8581269906142772E-4</v>
      </c>
      <c r="U263" s="63">
        <f t="shared" si="24"/>
        <v>-1.6218367820254908E-3</v>
      </c>
    </row>
    <row r="264" spans="1:21">
      <c r="A264" s="28">
        <v>43711</v>
      </c>
      <c r="B264" s="29">
        <v>1545.900024</v>
      </c>
      <c r="C264" s="29">
        <v>19.07900047</v>
      </c>
      <c r="D264" s="29">
        <v>53.939998629999998</v>
      </c>
      <c r="E264" s="29">
        <v>7609.5097660000001</v>
      </c>
      <c r="F264" s="29">
        <v>2906.2700199999999</v>
      </c>
      <c r="G264" s="29">
        <v>26118.019530000001</v>
      </c>
      <c r="H264" s="29">
        <v>11.04900265</v>
      </c>
      <c r="I264" s="29">
        <v>8.9727563860000004</v>
      </c>
      <c r="J264" s="29">
        <v>11.739507679999999</v>
      </c>
      <c r="L264" s="30">
        <f t="shared" si="23"/>
        <v>1.7642056759534785E-2</v>
      </c>
      <c r="M264" s="30">
        <f t="shared" si="23"/>
        <v>4.9161453178750092E-2</v>
      </c>
      <c r="N264" s="30">
        <f t="shared" si="23"/>
        <v>-2.105262925971918E-2</v>
      </c>
      <c r="O264" s="30">
        <f t="shared" si="23"/>
        <v>-1.0595531660382296E-2</v>
      </c>
      <c r="P264" s="30">
        <f t="shared" si="23"/>
        <v>-6.8991003700938913E-3</v>
      </c>
      <c r="Q264" s="30">
        <f t="shared" si="23"/>
        <v>-1.0803952295425523E-2</v>
      </c>
      <c r="R264" s="30">
        <f t="shared" si="22"/>
        <v>8.2756435880626533E-4</v>
      </c>
      <c r="S264" s="30">
        <f t="shared" si="22"/>
        <v>9.9816640303518334E-4</v>
      </c>
      <c r="T264" s="30">
        <f t="shared" si="22"/>
        <v>7.607072157278516E-4</v>
      </c>
      <c r="U264" s="63">
        <f t="shared" si="24"/>
        <v>3.406098788420079E-3</v>
      </c>
    </row>
    <row r="265" spans="1:21">
      <c r="A265" s="28">
        <v>43712</v>
      </c>
      <c r="B265" s="29">
        <v>1550.3000489999999</v>
      </c>
      <c r="C265" s="29">
        <v>19.39100075</v>
      </c>
      <c r="D265" s="29">
        <v>56.259998320000001</v>
      </c>
      <c r="E265" s="29">
        <v>7719.25</v>
      </c>
      <c r="F265" s="29">
        <v>2937.780029</v>
      </c>
      <c r="G265" s="29">
        <v>26355.470700000002</v>
      </c>
      <c r="H265" s="29">
        <v>11.05814743</v>
      </c>
      <c r="I265" s="29">
        <v>8.9817028049999994</v>
      </c>
      <c r="J265" s="29">
        <v>11.75736618</v>
      </c>
      <c r="L265" s="30">
        <f t="shared" si="23"/>
        <v>2.8462545647776061E-3</v>
      </c>
      <c r="M265" s="30">
        <f t="shared" si="23"/>
        <v>1.6353072609363917E-2</v>
      </c>
      <c r="N265" s="30">
        <f t="shared" si="23"/>
        <v>4.3010748033458057E-2</v>
      </c>
      <c r="O265" s="30">
        <f t="shared" si="23"/>
        <v>1.4421459118211466E-2</v>
      </c>
      <c r="P265" s="30">
        <f t="shared" si="23"/>
        <v>1.0842078947640221E-2</v>
      </c>
      <c r="Q265" s="30">
        <f t="shared" si="23"/>
        <v>9.0914691953292159E-3</v>
      </c>
      <c r="R265" s="30">
        <f t="shared" si="22"/>
        <v>8.2765660301475918E-4</v>
      </c>
      <c r="S265" s="30">
        <f t="shared" si="22"/>
        <v>9.9706473854088706E-4</v>
      </c>
      <c r="T265" s="30">
        <f t="shared" si="22"/>
        <v>1.5212307438092765E-3</v>
      </c>
      <c r="U265" s="63">
        <f t="shared" si="24"/>
        <v>1.1491420925734797E-2</v>
      </c>
    </row>
    <row r="266" spans="1:21">
      <c r="A266" s="28">
        <v>43713</v>
      </c>
      <c r="B266" s="29">
        <v>1515.400024</v>
      </c>
      <c r="C266" s="29">
        <v>18.65600014</v>
      </c>
      <c r="D266" s="29">
        <v>56.299999239999998</v>
      </c>
      <c r="E266" s="29">
        <v>7862.5400390000004</v>
      </c>
      <c r="F266" s="29">
        <v>2976</v>
      </c>
      <c r="G266" s="29">
        <v>26728.150389999999</v>
      </c>
      <c r="H266" s="29">
        <v>11.00331211</v>
      </c>
      <c r="I266" s="29">
        <v>8.9280252460000007</v>
      </c>
      <c r="J266" s="29">
        <v>11.694871900000001</v>
      </c>
      <c r="L266" s="30">
        <f t="shared" si="23"/>
        <v>-2.2511787329498989E-2</v>
      </c>
      <c r="M266" s="30">
        <f t="shared" si="23"/>
        <v>-3.7904212344481492E-2</v>
      </c>
      <c r="N266" s="30">
        <f t="shared" si="23"/>
        <v>7.1100108770849602E-4</v>
      </c>
      <c r="O266" s="30">
        <f t="shared" si="23"/>
        <v>1.8562689250898767E-2</v>
      </c>
      <c r="P266" s="30">
        <f t="shared" si="23"/>
        <v>1.3009813744635501E-2</v>
      </c>
      <c r="Q266" s="30">
        <f t="shared" si="23"/>
        <v>1.414050594057481E-2</v>
      </c>
      <c r="R266" s="30">
        <f t="shared" si="22"/>
        <v>-4.9588161441251888E-3</v>
      </c>
      <c r="S266" s="30">
        <f t="shared" si="22"/>
        <v>-5.9763232168088543E-3</v>
      </c>
      <c r="T266" s="30">
        <f t="shared" si="22"/>
        <v>-5.3153298998466214E-3</v>
      </c>
      <c r="U266" s="63">
        <f t="shared" si="24"/>
        <v>-1.8323628308299306E-3</v>
      </c>
    </row>
    <row r="267" spans="1:21">
      <c r="A267" s="28">
        <v>43714</v>
      </c>
      <c r="B267" s="29">
        <v>1506.1999510000001</v>
      </c>
      <c r="C267" s="29">
        <v>17.968000409999998</v>
      </c>
      <c r="D267" s="29">
        <v>56.520000459999999</v>
      </c>
      <c r="E267" s="29">
        <v>7852.5400390000004</v>
      </c>
      <c r="F267" s="29">
        <v>2978.709961</v>
      </c>
      <c r="G267" s="29">
        <v>26797.460940000001</v>
      </c>
      <c r="H267" s="29">
        <v>11.012447359999999</v>
      </c>
      <c r="I267" s="29">
        <v>8.936969757</v>
      </c>
      <c r="J267" s="29">
        <v>11.703797339999999</v>
      </c>
      <c r="L267" s="30">
        <f t="shared" si="23"/>
        <v>-6.071052431235735E-3</v>
      </c>
      <c r="M267" s="30">
        <f t="shared" si="23"/>
        <v>-3.6878201374198838E-2</v>
      </c>
      <c r="N267" s="30">
        <f t="shared" si="23"/>
        <v>3.9076593777942481E-3</v>
      </c>
      <c r="O267" s="30">
        <f t="shared" si="23"/>
        <v>-1.2718536186013818E-3</v>
      </c>
      <c r="P267" s="30">
        <f t="shared" si="23"/>
        <v>9.1060517473118274E-4</v>
      </c>
      <c r="Q267" s="30">
        <f t="shared" si="23"/>
        <v>2.5931667170628891E-3</v>
      </c>
      <c r="R267" s="30">
        <f t="shared" si="22"/>
        <v>8.3022729053539024E-4</v>
      </c>
      <c r="S267" s="30">
        <f t="shared" si="22"/>
        <v>1.0018465174039815E-3</v>
      </c>
      <c r="T267" s="30">
        <f t="shared" si="22"/>
        <v>7.6319262633384177E-4</v>
      </c>
      <c r="U267" s="63">
        <f t="shared" si="24"/>
        <v>-5.187307235497352E-3</v>
      </c>
    </row>
    <row r="268" spans="1:21">
      <c r="A268" s="28">
        <v>43717</v>
      </c>
      <c r="B268" s="29">
        <v>1502.1999510000001</v>
      </c>
      <c r="C268" s="29">
        <v>18.018999099999998</v>
      </c>
      <c r="D268" s="29">
        <v>57.849998470000003</v>
      </c>
      <c r="E268" s="29">
        <v>7832.3999020000001</v>
      </c>
      <c r="F268" s="29">
        <v>2978.429932</v>
      </c>
      <c r="G268" s="29">
        <v>26835.509770000001</v>
      </c>
      <c r="H268" s="29">
        <v>10.966756820000001</v>
      </c>
      <c r="I268" s="29">
        <v>8.9101333619999998</v>
      </c>
      <c r="J268" s="29">
        <v>11.65916348</v>
      </c>
      <c r="L268" s="30">
        <f t="shared" si="23"/>
        <v>-2.6556899018249647E-3</v>
      </c>
      <c r="M268" s="30">
        <f t="shared" si="23"/>
        <v>2.8383063688943722E-3</v>
      </c>
      <c r="N268" s="30">
        <f t="shared" si="23"/>
        <v>2.3531457876424966E-2</v>
      </c>
      <c r="O268" s="30">
        <f t="shared" si="23"/>
        <v>-2.5647926530745213E-3</v>
      </c>
      <c r="P268" s="30">
        <f t="shared" si="23"/>
        <v>-9.4010159990887132E-5</v>
      </c>
      <c r="Q268" s="30">
        <f t="shared" si="23"/>
        <v>1.4198669823679566E-3</v>
      </c>
      <c r="R268" s="30">
        <f t="shared" si="22"/>
        <v>-4.1489905473653943E-3</v>
      </c>
      <c r="S268" s="30">
        <f t="shared" si="22"/>
        <v>-3.0028517192843829E-3</v>
      </c>
      <c r="T268" s="30">
        <f t="shared" si="22"/>
        <v>-3.81362208378766E-3</v>
      </c>
      <c r="U268" s="63">
        <f t="shared" si="24"/>
        <v>8.6775150077601088E-4</v>
      </c>
    </row>
    <row r="269" spans="1:21">
      <c r="A269" s="28">
        <v>43718</v>
      </c>
      <c r="B269" s="29">
        <v>1490.3000489999999</v>
      </c>
      <c r="C269" s="29">
        <v>18.041000369999999</v>
      </c>
      <c r="D269" s="29">
        <v>57.400001529999997</v>
      </c>
      <c r="E269" s="29">
        <v>7814.7402339999999</v>
      </c>
      <c r="F269" s="29">
        <v>2979.389893</v>
      </c>
      <c r="G269" s="29">
        <v>26909.429690000001</v>
      </c>
      <c r="H269" s="29">
        <v>10.90278339</v>
      </c>
      <c r="I269" s="29">
        <v>8.8654041289999999</v>
      </c>
      <c r="J269" s="29">
        <v>11.59667206</v>
      </c>
      <c r="L269" s="30">
        <f t="shared" si="23"/>
        <v>-7.9216498390101142E-3</v>
      </c>
      <c r="M269" s="30">
        <f t="shared" si="23"/>
        <v>1.2210040012710088E-3</v>
      </c>
      <c r="N269" s="30">
        <f t="shared" si="23"/>
        <v>-7.7786854261261418E-3</v>
      </c>
      <c r="O269" s="30">
        <f t="shared" si="23"/>
        <v>-2.2546943747715487E-3</v>
      </c>
      <c r="P269" s="30">
        <f t="shared" si="23"/>
        <v>3.2230437576741267E-4</v>
      </c>
      <c r="Q269" s="30">
        <f t="shared" si="23"/>
        <v>2.7545562068149732E-3</v>
      </c>
      <c r="R269" s="30">
        <f t="shared" si="22"/>
        <v>-5.8333955106337765E-3</v>
      </c>
      <c r="S269" s="30">
        <f t="shared" si="22"/>
        <v>-5.0200407988012508E-3</v>
      </c>
      <c r="T269" s="30">
        <f t="shared" si="22"/>
        <v>-5.3598545133359821E-3</v>
      </c>
      <c r="U269" s="63">
        <f t="shared" si="24"/>
        <v>-2.3116260988738828E-3</v>
      </c>
    </row>
    <row r="270" spans="1:21">
      <c r="A270" s="28">
        <v>43719</v>
      </c>
      <c r="B270" s="29">
        <v>1494.400024</v>
      </c>
      <c r="C270" s="29">
        <v>18.03100014</v>
      </c>
      <c r="D270" s="29">
        <v>55.75</v>
      </c>
      <c r="E270" s="29">
        <v>7887.580078</v>
      </c>
      <c r="F270" s="29">
        <v>3000.929932</v>
      </c>
      <c r="G270" s="29">
        <v>27137.039059999999</v>
      </c>
      <c r="H270" s="29">
        <v>10.90278339</v>
      </c>
      <c r="I270" s="29">
        <v>8.8564567570000001</v>
      </c>
      <c r="J270" s="29">
        <v>11.59667206</v>
      </c>
      <c r="L270" s="30">
        <f t="shared" si="23"/>
        <v>2.751107069177916E-3</v>
      </c>
      <c r="M270" s="30">
        <f t="shared" si="23"/>
        <v>-5.5430573665016247E-4</v>
      </c>
      <c r="N270" s="30">
        <f t="shared" si="23"/>
        <v>-2.8745670488138031E-2</v>
      </c>
      <c r="O270" s="30">
        <f t="shared" si="23"/>
        <v>9.320827285223432E-3</v>
      </c>
      <c r="P270" s="30">
        <f t="shared" si="23"/>
        <v>7.2296811674792405E-3</v>
      </c>
      <c r="Q270" s="30">
        <f t="shared" si="23"/>
        <v>8.4583498283719027E-3</v>
      </c>
      <c r="R270" s="30">
        <f t="shared" si="22"/>
        <v>0</v>
      </c>
      <c r="S270" s="30">
        <f t="shared" si="22"/>
        <v>-1.0092458132542337E-3</v>
      </c>
      <c r="T270" s="30">
        <f t="shared" si="22"/>
        <v>0</v>
      </c>
      <c r="U270" s="63">
        <f t="shared" si="24"/>
        <v>1.3186705593748605E-3</v>
      </c>
    </row>
    <row r="271" spans="1:21">
      <c r="A271" s="28">
        <v>43720</v>
      </c>
      <c r="B271" s="29">
        <v>1498.6999510000001</v>
      </c>
      <c r="C271" s="29">
        <v>18.041000369999999</v>
      </c>
      <c r="D271" s="29">
        <v>55.090000150000002</v>
      </c>
      <c r="E271" s="29">
        <v>7917.3398440000001</v>
      </c>
      <c r="F271" s="29">
        <v>3009.570068</v>
      </c>
      <c r="G271" s="29">
        <v>27182.449219999999</v>
      </c>
      <c r="H271" s="29">
        <v>10.88450527</v>
      </c>
      <c r="I271" s="29">
        <v>8.8296184540000002</v>
      </c>
      <c r="J271" s="29">
        <v>11.57881641</v>
      </c>
      <c r="L271" s="30">
        <f t="shared" si="23"/>
        <v>2.8773600983293957E-3</v>
      </c>
      <c r="M271" s="30">
        <f t="shared" si="23"/>
        <v>5.546131619074135E-4</v>
      </c>
      <c r="N271" s="30">
        <f t="shared" si="23"/>
        <v>-1.1838562331838554E-2</v>
      </c>
      <c r="O271" s="30">
        <f t="shared" si="23"/>
        <v>3.772990664526521E-3</v>
      </c>
      <c r="P271" s="30">
        <f t="shared" si="23"/>
        <v>2.8791528612071016E-3</v>
      </c>
      <c r="Q271" s="30">
        <f t="shared" si="23"/>
        <v>1.6733645811393139E-3</v>
      </c>
      <c r="R271" s="30">
        <f t="shared" si="22"/>
        <v>-1.676463646591797E-3</v>
      </c>
      <c r="S271" s="30">
        <f t="shared" si="22"/>
        <v>-3.0303657248467175E-3</v>
      </c>
      <c r="T271" s="30">
        <f t="shared" si="22"/>
        <v>-1.5397219053548961E-3</v>
      </c>
      <c r="U271" s="63">
        <f t="shared" si="24"/>
        <v>1.2618752993944805E-4</v>
      </c>
    </row>
    <row r="272" spans="1:21">
      <c r="A272" s="28">
        <v>43721</v>
      </c>
      <c r="B272" s="29">
        <v>1490.900024</v>
      </c>
      <c r="C272" s="29">
        <v>17.43600082</v>
      </c>
      <c r="D272" s="29">
        <v>54.849998470000003</v>
      </c>
      <c r="E272" s="29">
        <v>7892.9501950000003</v>
      </c>
      <c r="F272" s="29">
        <v>3007.389893</v>
      </c>
      <c r="G272" s="29">
        <v>27219.519530000001</v>
      </c>
      <c r="H272" s="29">
        <v>10.820532800000001</v>
      </c>
      <c r="I272" s="29">
        <v>8.7848920820000007</v>
      </c>
      <c r="J272" s="29">
        <v>11.50739956</v>
      </c>
      <c r="L272" s="30">
        <f t="shared" si="23"/>
        <v>-5.2044620371112238E-3</v>
      </c>
      <c r="M272" s="30">
        <f t="shared" si="23"/>
        <v>-3.3534700825461949E-2</v>
      </c>
      <c r="N272" s="30">
        <f t="shared" si="23"/>
        <v>-4.3565380168182344E-3</v>
      </c>
      <c r="O272" s="30">
        <f t="shared" si="23"/>
        <v>-3.0805358214455181E-3</v>
      </c>
      <c r="P272" s="30">
        <f t="shared" si="23"/>
        <v>-7.2441410259271866E-4</v>
      </c>
      <c r="Q272" s="30">
        <f t="shared" si="23"/>
        <v>1.3637590086152951E-3</v>
      </c>
      <c r="R272" s="30">
        <f t="shared" si="22"/>
        <v>-5.8773888581157285E-3</v>
      </c>
      <c r="S272" s="30">
        <f t="shared" si="22"/>
        <v>-5.065493173120883E-3</v>
      </c>
      <c r="T272" s="30">
        <f t="shared" si="22"/>
        <v>-6.1678886227370944E-3</v>
      </c>
      <c r="U272" s="63">
        <f t="shared" si="24"/>
        <v>-7.7155477130428519E-3</v>
      </c>
    </row>
    <row r="273" spans="1:21">
      <c r="A273" s="28">
        <v>43724</v>
      </c>
      <c r="B273" s="29">
        <v>1503.099976</v>
      </c>
      <c r="C273" s="29">
        <v>17.900999070000001</v>
      </c>
      <c r="D273" s="29">
        <v>62.900001529999997</v>
      </c>
      <c r="E273" s="29">
        <v>7852.4101559999999</v>
      </c>
      <c r="F273" s="29">
        <v>2997.959961</v>
      </c>
      <c r="G273" s="29">
        <v>27076.820309999999</v>
      </c>
      <c r="H273" s="29">
        <v>10.85708904</v>
      </c>
      <c r="I273" s="29">
        <v>8.8117284770000008</v>
      </c>
      <c r="J273" s="29">
        <v>11.55203438</v>
      </c>
      <c r="L273" s="30">
        <f t="shared" si="23"/>
        <v>8.1829443984233752E-3</v>
      </c>
      <c r="M273" s="30">
        <f t="shared" si="23"/>
        <v>2.6668859149548974E-2</v>
      </c>
      <c r="N273" s="30">
        <f t="shared" si="23"/>
        <v>0.1467639614320666</v>
      </c>
      <c r="O273" s="30">
        <f t="shared" si="23"/>
        <v>-5.1362339807593527E-3</v>
      </c>
      <c r="P273" s="30">
        <f t="shared" si="23"/>
        <v>-3.1355867830603623E-3</v>
      </c>
      <c r="Q273" s="30">
        <f t="shared" si="23"/>
        <v>-5.2425326553882101E-3</v>
      </c>
      <c r="R273" s="30">
        <f t="shared" si="22"/>
        <v>3.3784140463026802E-3</v>
      </c>
      <c r="S273" s="30">
        <f t="shared" si="22"/>
        <v>3.0548349085570692E-3</v>
      </c>
      <c r="T273" s="30">
        <f t="shared" si="22"/>
        <v>3.8787929251324904E-3</v>
      </c>
      <c r="U273" s="63">
        <f t="shared" si="24"/>
        <v>1.4801747128137232E-2</v>
      </c>
    </row>
    <row r="274" spans="1:21">
      <c r="A274" s="28">
        <v>43725</v>
      </c>
      <c r="B274" s="29">
        <v>1505.099976</v>
      </c>
      <c r="C274" s="29">
        <v>18.01600075</v>
      </c>
      <c r="D274" s="29">
        <v>59.340000150000002</v>
      </c>
      <c r="E274" s="29">
        <v>7888.7900390000004</v>
      </c>
      <c r="F274" s="29">
        <v>3005.6999510000001</v>
      </c>
      <c r="G274" s="29">
        <v>27110.800780000001</v>
      </c>
      <c r="H274" s="29">
        <v>10.86622715</v>
      </c>
      <c r="I274" s="29">
        <v>8.820668221</v>
      </c>
      <c r="J274" s="29">
        <v>11.560960769999999</v>
      </c>
      <c r="L274" s="30">
        <f t="shared" si="23"/>
        <v>1.3305834820929174E-3</v>
      </c>
      <c r="M274" s="30">
        <f t="shared" si="23"/>
        <v>6.4243162937609455E-3</v>
      </c>
      <c r="N274" s="30">
        <f t="shared" si="23"/>
        <v>-5.6597794807716539E-2</v>
      </c>
      <c r="O274" s="30">
        <f t="shared" si="23"/>
        <v>4.632957560450679E-3</v>
      </c>
      <c r="P274" s="30">
        <f t="shared" si="23"/>
        <v>2.5817522917879199E-3</v>
      </c>
      <c r="Q274" s="30">
        <f t="shared" si="23"/>
        <v>1.254965302829536E-3</v>
      </c>
      <c r="R274" s="30">
        <f t="shared" si="22"/>
        <v>8.416721983519615E-4</v>
      </c>
      <c r="S274" s="30">
        <f t="shared" si="22"/>
        <v>1.0145278560651505E-3</v>
      </c>
      <c r="T274" s="30">
        <f t="shared" si="22"/>
        <v>7.7271151611646438E-4</v>
      </c>
      <c r="U274" s="63">
        <f t="shared" si="24"/>
        <v>-1.6312358102990533E-3</v>
      </c>
    </row>
    <row r="275" spans="1:21">
      <c r="A275" s="28">
        <v>43726</v>
      </c>
      <c r="B275" s="29">
        <v>1507.5</v>
      </c>
      <c r="C275" s="29">
        <v>17.795000080000001</v>
      </c>
      <c r="D275" s="29">
        <v>58.11000061</v>
      </c>
      <c r="E275" s="29">
        <v>7888.5600590000004</v>
      </c>
      <c r="F275" s="29">
        <v>3006.7299800000001</v>
      </c>
      <c r="G275" s="29">
        <v>27147.08008</v>
      </c>
      <c r="H275" s="29">
        <v>10.88450527</v>
      </c>
      <c r="I275" s="29">
        <v>8.8296184540000002</v>
      </c>
      <c r="J275" s="29">
        <v>11.569888110000001</v>
      </c>
      <c r="L275" s="30">
        <f t="shared" si="23"/>
        <v>1.59459440453813E-3</v>
      </c>
      <c r="M275" s="30">
        <f t="shared" si="23"/>
        <v>-1.2266910568373479E-2</v>
      </c>
      <c r="N275" s="30">
        <f t="shared" si="23"/>
        <v>-2.0728000284644499E-2</v>
      </c>
      <c r="O275" s="30">
        <f t="shared" si="23"/>
        <v>-2.9152759658090943E-5</v>
      </c>
      <c r="P275" s="30">
        <f t="shared" si="23"/>
        <v>3.4269189100433195E-4</v>
      </c>
      <c r="Q275" s="30">
        <f t="shared" si="23"/>
        <v>1.3381862193742045E-3</v>
      </c>
      <c r="R275" s="30">
        <f t="shared" si="22"/>
        <v>1.6821036177216975E-3</v>
      </c>
      <c r="S275" s="30">
        <f t="shared" si="22"/>
        <v>1.0146887713893271E-3</v>
      </c>
      <c r="T275" s="30">
        <f t="shared" si="22"/>
        <v>7.7219706714748426E-4</v>
      </c>
      <c r="U275" s="63">
        <f t="shared" si="24"/>
        <v>-2.9346648365251864E-3</v>
      </c>
    </row>
    <row r="276" spans="1:21">
      <c r="A276" s="28">
        <v>43727</v>
      </c>
      <c r="B276" s="29">
        <v>1498.400024</v>
      </c>
      <c r="C276" s="29">
        <v>17.773000719999999</v>
      </c>
      <c r="D276" s="29">
        <v>58.130001069999999</v>
      </c>
      <c r="E276" s="29">
        <v>7901.7900390000004</v>
      </c>
      <c r="F276" s="29">
        <v>3006.790039</v>
      </c>
      <c r="G276" s="29">
        <v>27094.789059999999</v>
      </c>
      <c r="H276" s="29">
        <v>10.88450527</v>
      </c>
      <c r="I276" s="29">
        <v>8.8475151059999995</v>
      </c>
      <c r="J276" s="29">
        <v>11.57881641</v>
      </c>
      <c r="L276" s="30">
        <f t="shared" si="23"/>
        <v>-6.0364683250414553E-3</v>
      </c>
      <c r="M276" s="30">
        <f t="shared" si="23"/>
        <v>-1.2362663613992853E-3</v>
      </c>
      <c r="N276" s="30">
        <f t="shared" si="23"/>
        <v>3.4418275322734004E-4</v>
      </c>
      <c r="O276" s="30">
        <f t="shared" si="23"/>
        <v>1.6771096247034656E-3</v>
      </c>
      <c r="P276" s="30">
        <f t="shared" si="23"/>
        <v>1.9974856538373942E-5</v>
      </c>
      <c r="Q276" s="30">
        <f t="shared" si="23"/>
        <v>-1.9262115795106727E-3</v>
      </c>
      <c r="R276" s="30">
        <f t="shared" si="22"/>
        <v>0</v>
      </c>
      <c r="S276" s="30">
        <f t="shared" si="22"/>
        <v>2.0268884882439497E-3</v>
      </c>
      <c r="T276" s="30">
        <f t="shared" si="22"/>
        <v>7.716842129426027E-4</v>
      </c>
      <c r="U276" s="63">
        <f t="shared" si="24"/>
        <v>-1.404895192366454E-5</v>
      </c>
    </row>
    <row r="277" spans="1:21">
      <c r="A277" s="28">
        <v>43728</v>
      </c>
      <c r="B277" s="29">
        <v>1507.3000489999999</v>
      </c>
      <c r="C277" s="29">
        <v>17.73800087</v>
      </c>
      <c r="D277" s="29">
        <v>58.090000150000002</v>
      </c>
      <c r="E277" s="29">
        <v>7823.5498049999997</v>
      </c>
      <c r="F277" s="29">
        <v>2992.070068</v>
      </c>
      <c r="G277" s="29">
        <v>26935.070309999999</v>
      </c>
      <c r="H277" s="29">
        <v>10.93020153</v>
      </c>
      <c r="I277" s="29">
        <v>8.8564567570000001</v>
      </c>
      <c r="J277" s="29">
        <v>11.632380489999999</v>
      </c>
      <c r="L277" s="30">
        <f t="shared" si="23"/>
        <v>5.9396855695725836E-3</v>
      </c>
      <c r="M277" s="30">
        <f t="shared" si="23"/>
        <v>-1.9692707242515706E-3</v>
      </c>
      <c r="N277" s="30">
        <f t="shared" si="23"/>
        <v>-6.8812866443657139E-4</v>
      </c>
      <c r="O277" s="30">
        <f t="shared" si="23"/>
        <v>-9.9015835163727139E-3</v>
      </c>
      <c r="P277" s="30">
        <f t="shared" si="23"/>
        <v>-4.8955766146197011E-3</v>
      </c>
      <c r="Q277" s="30">
        <f t="shared" si="23"/>
        <v>-5.8948142997647945E-3</v>
      </c>
      <c r="R277" s="30">
        <f t="shared" si="22"/>
        <v>4.1982854403082026E-3</v>
      </c>
      <c r="S277" s="30">
        <f t="shared" si="22"/>
        <v>1.0106398116163096E-3</v>
      </c>
      <c r="T277" s="30">
        <f t="shared" si="22"/>
        <v>4.6260410480072345E-3</v>
      </c>
      <c r="U277" s="63">
        <f t="shared" si="24"/>
        <v>-2.1020756820698825E-3</v>
      </c>
    </row>
    <row r="278" spans="1:21">
      <c r="A278" s="28">
        <v>43731</v>
      </c>
      <c r="B278" s="29">
        <v>1523.6999510000001</v>
      </c>
      <c r="C278" s="29">
        <v>18.600000380000001</v>
      </c>
      <c r="D278" s="29">
        <v>58.63999939</v>
      </c>
      <c r="E278" s="29">
        <v>7818.6098629999997</v>
      </c>
      <c r="F278" s="29">
        <v>2991.780029</v>
      </c>
      <c r="G278" s="29">
        <v>26949.990229999999</v>
      </c>
      <c r="H278" s="29">
        <v>10.93020153</v>
      </c>
      <c r="I278" s="29">
        <v>8.8743486399999991</v>
      </c>
      <c r="J278" s="29">
        <v>11.641308779999999</v>
      </c>
      <c r="L278" s="30">
        <f t="shared" si="23"/>
        <v>1.0880316769630749E-2</v>
      </c>
      <c r="M278" s="30">
        <f t="shared" si="23"/>
        <v>4.859620406592069E-2</v>
      </c>
      <c r="N278" s="30">
        <f t="shared" si="23"/>
        <v>9.4680536853122277E-3</v>
      </c>
      <c r="O278" s="30">
        <f t="shared" si="23"/>
        <v>-6.3141951200240687E-4</v>
      </c>
      <c r="P278" s="30">
        <f t="shared" si="23"/>
        <v>-9.6935898360794859E-5</v>
      </c>
      <c r="Q278" s="30">
        <f t="shared" si="23"/>
        <v>5.5392170238599547E-4</v>
      </c>
      <c r="R278" s="30">
        <f t="shared" si="22"/>
        <v>0</v>
      </c>
      <c r="S278" s="30">
        <f t="shared" si="22"/>
        <v>2.0202077976452237E-3</v>
      </c>
      <c r="T278" s="30">
        <f t="shared" si="22"/>
        <v>7.6753765127235418E-4</v>
      </c>
      <c r="U278" s="63">
        <f t="shared" si="24"/>
        <v>8.9297964831509917E-3</v>
      </c>
    </row>
    <row r="279" spans="1:21">
      <c r="A279" s="28">
        <v>43732</v>
      </c>
      <c r="B279" s="29">
        <v>1532.099976</v>
      </c>
      <c r="C279" s="29">
        <v>18.517000199999998</v>
      </c>
      <c r="D279" s="29">
        <v>57.290000919999997</v>
      </c>
      <c r="E279" s="29">
        <v>7710.0400390000004</v>
      </c>
      <c r="F279" s="29">
        <v>2966.6000979999999</v>
      </c>
      <c r="G279" s="29">
        <v>26807.769530000001</v>
      </c>
      <c r="H279" s="29">
        <v>10.966756820000001</v>
      </c>
      <c r="I279" s="29">
        <v>8.9011878969999998</v>
      </c>
      <c r="J279" s="29">
        <v>11.677017210000001</v>
      </c>
      <c r="L279" s="30">
        <f t="shared" si="23"/>
        <v>5.5129128241337977E-3</v>
      </c>
      <c r="M279" s="30">
        <f t="shared" si="23"/>
        <v>-4.4623751776505793E-3</v>
      </c>
      <c r="N279" s="30">
        <f t="shared" si="23"/>
        <v>-2.3021802251761647E-2</v>
      </c>
      <c r="O279" s="30">
        <f t="shared" si="23"/>
        <v>-1.3886077691864895E-2</v>
      </c>
      <c r="P279" s="30">
        <f t="shared" si="23"/>
        <v>-8.4163711088132143E-3</v>
      </c>
      <c r="Q279" s="30">
        <f t="shared" si="23"/>
        <v>-5.2772078500303854E-3</v>
      </c>
      <c r="R279" s="30">
        <f t="shared" si="22"/>
        <v>3.3444296429181453E-3</v>
      </c>
      <c r="S279" s="30">
        <f t="shared" si="22"/>
        <v>3.0243635999409602E-3</v>
      </c>
      <c r="T279" s="30">
        <f t="shared" si="22"/>
        <v>3.067389644483054E-3</v>
      </c>
      <c r="U279" s="63">
        <f t="shared" si="24"/>
        <v>-5.6698587034606299E-3</v>
      </c>
    </row>
    <row r="280" spans="1:21">
      <c r="A280" s="28">
        <v>43733</v>
      </c>
      <c r="B280" s="29">
        <v>1504.599976</v>
      </c>
      <c r="C280" s="29">
        <v>17.961999890000001</v>
      </c>
      <c r="D280" s="29">
        <v>56.490001679999999</v>
      </c>
      <c r="E280" s="29">
        <v>7803.5400390000004</v>
      </c>
      <c r="F280" s="29">
        <v>2984.8701169999999</v>
      </c>
      <c r="G280" s="29">
        <v>26970.710940000001</v>
      </c>
      <c r="H280" s="29">
        <v>10.91192245</v>
      </c>
      <c r="I280" s="29">
        <v>8.8564567570000001</v>
      </c>
      <c r="J280" s="29">
        <v>11.61452484</v>
      </c>
      <c r="L280" s="30">
        <f t="shared" si="23"/>
        <v>-1.7949220305973013E-2</v>
      </c>
      <c r="M280" s="30">
        <f t="shared" si="23"/>
        <v>-2.9972474159178142E-2</v>
      </c>
      <c r="N280" s="30">
        <f t="shared" si="23"/>
        <v>-1.3964029100245967E-2</v>
      </c>
      <c r="O280" s="30">
        <f t="shared" si="23"/>
        <v>1.2127044675130705E-2</v>
      </c>
      <c r="P280" s="30">
        <f t="shared" si="23"/>
        <v>6.1585715622125559E-3</v>
      </c>
      <c r="Q280" s="30">
        <f t="shared" si="23"/>
        <v>6.0781412574311133E-3</v>
      </c>
      <c r="R280" s="30">
        <f t="shared" si="22"/>
        <v>-5.0000534250926876E-3</v>
      </c>
      <c r="S280" s="30">
        <f t="shared" si="22"/>
        <v>-5.0253000518138968E-3</v>
      </c>
      <c r="T280" s="30">
        <f t="shared" si="22"/>
        <v>-5.3517408492370633E-3</v>
      </c>
      <c r="U280" s="63">
        <f t="shared" si="24"/>
        <v>-4.4700039389683711E-3</v>
      </c>
    </row>
    <row r="281" spans="1:21">
      <c r="A281" s="28">
        <v>43734</v>
      </c>
      <c r="B281" s="29">
        <v>1507.5</v>
      </c>
      <c r="C281" s="29">
        <v>17.801000599999998</v>
      </c>
      <c r="D281" s="29">
        <v>56.409999849999998</v>
      </c>
      <c r="E281" s="29">
        <v>7771.9902339999999</v>
      </c>
      <c r="F281" s="29">
        <v>2977.6201169999999</v>
      </c>
      <c r="G281" s="29">
        <v>26891.119139999999</v>
      </c>
      <c r="H281" s="29">
        <v>10.93020153</v>
      </c>
      <c r="I281" s="29">
        <v>8.8743486399999991</v>
      </c>
      <c r="J281" s="29">
        <v>11.641308779999999</v>
      </c>
      <c r="L281" s="30">
        <f t="shared" si="23"/>
        <v>1.9274385526111271E-3</v>
      </c>
      <c r="M281" s="30">
        <f t="shared" si="23"/>
        <v>-8.9633276353395797E-3</v>
      </c>
      <c r="N281" s="30">
        <f t="shared" si="23"/>
        <v>-1.4162122078379413E-3</v>
      </c>
      <c r="O281" s="30">
        <f t="shared" si="23"/>
        <v>-4.0430118692700301E-3</v>
      </c>
      <c r="P281" s="30">
        <f t="shared" si="23"/>
        <v>-2.4289164070183666E-3</v>
      </c>
      <c r="Q281" s="30">
        <f t="shared" si="23"/>
        <v>-2.9510456797769979E-3</v>
      </c>
      <c r="R281" s="30">
        <f t="shared" si="22"/>
        <v>1.6751475355287759E-3</v>
      </c>
      <c r="S281" s="30">
        <f t="shared" si="22"/>
        <v>2.0202077976452237E-3</v>
      </c>
      <c r="T281" s="30">
        <f t="shared" si="22"/>
        <v>2.3060728156314436E-3</v>
      </c>
      <c r="U281" s="63">
        <f t="shared" si="24"/>
        <v>-2.1129520411699073E-3</v>
      </c>
    </row>
    <row r="282" spans="1:21">
      <c r="A282" s="28">
        <v>43735</v>
      </c>
      <c r="B282" s="29">
        <v>1499.099976</v>
      </c>
      <c r="C282" s="29">
        <v>17.55200005</v>
      </c>
      <c r="D282" s="29">
        <v>55.909999849999998</v>
      </c>
      <c r="E282" s="29">
        <v>7681.580078</v>
      </c>
      <c r="F282" s="29">
        <v>2961.790039</v>
      </c>
      <c r="G282" s="29">
        <v>26820.25</v>
      </c>
      <c r="H282" s="29">
        <v>10.939338680000001</v>
      </c>
      <c r="I282" s="29">
        <v>8.8832941059999992</v>
      </c>
      <c r="J282" s="29">
        <v>11.650233269999999</v>
      </c>
      <c r="L282" s="30">
        <f t="shared" si="23"/>
        <v>-5.5721552238806593E-3</v>
      </c>
      <c r="M282" s="30">
        <f t="shared" si="23"/>
        <v>-1.3988008629132853E-2</v>
      </c>
      <c r="N282" s="30">
        <f t="shared" si="23"/>
        <v>-8.8636766766451158E-3</v>
      </c>
      <c r="O282" s="30">
        <f t="shared" si="23"/>
        <v>-1.1632819043503662E-2</v>
      </c>
      <c r="P282" s="30">
        <f t="shared" si="23"/>
        <v>-5.3163524485954072E-3</v>
      </c>
      <c r="Q282" s="30">
        <f t="shared" si="23"/>
        <v>-2.6354105841055464E-3</v>
      </c>
      <c r="R282" s="30">
        <f t="shared" si="22"/>
        <v>8.3595439433770125E-4</v>
      </c>
      <c r="S282" s="30">
        <f t="shared" si="22"/>
        <v>1.0080138118171433E-3</v>
      </c>
      <c r="T282" s="30">
        <f t="shared" si="22"/>
        <v>7.6662256526804917E-4</v>
      </c>
      <c r="U282" s="63">
        <f t="shared" si="24"/>
        <v>-5.9327983426448695E-3</v>
      </c>
    </row>
    <row r="283" spans="1:21">
      <c r="A283" s="28">
        <v>43738</v>
      </c>
      <c r="B283" s="29">
        <v>1465.6999510000001</v>
      </c>
      <c r="C283" s="29">
        <v>16.898000719999999</v>
      </c>
      <c r="D283" s="29">
        <v>54.069999690000003</v>
      </c>
      <c r="E283" s="29">
        <v>7749.4501950000003</v>
      </c>
      <c r="F283" s="29">
        <v>2976.73999</v>
      </c>
      <c r="G283" s="29">
        <v>26916.83008</v>
      </c>
      <c r="H283" s="29">
        <v>10.972312929999999</v>
      </c>
      <c r="I283" s="29">
        <v>8.9012250900000005</v>
      </c>
      <c r="J283" s="29">
        <v>11.65738964</v>
      </c>
      <c r="L283" s="30">
        <f t="shared" si="23"/>
        <v>-2.2280051720846572E-2</v>
      </c>
      <c r="M283" s="30">
        <f t="shared" si="23"/>
        <v>-3.7260672751650348E-2</v>
      </c>
      <c r="N283" s="30">
        <f t="shared" si="23"/>
        <v>-3.291003693322303E-2</v>
      </c>
      <c r="O283" s="30">
        <f t="shared" si="23"/>
        <v>8.8354370208780786E-3</v>
      </c>
      <c r="P283" s="30">
        <f t="shared" si="23"/>
        <v>5.0476066173306133E-3</v>
      </c>
      <c r="Q283" s="30">
        <f t="shared" si="23"/>
        <v>3.6010134133723781E-3</v>
      </c>
      <c r="R283" s="30">
        <f t="shared" si="22"/>
        <v>3.0142818468801291E-3</v>
      </c>
      <c r="S283" s="30">
        <f t="shared" si="22"/>
        <v>2.0185061741782029E-3</v>
      </c>
      <c r="T283" s="30">
        <f t="shared" si="22"/>
        <v>6.1426838709133236E-4</v>
      </c>
      <c r="U283" s="63">
        <f t="shared" si="24"/>
        <v>-6.2605740298094384E-3</v>
      </c>
    </row>
    <row r="284" spans="1:21">
      <c r="A284" s="28">
        <v>43739</v>
      </c>
      <c r="B284" s="29">
        <v>1482</v>
      </c>
      <c r="C284" s="29">
        <v>17.201999659999998</v>
      </c>
      <c r="D284" s="29">
        <v>53.619998930000001</v>
      </c>
      <c r="E284" s="29">
        <v>7684.1401370000003</v>
      </c>
      <c r="F284" s="29">
        <v>2940.25</v>
      </c>
      <c r="G284" s="29">
        <v>26573.039059999999</v>
      </c>
      <c r="H284" s="29">
        <v>10.99978924</v>
      </c>
      <c r="I284" s="29">
        <v>8.9191493990000001</v>
      </c>
      <c r="J284" s="29">
        <v>11.684231759999999</v>
      </c>
      <c r="L284" s="30">
        <f t="shared" si="23"/>
        <v>1.1120999894199901E-2</v>
      </c>
      <c r="M284" s="30">
        <f t="shared" si="23"/>
        <v>1.7990231213577568E-2</v>
      </c>
      <c r="N284" s="30">
        <f t="shared" si="23"/>
        <v>-8.3225589528388433E-3</v>
      </c>
      <c r="O284" s="30">
        <f t="shared" si="23"/>
        <v>-8.4277021410033015E-3</v>
      </c>
      <c r="P284" s="30">
        <f t="shared" si="23"/>
        <v>-1.2258373295142899E-2</v>
      </c>
      <c r="Q284" s="30">
        <f t="shared" si="23"/>
        <v>-1.2772344253696E-2</v>
      </c>
      <c r="R284" s="30">
        <f t="shared" si="22"/>
        <v>2.5041493234190249E-3</v>
      </c>
      <c r="S284" s="30">
        <f t="shared" si="22"/>
        <v>2.0136901177947308E-3</v>
      </c>
      <c r="T284" s="30">
        <f t="shared" si="22"/>
        <v>2.302584097206184E-3</v>
      </c>
      <c r="U284" s="63">
        <f t="shared" si="24"/>
        <v>-1.8551065522350227E-3</v>
      </c>
    </row>
    <row r="285" spans="1:21">
      <c r="A285" s="28">
        <v>43740</v>
      </c>
      <c r="B285" s="29">
        <v>1501</v>
      </c>
      <c r="C285" s="29">
        <v>17.591999049999998</v>
      </c>
      <c r="D285" s="29">
        <v>52.63999939</v>
      </c>
      <c r="E285" s="29">
        <v>7550.7900390000004</v>
      </c>
      <c r="F285" s="29">
        <v>2887.610107</v>
      </c>
      <c r="G285" s="29">
        <v>26078.619139999999</v>
      </c>
      <c r="H285" s="29">
        <v>11.00894737</v>
      </c>
      <c r="I285" s="29">
        <v>8.9281129840000002</v>
      </c>
      <c r="J285" s="29">
        <v>11.693177220000001</v>
      </c>
      <c r="L285" s="30">
        <f t="shared" si="23"/>
        <v>1.2820512820512775E-2</v>
      </c>
      <c r="M285" s="30">
        <f t="shared" si="23"/>
        <v>2.267174733800692E-2</v>
      </c>
      <c r="N285" s="30">
        <f t="shared" si="23"/>
        <v>-1.8276754187917299E-2</v>
      </c>
      <c r="O285" s="30">
        <f t="shared" si="23"/>
        <v>-1.7353938843190031E-2</v>
      </c>
      <c r="P285" s="30">
        <f t="shared" si="23"/>
        <v>-1.7903203128985634E-2</v>
      </c>
      <c r="Q285" s="30">
        <f t="shared" si="23"/>
        <v>-1.8606073580204163E-2</v>
      </c>
      <c r="R285" s="30">
        <f t="shared" si="22"/>
        <v>8.3257322483021312E-4</v>
      </c>
      <c r="S285" s="30">
        <f t="shared" si="22"/>
        <v>1.0049820447008972E-3</v>
      </c>
      <c r="T285" s="30">
        <f t="shared" si="22"/>
        <v>7.656010411078995E-4</v>
      </c>
      <c r="U285" s="63">
        <f t="shared" si="24"/>
        <v>-5.0922074341425679E-3</v>
      </c>
    </row>
    <row r="286" spans="1:21">
      <c r="A286" s="28">
        <v>43741</v>
      </c>
      <c r="B286" s="29">
        <v>1507.099976</v>
      </c>
      <c r="C286" s="29">
        <v>17.584999079999999</v>
      </c>
      <c r="D286" s="29">
        <v>52.450000760000002</v>
      </c>
      <c r="E286" s="29">
        <v>7638.3901370000003</v>
      </c>
      <c r="F286" s="29">
        <v>2910.6298830000001</v>
      </c>
      <c r="G286" s="29">
        <v>26201.039059999999</v>
      </c>
      <c r="H286" s="29">
        <v>11.045580859999999</v>
      </c>
      <c r="I286" s="29">
        <v>8.9550046919999993</v>
      </c>
      <c r="J286" s="29">
        <v>11.728965759999999</v>
      </c>
      <c r="L286" s="30">
        <f t="shared" si="23"/>
        <v>4.0639413724183893E-3</v>
      </c>
      <c r="M286" s="30">
        <f t="shared" si="23"/>
        <v>-3.9790645623072329E-4</v>
      </c>
      <c r="N286" s="30">
        <f t="shared" si="23"/>
        <v>-3.609396508391538E-3</v>
      </c>
      <c r="O286" s="30">
        <f t="shared" si="23"/>
        <v>1.1601448000479797E-2</v>
      </c>
      <c r="P286" s="30">
        <f t="shared" si="23"/>
        <v>7.9719128092108349E-3</v>
      </c>
      <c r="Q286" s="30">
        <f t="shared" si="23"/>
        <v>4.6942638850164808E-3</v>
      </c>
      <c r="R286" s="30">
        <f t="shared" si="22"/>
        <v>3.3276106033377495E-3</v>
      </c>
      <c r="S286" s="30">
        <f t="shared" si="22"/>
        <v>3.0120259508579217E-3</v>
      </c>
      <c r="T286" s="30">
        <f t="shared" si="22"/>
        <v>3.0606343619581367E-3</v>
      </c>
      <c r="U286" s="63">
        <f t="shared" si="24"/>
        <v>4.6505482433456171E-3</v>
      </c>
    </row>
    <row r="287" spans="1:21">
      <c r="A287" s="28">
        <v>43742</v>
      </c>
      <c r="B287" s="29">
        <v>1506.1999510000001</v>
      </c>
      <c r="C287" s="29">
        <v>17.540000920000001</v>
      </c>
      <c r="D287" s="29">
        <v>52.810001370000002</v>
      </c>
      <c r="E287" s="29">
        <v>7754.1000979999999</v>
      </c>
      <c r="F287" s="29">
        <v>2952.01001</v>
      </c>
      <c r="G287" s="29">
        <v>26573.720700000002</v>
      </c>
      <c r="H287" s="29">
        <v>11.054739</v>
      </c>
      <c r="I287" s="29">
        <v>8.9639720920000006</v>
      </c>
      <c r="J287" s="29">
        <v>11.74685764</v>
      </c>
      <c r="L287" s="30">
        <f t="shared" si="23"/>
        <v>-5.9718997699720333E-4</v>
      </c>
      <c r="M287" s="30">
        <f t="shared" si="23"/>
        <v>-2.5588946462429263E-3</v>
      </c>
      <c r="N287" s="30">
        <f t="shared" si="23"/>
        <v>6.8636912256165861E-3</v>
      </c>
      <c r="O287" s="30">
        <f t="shared" si="23"/>
        <v>1.5148474865077421E-2</v>
      </c>
      <c r="P287" s="30">
        <f t="shared" si="23"/>
        <v>1.4216897600648926E-2</v>
      </c>
      <c r="Q287" s="30">
        <f t="shared" si="23"/>
        <v>1.422392597280453E-2</v>
      </c>
      <c r="R287" s="30">
        <f t="shared" ref="R287:T318" si="25">(H287/H286)-1</f>
        <v>8.291225347112352E-4</v>
      </c>
      <c r="S287" s="30">
        <f t="shared" si="25"/>
        <v>1.0013841766058906E-3</v>
      </c>
      <c r="T287" s="30">
        <f t="shared" si="25"/>
        <v>1.5254439620770999E-3</v>
      </c>
      <c r="U287" s="63">
        <f t="shared" si="24"/>
        <v>6.9736813233258425E-3</v>
      </c>
    </row>
    <row r="288" spans="1:21">
      <c r="A288" s="28">
        <v>43745</v>
      </c>
      <c r="B288" s="29">
        <v>1497.6999510000001</v>
      </c>
      <c r="C288" s="29">
        <v>17.457000730000001</v>
      </c>
      <c r="D288" s="29">
        <v>52.75</v>
      </c>
      <c r="E288" s="29">
        <v>7725.1298829999996</v>
      </c>
      <c r="F288" s="29">
        <v>2938.790039</v>
      </c>
      <c r="G288" s="29">
        <v>26478.019530000001</v>
      </c>
      <c r="H288" s="29">
        <v>11.027262690000001</v>
      </c>
      <c r="I288" s="29">
        <v>8.946042061</v>
      </c>
      <c r="J288" s="29">
        <v>11.72001839</v>
      </c>
      <c r="L288" s="30">
        <f t="shared" ref="L288:T326" si="26">(B288/B287)-1</f>
        <v>-5.6433410413780916E-3</v>
      </c>
      <c r="M288" s="30">
        <f t="shared" si="26"/>
        <v>-4.7320516332105544E-3</v>
      </c>
      <c r="N288" s="30">
        <f t="shared" si="26"/>
        <v>-1.1361743693134585E-3</v>
      </c>
      <c r="O288" s="30">
        <f t="shared" si="26"/>
        <v>-3.7361156851034583E-3</v>
      </c>
      <c r="P288" s="30">
        <f t="shared" si="26"/>
        <v>-4.4782947738040146E-3</v>
      </c>
      <c r="Q288" s="30">
        <f t="shared" si="26"/>
        <v>-3.6013462728988754E-3</v>
      </c>
      <c r="R288" s="30">
        <f t="shared" si="25"/>
        <v>-2.4854779475118605E-3</v>
      </c>
      <c r="S288" s="30">
        <f t="shared" si="25"/>
        <v>-2.0002328003678738E-3</v>
      </c>
      <c r="T288" s="30">
        <f t="shared" si="25"/>
        <v>-2.2848025252819593E-3</v>
      </c>
      <c r="U288" s="63">
        <f t="shared" si="24"/>
        <v>-3.6144477078473461E-3</v>
      </c>
    </row>
    <row r="289" spans="1:21">
      <c r="A289" s="28">
        <v>43746</v>
      </c>
      <c r="B289" s="29">
        <v>1497.1999510000001</v>
      </c>
      <c r="C289" s="29">
        <v>17.617000579999999</v>
      </c>
      <c r="D289" s="29">
        <v>52.630001069999999</v>
      </c>
      <c r="E289" s="29">
        <v>7604.2700199999999</v>
      </c>
      <c r="F289" s="29">
        <v>2893.0600589999999</v>
      </c>
      <c r="G289" s="29">
        <v>26164.039059999999</v>
      </c>
      <c r="H289" s="29">
        <v>11.03642273</v>
      </c>
      <c r="I289" s="29">
        <v>8.9550046919999993</v>
      </c>
      <c r="J289" s="29">
        <v>11.728965759999999</v>
      </c>
      <c r="L289" s="30">
        <f t="shared" si="26"/>
        <v>-3.3384524027402218E-4</v>
      </c>
      <c r="M289" s="30">
        <f t="shared" si="26"/>
        <v>9.1653688096051678E-3</v>
      </c>
      <c r="N289" s="30">
        <f t="shared" si="26"/>
        <v>-2.2748612322275319E-3</v>
      </c>
      <c r="O289" s="30">
        <f t="shared" si="26"/>
        <v>-1.5645026663689499E-2</v>
      </c>
      <c r="P289" s="30">
        <f t="shared" si="26"/>
        <v>-1.5560819042234386E-2</v>
      </c>
      <c r="Q289" s="30">
        <f t="shared" si="26"/>
        <v>-1.185815538976609E-2</v>
      </c>
      <c r="R289" s="30">
        <f t="shared" si="25"/>
        <v>8.3067214933629785E-4</v>
      </c>
      <c r="S289" s="30">
        <f t="shared" si="25"/>
        <v>1.0018543327749985E-3</v>
      </c>
      <c r="T289" s="30">
        <f t="shared" si="25"/>
        <v>7.6342627650083372E-4</v>
      </c>
      <c r="U289" s="63">
        <f t="shared" si="24"/>
        <v>-5.5495773956525567E-3</v>
      </c>
    </row>
    <row r="290" spans="1:21">
      <c r="A290" s="28">
        <v>43747</v>
      </c>
      <c r="B290" s="29">
        <v>1506.099976</v>
      </c>
      <c r="C290" s="29">
        <v>17.728000640000001</v>
      </c>
      <c r="D290" s="29">
        <v>52.590000150000002</v>
      </c>
      <c r="E290" s="29">
        <v>7690.5297849999997</v>
      </c>
      <c r="F290" s="29">
        <v>2919.3999020000001</v>
      </c>
      <c r="G290" s="29">
        <v>26346.009770000001</v>
      </c>
      <c r="H290" s="29">
        <v>11.01810455</v>
      </c>
      <c r="I290" s="29">
        <v>8.9281129840000002</v>
      </c>
      <c r="J290" s="29">
        <v>11.71107101</v>
      </c>
      <c r="L290" s="30">
        <f t="shared" si="26"/>
        <v>5.94444649430792E-3</v>
      </c>
      <c r="M290" s="30">
        <f t="shared" si="26"/>
        <v>6.3007354456250386E-3</v>
      </c>
      <c r="N290" s="30">
        <f t="shared" si="26"/>
        <v>-7.6004026575626771E-4</v>
      </c>
      <c r="O290" s="30">
        <f t="shared" si="26"/>
        <v>1.1343595739384371E-2</v>
      </c>
      <c r="P290" s="30">
        <f t="shared" si="26"/>
        <v>9.1044922894218949E-3</v>
      </c>
      <c r="Q290" s="30">
        <f t="shared" si="26"/>
        <v>6.9549930567944784E-3</v>
      </c>
      <c r="R290" s="30">
        <f t="shared" si="25"/>
        <v>-1.6597932544034633E-3</v>
      </c>
      <c r="S290" s="30">
        <f t="shared" si="25"/>
        <v>-3.0029808944738168E-3</v>
      </c>
      <c r="T290" s="30">
        <f t="shared" si="25"/>
        <v>-1.5256886554334548E-3</v>
      </c>
      <c r="U290" s="63">
        <f t="shared" si="24"/>
        <v>4.9688648324717651E-3</v>
      </c>
    </row>
    <row r="291" spans="1:21">
      <c r="A291" s="28">
        <v>43748</v>
      </c>
      <c r="B291" s="29">
        <v>1494.8000489999999</v>
      </c>
      <c r="C291" s="29">
        <v>17.520000459999999</v>
      </c>
      <c r="D291" s="29">
        <v>53.549999239999998</v>
      </c>
      <c r="E291" s="29">
        <v>7740.3598629999997</v>
      </c>
      <c r="F291" s="29">
        <v>2938.1298830000001</v>
      </c>
      <c r="G291" s="29">
        <v>26496.66992</v>
      </c>
      <c r="H291" s="29">
        <v>10.972312929999999</v>
      </c>
      <c r="I291" s="29">
        <v>8.9012250900000005</v>
      </c>
      <c r="J291" s="29">
        <v>11.666337970000001</v>
      </c>
      <c r="L291" s="30">
        <f t="shared" si="26"/>
        <v>-7.5027735077793922E-3</v>
      </c>
      <c r="M291" s="30">
        <f t="shared" si="26"/>
        <v>-1.1732861715420317E-2</v>
      </c>
      <c r="N291" s="30">
        <f t="shared" si="26"/>
        <v>1.8254403636847938E-2</v>
      </c>
      <c r="O291" s="30">
        <f t="shared" si="26"/>
        <v>6.4794077122216631E-3</v>
      </c>
      <c r="P291" s="30">
        <f t="shared" si="26"/>
        <v>6.4156955637246771E-3</v>
      </c>
      <c r="Q291" s="30">
        <f t="shared" si="26"/>
        <v>5.7185187174551011E-3</v>
      </c>
      <c r="R291" s="30">
        <f t="shared" si="25"/>
        <v>-4.1560342609020529E-3</v>
      </c>
      <c r="S291" s="30">
        <f t="shared" si="25"/>
        <v>-3.0115987609234951E-3</v>
      </c>
      <c r="T291" s="30">
        <f t="shared" si="25"/>
        <v>-3.8197223773813738E-3</v>
      </c>
      <c r="U291" s="63">
        <f t="shared" si="24"/>
        <v>1.1781928484864861E-3</v>
      </c>
    </row>
    <row r="292" spans="1:21">
      <c r="A292" s="28">
        <v>43749</v>
      </c>
      <c r="B292" s="29">
        <v>1482.6999510000001</v>
      </c>
      <c r="C292" s="29">
        <v>17.461999890000001</v>
      </c>
      <c r="D292" s="29">
        <v>54.700000760000002</v>
      </c>
      <c r="E292" s="29">
        <v>7843.8798829999996</v>
      </c>
      <c r="F292" s="29">
        <v>2970.2700199999999</v>
      </c>
      <c r="G292" s="29">
        <v>26816.589840000001</v>
      </c>
      <c r="H292" s="29">
        <v>10.93567657</v>
      </c>
      <c r="I292" s="29">
        <v>8.8653707500000003</v>
      </c>
      <c r="J292" s="29">
        <v>11.63055325</v>
      </c>
      <c r="L292" s="30">
        <f t="shared" si="26"/>
        <v>-8.0947936870183756E-3</v>
      </c>
      <c r="M292" s="30">
        <f t="shared" si="26"/>
        <v>-3.3105347304309696E-3</v>
      </c>
      <c r="N292" s="30">
        <f t="shared" si="26"/>
        <v>2.1475285458846249E-2</v>
      </c>
      <c r="O292" s="30">
        <f t="shared" si="26"/>
        <v>1.3374057774088843E-2</v>
      </c>
      <c r="P292" s="30">
        <f t="shared" si="26"/>
        <v>1.0938977608158984E-2</v>
      </c>
      <c r="Q292" s="30">
        <f t="shared" si="26"/>
        <v>1.2073967067028235E-2</v>
      </c>
      <c r="R292" s="30">
        <f t="shared" si="25"/>
        <v>-3.3389824218219566E-3</v>
      </c>
      <c r="S292" s="30">
        <f t="shared" si="25"/>
        <v>-4.0280230684516249E-3</v>
      </c>
      <c r="T292" s="30">
        <f t="shared" si="25"/>
        <v>-3.0673481337520903E-3</v>
      </c>
      <c r="U292" s="63">
        <f t="shared" si="24"/>
        <v>5.0154754658820371E-3</v>
      </c>
    </row>
    <row r="293" spans="1:21">
      <c r="A293" s="28">
        <v>43752</v>
      </c>
      <c r="B293" s="29">
        <v>1491.6999510000001</v>
      </c>
      <c r="C293" s="29">
        <v>17.634000780000001</v>
      </c>
      <c r="D293" s="29">
        <v>53.590000150000002</v>
      </c>
      <c r="E293" s="29">
        <v>7842.330078</v>
      </c>
      <c r="F293" s="29">
        <v>2966.1499020000001</v>
      </c>
      <c r="G293" s="29">
        <v>26787.359380000002</v>
      </c>
      <c r="H293" s="29">
        <v>10.95399761</v>
      </c>
      <c r="I293" s="29">
        <v>8.8832941059999992</v>
      </c>
      <c r="J293" s="29">
        <v>11.648446079999999</v>
      </c>
      <c r="L293" s="30">
        <f t="shared" si="26"/>
        <v>6.0700076194983854E-3</v>
      </c>
      <c r="M293" s="30">
        <f t="shared" si="26"/>
        <v>9.8500109428187876E-3</v>
      </c>
      <c r="N293" s="30">
        <f t="shared" si="26"/>
        <v>-2.0292515440177072E-2</v>
      </c>
      <c r="O293" s="30">
        <f t="shared" si="26"/>
        <v>-1.9758142948600455E-4</v>
      </c>
      <c r="P293" s="30">
        <f t="shared" si="26"/>
        <v>-1.3871190067763495E-3</v>
      </c>
      <c r="Q293" s="30">
        <f t="shared" si="26"/>
        <v>-1.0900140612359888E-3</v>
      </c>
      <c r="R293" s="30">
        <f t="shared" si="25"/>
        <v>1.6753458172180657E-3</v>
      </c>
      <c r="S293" s="30">
        <f t="shared" si="25"/>
        <v>2.0217266153250701E-3</v>
      </c>
      <c r="T293" s="30">
        <f t="shared" si="25"/>
        <v>1.5384332641268372E-3</v>
      </c>
      <c r="U293" s="63">
        <f t="shared" si="24"/>
        <v>2.7673847321394796E-4</v>
      </c>
    </row>
    <row r="294" spans="1:21">
      <c r="A294" s="28">
        <v>43753</v>
      </c>
      <c r="B294" s="29">
        <v>1477.599976</v>
      </c>
      <c r="C294" s="29">
        <v>17.30800056</v>
      </c>
      <c r="D294" s="29">
        <v>52.810001370000002</v>
      </c>
      <c r="E294" s="29">
        <v>7942.8500979999999</v>
      </c>
      <c r="F294" s="29">
        <v>2995.679932</v>
      </c>
      <c r="G294" s="29">
        <v>27024.800780000001</v>
      </c>
      <c r="H294" s="29">
        <v>10.92651749</v>
      </c>
      <c r="I294" s="29">
        <v>8.8653707500000003</v>
      </c>
      <c r="J294" s="29">
        <v>11.621606829999999</v>
      </c>
      <c r="L294" s="30">
        <f t="shared" si="26"/>
        <v>-9.4522862929289353E-3</v>
      </c>
      <c r="M294" s="30">
        <f t="shared" si="26"/>
        <v>-1.8487025381655919E-2</v>
      </c>
      <c r="N294" s="30">
        <f t="shared" si="26"/>
        <v>-1.4554931476334354E-2</v>
      </c>
      <c r="O294" s="30">
        <f t="shared" si="26"/>
        <v>1.2817621676239677E-2</v>
      </c>
      <c r="P294" s="30">
        <f t="shared" si="26"/>
        <v>9.9556768793407358E-3</v>
      </c>
      <c r="Q294" s="30">
        <f t="shared" si="26"/>
        <v>8.8639345383658696E-3</v>
      </c>
      <c r="R294" s="30">
        <f t="shared" si="25"/>
        <v>-2.5086841332623289E-3</v>
      </c>
      <c r="S294" s="30">
        <f t="shared" si="25"/>
        <v>-2.0176474837069192E-3</v>
      </c>
      <c r="T294" s="30">
        <f t="shared" si="25"/>
        <v>-2.3041056133729088E-3</v>
      </c>
      <c r="U294" s="63">
        <f t="shared" si="24"/>
        <v>-1.8387035809888679E-4</v>
      </c>
    </row>
    <row r="295" spans="1:21">
      <c r="A295" s="28">
        <v>43754</v>
      </c>
      <c r="B295" s="29">
        <v>1488</v>
      </c>
      <c r="C295" s="29">
        <v>17.350999829999999</v>
      </c>
      <c r="D295" s="29">
        <v>53.36000061</v>
      </c>
      <c r="E295" s="29">
        <v>7920.2099609999996</v>
      </c>
      <c r="F295" s="29">
        <v>2989.6899410000001</v>
      </c>
      <c r="G295" s="29">
        <v>27001.980469999999</v>
      </c>
      <c r="H295" s="29">
        <v>10.93567657</v>
      </c>
      <c r="I295" s="29">
        <v>8.8743305209999992</v>
      </c>
      <c r="J295" s="29">
        <v>11.63949966</v>
      </c>
      <c r="L295" s="30">
        <f t="shared" si="26"/>
        <v>7.0384570715504857E-3</v>
      </c>
      <c r="M295" s="30">
        <f t="shared" si="26"/>
        <v>2.4843580199189752E-3</v>
      </c>
      <c r="N295" s="30">
        <f t="shared" si="26"/>
        <v>1.0414679525315051E-2</v>
      </c>
      <c r="O295" s="30">
        <f t="shared" si="26"/>
        <v>-2.8503794885542666E-3</v>
      </c>
      <c r="P295" s="30">
        <f t="shared" si="26"/>
        <v>-1.9995430539873071E-3</v>
      </c>
      <c r="Q295" s="30">
        <f t="shared" si="26"/>
        <v>-8.4442102592263701E-4</v>
      </c>
      <c r="R295" s="30">
        <f t="shared" si="25"/>
        <v>8.3824329283155308E-4</v>
      </c>
      <c r="S295" s="30">
        <f t="shared" si="25"/>
        <v>1.0106482010352469E-3</v>
      </c>
      <c r="T295" s="30">
        <f t="shared" si="25"/>
        <v>1.539617564226381E-3</v>
      </c>
      <c r="U295" s="63">
        <f t="shared" si="24"/>
        <v>8.9304090387970665E-4</v>
      </c>
    </row>
    <row r="296" spans="1:21">
      <c r="A296" s="28">
        <v>43755</v>
      </c>
      <c r="B296" s="29">
        <v>1492.3000489999999</v>
      </c>
      <c r="C296" s="29">
        <v>17.5359993</v>
      </c>
      <c r="D296" s="29">
        <v>53.930000309999997</v>
      </c>
      <c r="E296" s="29">
        <v>7942.1401370000003</v>
      </c>
      <c r="F296" s="29">
        <v>2997.9499510000001</v>
      </c>
      <c r="G296" s="29">
        <v>27025.880860000001</v>
      </c>
      <c r="H296" s="29">
        <v>10.93567657</v>
      </c>
      <c r="I296" s="29">
        <v>8.8653707500000003</v>
      </c>
      <c r="J296" s="29">
        <v>11.63055325</v>
      </c>
      <c r="L296" s="30">
        <f t="shared" si="26"/>
        <v>2.8898178763441251E-3</v>
      </c>
      <c r="M296" s="30">
        <f t="shared" si="26"/>
        <v>1.0662179229587343E-2</v>
      </c>
      <c r="N296" s="30">
        <f t="shared" si="26"/>
        <v>1.0682153176234666E-2</v>
      </c>
      <c r="O296" s="30">
        <f t="shared" si="26"/>
        <v>2.7688882123058089E-3</v>
      </c>
      <c r="P296" s="30">
        <f t="shared" si="26"/>
        <v>2.7628316524479501E-3</v>
      </c>
      <c r="Q296" s="30">
        <f t="shared" si="26"/>
        <v>8.8513470434348207E-4</v>
      </c>
      <c r="R296" s="30">
        <f t="shared" si="25"/>
        <v>0</v>
      </c>
      <c r="S296" s="30">
        <f t="shared" si="25"/>
        <v>-1.009627822492809E-3</v>
      </c>
      <c r="T296" s="30">
        <f t="shared" si="25"/>
        <v>-7.6862496338614417E-4</v>
      </c>
      <c r="U296" s="63">
        <f t="shared" si="24"/>
        <v>3.5864537588860736E-3</v>
      </c>
    </row>
    <row r="297" spans="1:21">
      <c r="A297" s="28">
        <v>43756</v>
      </c>
      <c r="B297" s="29">
        <v>1488.1999510000001</v>
      </c>
      <c r="C297" s="29">
        <v>17.502000809999998</v>
      </c>
      <c r="D297" s="29">
        <v>53.77999878</v>
      </c>
      <c r="E297" s="29">
        <v>7868.4902339999999</v>
      </c>
      <c r="F297" s="29">
        <v>2986.1999510000001</v>
      </c>
      <c r="G297" s="29">
        <v>26770.199219999999</v>
      </c>
      <c r="H297" s="29">
        <v>10.94483471</v>
      </c>
      <c r="I297" s="29">
        <v>8.8743305209999992</v>
      </c>
      <c r="J297" s="29">
        <v>11.63949966</v>
      </c>
      <c r="L297" s="30">
        <f t="shared" si="26"/>
        <v>-2.7475024226846223E-3</v>
      </c>
      <c r="M297" s="30">
        <f t="shared" si="26"/>
        <v>-1.9387825819542348E-3</v>
      </c>
      <c r="N297" s="30">
        <f t="shared" si="26"/>
        <v>-2.7814116287364632E-3</v>
      </c>
      <c r="O297" s="30">
        <f t="shared" si="26"/>
        <v>-9.273306908409773E-3</v>
      </c>
      <c r="P297" s="30">
        <f t="shared" si="26"/>
        <v>-3.9193449497315624E-3</v>
      </c>
      <c r="Q297" s="30">
        <f t="shared" si="26"/>
        <v>-9.4606218877559822E-3</v>
      </c>
      <c r="R297" s="30">
        <f t="shared" si="25"/>
        <v>8.374552723262596E-4</v>
      </c>
      <c r="S297" s="30">
        <f t="shared" si="25"/>
        <v>1.0106482010352469E-3</v>
      </c>
      <c r="T297" s="30">
        <f t="shared" si="25"/>
        <v>7.6921620216130471E-4</v>
      </c>
      <c r="U297" s="63">
        <f t="shared" si="24"/>
        <v>-2.9604008240202381E-3</v>
      </c>
    </row>
    <row r="298" spans="1:21">
      <c r="A298" s="28">
        <v>43759</v>
      </c>
      <c r="B298" s="29">
        <v>1482.400024</v>
      </c>
      <c r="C298" s="29">
        <v>17.525999070000001</v>
      </c>
      <c r="D298" s="29">
        <v>53.310001370000002</v>
      </c>
      <c r="E298" s="29">
        <v>7940.330078</v>
      </c>
      <c r="F298" s="29">
        <v>3006.719971</v>
      </c>
      <c r="G298" s="29">
        <v>26827.640630000002</v>
      </c>
      <c r="H298" s="29">
        <v>10.91735935</v>
      </c>
      <c r="I298" s="29">
        <v>8.8564004900000004</v>
      </c>
      <c r="J298" s="29">
        <v>11.621606829999999</v>
      </c>
      <c r="L298" s="30">
        <f t="shared" si="26"/>
        <v>-3.8972767040496015E-3</v>
      </c>
      <c r="M298" s="30">
        <f t="shared" si="26"/>
        <v>1.3711723739773252E-3</v>
      </c>
      <c r="N298" s="30">
        <f t="shared" si="26"/>
        <v>-8.7392603321289064E-3</v>
      </c>
      <c r="O298" s="30">
        <f t="shared" si="26"/>
        <v>9.1300671238780939E-3</v>
      </c>
      <c r="P298" s="30">
        <f t="shared" si="26"/>
        <v>6.8716162134849768E-3</v>
      </c>
      <c r="Q298" s="30">
        <f t="shared" si="26"/>
        <v>2.1457221714318298E-3</v>
      </c>
      <c r="R298" s="30">
        <f t="shared" si="25"/>
        <v>-2.5103494687678252E-3</v>
      </c>
      <c r="S298" s="30">
        <f t="shared" si="25"/>
        <v>-2.0204375933000618E-3</v>
      </c>
      <c r="T298" s="30">
        <f t="shared" si="25"/>
        <v>-1.5372507859157114E-3</v>
      </c>
      <c r="U298" s="63">
        <f t="shared" si="24"/>
        <v>2.0845830526175441E-3</v>
      </c>
    </row>
    <row r="299" spans="1:21">
      <c r="A299" s="28">
        <v>43760</v>
      </c>
      <c r="B299" s="29">
        <v>1481.6999510000001</v>
      </c>
      <c r="C299" s="29">
        <v>17.437000269999999</v>
      </c>
      <c r="D299" s="29">
        <v>54.159999849999998</v>
      </c>
      <c r="E299" s="29">
        <v>7874.6201170000004</v>
      </c>
      <c r="F299" s="29">
        <v>2995.98999</v>
      </c>
      <c r="G299" s="29">
        <v>26788.099610000001</v>
      </c>
      <c r="H299" s="29">
        <v>10.93567657</v>
      </c>
      <c r="I299" s="29">
        <v>8.8653707500000003</v>
      </c>
      <c r="J299" s="29">
        <v>11.63949966</v>
      </c>
      <c r="L299" s="30">
        <f t="shared" si="26"/>
        <v>-4.7225646833903845E-4</v>
      </c>
      <c r="M299" s="30">
        <f t="shared" si="26"/>
        <v>-5.0781013763914196E-3</v>
      </c>
      <c r="N299" s="30">
        <f t="shared" si="26"/>
        <v>1.5944446785895794E-2</v>
      </c>
      <c r="O299" s="30">
        <f t="shared" si="26"/>
        <v>-8.2754697039686409E-3</v>
      </c>
      <c r="P299" s="30">
        <f t="shared" si="26"/>
        <v>-3.5686665547477459E-3</v>
      </c>
      <c r="Q299" s="30">
        <f t="shared" si="26"/>
        <v>-1.4738910717249087E-3</v>
      </c>
      <c r="R299" s="30">
        <f t="shared" si="25"/>
        <v>1.6778068223979314E-3</v>
      </c>
      <c r="S299" s="30">
        <f t="shared" si="25"/>
        <v>1.0128561835169858E-3</v>
      </c>
      <c r="T299" s="30">
        <f t="shared" si="25"/>
        <v>1.539617564226381E-3</v>
      </c>
      <c r="U299" s="63">
        <f t="shared" si="24"/>
        <v>-1.3495212128714475E-3</v>
      </c>
    </row>
    <row r="300" spans="1:21">
      <c r="A300" s="28">
        <v>43761</v>
      </c>
      <c r="B300" s="29">
        <v>1489.900024</v>
      </c>
      <c r="C300" s="29">
        <v>17.517000199999998</v>
      </c>
      <c r="D300" s="29">
        <v>55.97000122</v>
      </c>
      <c r="E300" s="29">
        <v>7889.4702150000003</v>
      </c>
      <c r="F300" s="29">
        <v>3004.5200199999999</v>
      </c>
      <c r="G300" s="29">
        <v>26833.949219999999</v>
      </c>
      <c r="H300" s="29">
        <v>10.93567657</v>
      </c>
      <c r="I300" s="29">
        <v>8.8743305209999992</v>
      </c>
      <c r="J300" s="29">
        <v>11.63949966</v>
      </c>
      <c r="L300" s="30">
        <f t="shared" si="26"/>
        <v>5.5342331586538673E-3</v>
      </c>
      <c r="M300" s="30">
        <f t="shared" si="26"/>
        <v>4.5879410885620864E-3</v>
      </c>
      <c r="N300" s="30">
        <f t="shared" si="26"/>
        <v>3.3419523172321552E-2</v>
      </c>
      <c r="O300" s="30">
        <f t="shared" si="26"/>
        <v>1.8858177003282517E-3</v>
      </c>
      <c r="P300" s="30">
        <f t="shared" si="26"/>
        <v>2.847149032029872E-3</v>
      </c>
      <c r="Q300" s="30">
        <f t="shared" si="26"/>
        <v>1.7115663547435656E-3</v>
      </c>
      <c r="R300" s="30">
        <f t="shared" si="25"/>
        <v>0</v>
      </c>
      <c r="S300" s="30">
        <f t="shared" si="25"/>
        <v>1.0106482010352469E-3</v>
      </c>
      <c r="T300" s="30">
        <f t="shared" si="25"/>
        <v>0</v>
      </c>
      <c r="U300" s="63">
        <f t="shared" si="24"/>
        <v>4.815739467967226E-3</v>
      </c>
    </row>
    <row r="301" spans="1:21">
      <c r="A301" s="28">
        <v>43762</v>
      </c>
      <c r="B301" s="29">
        <v>1498.900024</v>
      </c>
      <c r="C301" s="29">
        <v>17.739000319999999</v>
      </c>
      <c r="D301" s="29">
        <v>56.229999540000001</v>
      </c>
      <c r="E301" s="29">
        <v>7966.7202150000003</v>
      </c>
      <c r="F301" s="29">
        <v>3010.290039</v>
      </c>
      <c r="G301" s="29">
        <v>26805.529299999998</v>
      </c>
      <c r="H301" s="29">
        <v>10.93567657</v>
      </c>
      <c r="I301" s="29">
        <v>8.8743305209999992</v>
      </c>
      <c r="J301" s="29">
        <v>11.63949966</v>
      </c>
      <c r="L301" s="30">
        <f t="shared" si="26"/>
        <v>6.0406737734235438E-3</v>
      </c>
      <c r="M301" s="30">
        <f t="shared" si="26"/>
        <v>1.2673409685752146E-2</v>
      </c>
      <c r="N301" s="30">
        <f t="shared" si="26"/>
        <v>4.6453156035861642E-3</v>
      </c>
      <c r="O301" s="30">
        <f t="shared" si="26"/>
        <v>9.7915319907193599E-3</v>
      </c>
      <c r="P301" s="30">
        <f t="shared" si="26"/>
        <v>1.9204461816166862E-3</v>
      </c>
      <c r="Q301" s="30">
        <f t="shared" si="26"/>
        <v>-1.0591031445650323E-3</v>
      </c>
      <c r="R301" s="30">
        <f t="shared" si="25"/>
        <v>0</v>
      </c>
      <c r="S301" s="30">
        <f t="shared" si="25"/>
        <v>0</v>
      </c>
      <c r="T301" s="30">
        <f t="shared" si="25"/>
        <v>0</v>
      </c>
      <c r="U301" s="63">
        <f t="shared" si="24"/>
        <v>4.3021891712090813E-3</v>
      </c>
    </row>
    <row r="302" spans="1:21">
      <c r="A302" s="28">
        <v>43763</v>
      </c>
      <c r="B302" s="29">
        <v>1499.5</v>
      </c>
      <c r="C302" s="29">
        <v>17.861000059999999</v>
      </c>
      <c r="D302" s="29">
        <v>56.659999849999998</v>
      </c>
      <c r="E302" s="29">
        <v>8029.2202150000003</v>
      </c>
      <c r="F302" s="29">
        <v>3022.5500489999999</v>
      </c>
      <c r="G302" s="29">
        <v>26958.060549999998</v>
      </c>
      <c r="H302" s="29">
        <v>10.91735935</v>
      </c>
      <c r="I302" s="29">
        <v>8.8564004900000004</v>
      </c>
      <c r="J302" s="29">
        <v>11.63055325</v>
      </c>
      <c r="L302" s="30">
        <f t="shared" si="26"/>
        <v>4.0027753045124292E-4</v>
      </c>
      <c r="M302" s="30">
        <f t="shared" si="26"/>
        <v>6.8774867692205088E-3</v>
      </c>
      <c r="N302" s="30">
        <f t="shared" si="26"/>
        <v>7.6471690115187396E-3</v>
      </c>
      <c r="O302" s="30">
        <f t="shared" si="26"/>
        <v>7.8451355530626543E-3</v>
      </c>
      <c r="P302" s="30">
        <f t="shared" si="26"/>
        <v>4.072700584051514E-3</v>
      </c>
      <c r="Q302" s="30">
        <f t="shared" si="26"/>
        <v>5.6902905476297061E-3</v>
      </c>
      <c r="R302" s="30">
        <f t="shared" si="25"/>
        <v>-1.6749965018396651E-3</v>
      </c>
      <c r="S302" s="30">
        <f t="shared" si="25"/>
        <v>-2.0204375933000618E-3</v>
      </c>
      <c r="T302" s="30">
        <f t="shared" si="25"/>
        <v>-7.6862496338614417E-4</v>
      </c>
      <c r="U302" s="63">
        <f t="shared" si="24"/>
        <v>3.5742979901429556E-3</v>
      </c>
    </row>
    <row r="303" spans="1:21">
      <c r="A303" s="28">
        <v>43766</v>
      </c>
      <c r="B303" s="29">
        <v>1490</v>
      </c>
      <c r="C303" s="29">
        <v>17.815999980000001</v>
      </c>
      <c r="D303" s="29">
        <v>55.810001370000002</v>
      </c>
      <c r="E303" s="29">
        <v>8110.669922</v>
      </c>
      <c r="F303" s="29">
        <v>3039.419922</v>
      </c>
      <c r="G303" s="29">
        <v>27090.720700000002</v>
      </c>
      <c r="H303" s="29">
        <v>10.89903831</v>
      </c>
      <c r="I303" s="29">
        <v>8.8384704589999998</v>
      </c>
      <c r="J303" s="29">
        <v>11.612659450000001</v>
      </c>
      <c r="L303" s="30">
        <f t="shared" si="26"/>
        <v>-6.3354451483828012E-3</v>
      </c>
      <c r="M303" s="30">
        <f t="shared" si="26"/>
        <v>-2.5194602681165579E-3</v>
      </c>
      <c r="N303" s="30">
        <f t="shared" si="26"/>
        <v>-1.5001738126548814E-2</v>
      </c>
      <c r="O303" s="30">
        <f t="shared" si="26"/>
        <v>1.0144161552305908E-2</v>
      </c>
      <c r="P303" s="30">
        <f t="shared" si="26"/>
        <v>5.5813378526456958E-3</v>
      </c>
      <c r="Q303" s="30">
        <f t="shared" si="26"/>
        <v>4.9209827151308616E-3</v>
      </c>
      <c r="R303" s="30">
        <f t="shared" si="25"/>
        <v>-1.6781567238601802E-3</v>
      </c>
      <c r="S303" s="30">
        <f t="shared" si="25"/>
        <v>-2.0245280258324172E-3</v>
      </c>
      <c r="T303" s="30">
        <f t="shared" si="25"/>
        <v>-1.5385166651465942E-3</v>
      </c>
      <c r="U303" s="63">
        <f t="shared" si="24"/>
        <v>6.9918511759662532E-4</v>
      </c>
    </row>
    <row r="304" spans="1:21">
      <c r="A304" s="28">
        <v>43767</v>
      </c>
      <c r="B304" s="29">
        <v>1487</v>
      </c>
      <c r="C304" s="29">
        <v>17.77099991</v>
      </c>
      <c r="D304" s="29">
        <v>55.540000919999997</v>
      </c>
      <c r="E304" s="29">
        <v>8047.5097660000001</v>
      </c>
      <c r="F304" s="29">
        <v>3036.889893</v>
      </c>
      <c r="G304" s="29">
        <v>27071.460940000001</v>
      </c>
      <c r="H304" s="29">
        <v>10.908202169999999</v>
      </c>
      <c r="I304" s="29">
        <v>8.847438812</v>
      </c>
      <c r="J304" s="29">
        <v>11.612659450000001</v>
      </c>
      <c r="L304" s="30">
        <f t="shared" si="26"/>
        <v>-2.0134228187919101E-3</v>
      </c>
      <c r="M304" s="30">
        <f t="shared" si="26"/>
        <v>-2.5258234199886376E-3</v>
      </c>
      <c r="N304" s="30">
        <f t="shared" si="26"/>
        <v>-4.8378506248369924E-3</v>
      </c>
      <c r="O304" s="30">
        <f t="shared" si="26"/>
        <v>-7.7872921235124792E-3</v>
      </c>
      <c r="P304" s="30">
        <f t="shared" si="26"/>
        <v>-8.3240521708993764E-4</v>
      </c>
      <c r="Q304" s="30">
        <f t="shared" si="26"/>
        <v>-7.1093568212088343E-4</v>
      </c>
      <c r="R304" s="30">
        <f t="shared" si="25"/>
        <v>8.4079528297387185E-4</v>
      </c>
      <c r="S304" s="30">
        <f t="shared" si="25"/>
        <v>1.0146951377620894E-3</v>
      </c>
      <c r="T304" s="30">
        <f t="shared" si="25"/>
        <v>0</v>
      </c>
      <c r="U304" s="63">
        <f t="shared" si="24"/>
        <v>-1.8726643719703072E-3</v>
      </c>
    </row>
    <row r="305" spans="1:21">
      <c r="A305" s="28">
        <v>43768</v>
      </c>
      <c r="B305" s="29">
        <v>1493.1999510000001</v>
      </c>
      <c r="C305" s="29">
        <v>17.815000529999999</v>
      </c>
      <c r="D305" s="29">
        <v>55.060001370000002</v>
      </c>
      <c r="E305" s="29">
        <v>8083.1098629999997</v>
      </c>
      <c r="F305" s="29">
        <v>3046.7700199999999</v>
      </c>
      <c r="G305" s="29">
        <v>27186.689450000002</v>
      </c>
      <c r="H305" s="29">
        <v>10.93567657</v>
      </c>
      <c r="I305" s="29">
        <v>8.8653707500000003</v>
      </c>
      <c r="J305" s="29">
        <v>11.648446079999999</v>
      </c>
      <c r="L305" s="30">
        <f t="shared" si="26"/>
        <v>4.1694357767316781E-3</v>
      </c>
      <c r="M305" s="30">
        <f t="shared" si="26"/>
        <v>2.4759788544728156E-3</v>
      </c>
      <c r="N305" s="30">
        <f t="shared" si="26"/>
        <v>-8.6424116321385247E-3</v>
      </c>
      <c r="O305" s="30">
        <f t="shared" si="26"/>
        <v>4.4237407639324822E-3</v>
      </c>
      <c r="P305" s="30">
        <f t="shared" si="26"/>
        <v>3.2533701741288557E-3</v>
      </c>
      <c r="Q305" s="30">
        <f t="shared" si="26"/>
        <v>4.2564570214880248E-3</v>
      </c>
      <c r="R305" s="30">
        <f t="shared" si="25"/>
        <v>2.5186918588253615E-3</v>
      </c>
      <c r="S305" s="30">
        <f t="shared" si="25"/>
        <v>2.0267942374101455E-3</v>
      </c>
      <c r="T305" s="30">
        <f t="shared" si="25"/>
        <v>3.0816911624838017E-3</v>
      </c>
      <c r="U305" s="63">
        <f t="shared" si="24"/>
        <v>2.2461845713481867E-3</v>
      </c>
    </row>
    <row r="306" spans="1:21">
      <c r="A306" s="28">
        <v>43769</v>
      </c>
      <c r="B306" s="29">
        <v>1511.400024</v>
      </c>
      <c r="C306" s="29">
        <v>18.013999940000001</v>
      </c>
      <c r="D306" s="29">
        <v>54.180000309999997</v>
      </c>
      <c r="E306" s="29">
        <v>8083.830078</v>
      </c>
      <c r="F306" s="29">
        <v>3037.5600589999999</v>
      </c>
      <c r="G306" s="29">
        <v>27046.230469999999</v>
      </c>
      <c r="H306" s="29">
        <v>11.005434040000001</v>
      </c>
      <c r="I306" s="29">
        <v>8.9282407760000009</v>
      </c>
      <c r="J306" s="29">
        <v>11.694180490000001</v>
      </c>
      <c r="L306" s="30">
        <f t="shared" si="26"/>
        <v>1.2188637555078596E-2</v>
      </c>
      <c r="M306" s="30">
        <f t="shared" si="26"/>
        <v>1.1170328603970159E-2</v>
      </c>
      <c r="N306" s="30">
        <f t="shared" si="26"/>
        <v>-1.5982583329165689E-2</v>
      </c>
      <c r="O306" s="30">
        <f t="shared" si="26"/>
        <v>8.9101226162568992E-5</v>
      </c>
      <c r="P306" s="30">
        <f t="shared" si="26"/>
        <v>-3.0228605833531041E-3</v>
      </c>
      <c r="Q306" s="30">
        <f t="shared" si="26"/>
        <v>-5.1664613397790493E-3</v>
      </c>
      <c r="R306" s="30">
        <f t="shared" si="25"/>
        <v>6.3788892761666993E-3</v>
      </c>
      <c r="S306" s="30">
        <f t="shared" si="25"/>
        <v>7.0916409220675991E-3</v>
      </c>
      <c r="T306" s="30">
        <f t="shared" si="25"/>
        <v>3.9262241234498951E-3</v>
      </c>
      <c r="U306" s="63">
        <f t="shared" si="24"/>
        <v>1.6073393306763766E-3</v>
      </c>
    </row>
    <row r="307" spans="1:21">
      <c r="A307" s="28">
        <v>43770</v>
      </c>
      <c r="B307" s="29">
        <v>1508</v>
      </c>
      <c r="C307" s="29">
        <v>18.003999709999999</v>
      </c>
      <c r="D307" s="29">
        <v>56.200000760000002</v>
      </c>
      <c r="E307" s="29">
        <v>8161.169922</v>
      </c>
      <c r="F307" s="29">
        <v>3066.9099120000001</v>
      </c>
      <c r="G307" s="29">
        <v>27347.359380000002</v>
      </c>
      <c r="H307" s="29">
        <v>10.996255870000001</v>
      </c>
      <c r="I307" s="29">
        <v>8.9192609790000006</v>
      </c>
      <c r="J307" s="29">
        <v>11.694180490000001</v>
      </c>
      <c r="L307" s="30">
        <f t="shared" si="26"/>
        <v>-2.2495857787547813E-3</v>
      </c>
      <c r="M307" s="30">
        <f t="shared" si="26"/>
        <v>-5.551365623021054E-4</v>
      </c>
      <c r="N307" s="30">
        <f t="shared" si="26"/>
        <v>3.7283138398712223E-2</v>
      </c>
      <c r="O307" s="30">
        <f t="shared" si="26"/>
        <v>9.5672278182192816E-3</v>
      </c>
      <c r="P307" s="30">
        <f t="shared" si="26"/>
        <v>9.6623119971042115E-3</v>
      </c>
      <c r="Q307" s="30">
        <f t="shared" si="26"/>
        <v>1.1133858758395787E-2</v>
      </c>
      <c r="R307" s="30">
        <f t="shared" si="25"/>
        <v>-8.3396710812511099E-4</v>
      </c>
      <c r="S307" s="30">
        <f t="shared" si="25"/>
        <v>-1.005774510935975E-3</v>
      </c>
      <c r="T307" s="30">
        <f t="shared" si="25"/>
        <v>0</v>
      </c>
      <c r="U307" s="63">
        <f t="shared" si="24"/>
        <v>6.8748169390219355E-3</v>
      </c>
    </row>
    <row r="308" spans="1:21">
      <c r="A308" s="28">
        <v>43773</v>
      </c>
      <c r="B308" s="29">
        <v>1508</v>
      </c>
      <c r="C308" s="29">
        <v>18.013999940000001</v>
      </c>
      <c r="D308" s="29">
        <v>56.540000919999997</v>
      </c>
      <c r="E308" s="29">
        <v>8210.6601559999999</v>
      </c>
      <c r="F308" s="29">
        <v>3078.2700199999999</v>
      </c>
      <c r="G308" s="29">
        <v>27462.109380000002</v>
      </c>
      <c r="H308" s="29">
        <v>10.968722339999999</v>
      </c>
      <c r="I308" s="29">
        <v>8.901294708</v>
      </c>
      <c r="J308" s="29">
        <v>11.658308979999999</v>
      </c>
      <c r="L308" s="30">
        <f t="shared" si="26"/>
        <v>0</v>
      </c>
      <c r="M308" s="30">
        <f t="shared" si="26"/>
        <v>5.5544491008019392E-4</v>
      </c>
      <c r="N308" s="30">
        <f t="shared" si="26"/>
        <v>6.0498248292193413E-3</v>
      </c>
      <c r="O308" s="30">
        <f t="shared" si="26"/>
        <v>6.0641102284353376E-3</v>
      </c>
      <c r="P308" s="30">
        <f t="shared" si="26"/>
        <v>3.7040892383408686E-3</v>
      </c>
      <c r="Q308" s="30">
        <f t="shared" si="26"/>
        <v>4.1960175534871968E-3</v>
      </c>
      <c r="R308" s="30">
        <f t="shared" si="25"/>
        <v>-2.5039004480714722E-3</v>
      </c>
      <c r="S308" s="30">
        <f t="shared" si="25"/>
        <v>-2.0143228281246373E-3</v>
      </c>
      <c r="T308" s="30">
        <f t="shared" si="25"/>
        <v>-3.0674667652578202E-3</v>
      </c>
      <c r="U308" s="63">
        <f t="shared" si="24"/>
        <v>1.855489224437653E-3</v>
      </c>
    </row>
    <row r="309" spans="1:21">
      <c r="A309" s="28">
        <v>43774</v>
      </c>
      <c r="B309" s="29">
        <v>1480.8000489999999</v>
      </c>
      <c r="C309" s="29">
        <v>17.51600075</v>
      </c>
      <c r="D309" s="29">
        <v>57.229999540000001</v>
      </c>
      <c r="E309" s="29">
        <v>8210.1796880000002</v>
      </c>
      <c r="F309" s="29">
        <v>3074.6201169999999</v>
      </c>
      <c r="G309" s="29">
        <v>27492.630860000001</v>
      </c>
      <c r="H309" s="29">
        <v>10.93200588</v>
      </c>
      <c r="I309" s="29">
        <v>8.8653688430000006</v>
      </c>
      <c r="J309" s="29">
        <v>11.622439379999999</v>
      </c>
      <c r="L309" s="30">
        <f t="shared" si="26"/>
        <v>-1.803710278514592E-2</v>
      </c>
      <c r="M309" s="30">
        <f t="shared" si="26"/>
        <v>-2.7645119998818024E-2</v>
      </c>
      <c r="N309" s="30">
        <f t="shared" si="26"/>
        <v>1.2203724951761252E-2</v>
      </c>
      <c r="O309" s="30">
        <f t="shared" si="26"/>
        <v>-5.8517584563322345E-5</v>
      </c>
      <c r="P309" s="30">
        <f t="shared" si="26"/>
        <v>-1.1856994273685695E-3</v>
      </c>
      <c r="Q309" s="30">
        <f t="shared" si="26"/>
        <v>1.1114033367818354E-3</v>
      </c>
      <c r="R309" s="30">
        <f t="shared" si="25"/>
        <v>-3.3473780137640574E-3</v>
      </c>
      <c r="S309" s="30">
        <f t="shared" si="25"/>
        <v>-4.0360269127716064E-3</v>
      </c>
      <c r="T309" s="30">
        <f t="shared" si="25"/>
        <v>-3.0767412376473402E-3</v>
      </c>
      <c r="U309" s="63">
        <f t="shared" si="24"/>
        <v>-5.5550425286165599E-3</v>
      </c>
    </row>
    <row r="310" spans="1:21">
      <c r="A310" s="28">
        <v>43775</v>
      </c>
      <c r="B310" s="29">
        <v>1490.1999510000001</v>
      </c>
      <c r="C310" s="29">
        <v>17.55800056</v>
      </c>
      <c r="D310" s="29">
        <v>56.349998470000003</v>
      </c>
      <c r="E310" s="29">
        <v>8196.0302730000003</v>
      </c>
      <c r="F310" s="29">
        <v>3076.780029</v>
      </c>
      <c r="G310" s="29">
        <v>27492.560549999998</v>
      </c>
      <c r="H310" s="29">
        <v>10.95036125</v>
      </c>
      <c r="I310" s="29">
        <v>8.8833322530000007</v>
      </c>
      <c r="J310" s="29">
        <v>11.64934444</v>
      </c>
      <c r="L310" s="30">
        <f t="shared" si="26"/>
        <v>6.3478536527250551E-3</v>
      </c>
      <c r="M310" s="30">
        <f t="shared" si="26"/>
        <v>2.3977967687629498E-3</v>
      </c>
      <c r="N310" s="30">
        <f t="shared" si="26"/>
        <v>-1.537656958017164E-2</v>
      </c>
      <c r="O310" s="30">
        <f t="shared" si="26"/>
        <v>-1.723398943470178E-3</v>
      </c>
      <c r="P310" s="30">
        <f t="shared" si="26"/>
        <v>7.0249719243609121E-4</v>
      </c>
      <c r="Q310" s="30">
        <f t="shared" si="26"/>
        <v>-2.5574125793736968E-6</v>
      </c>
      <c r="R310" s="30">
        <f t="shared" si="25"/>
        <v>1.6790486761062429E-3</v>
      </c>
      <c r="S310" s="30">
        <f t="shared" si="25"/>
        <v>2.0262450799419796E-3</v>
      </c>
      <c r="T310" s="30">
        <f t="shared" si="25"/>
        <v>2.3149236679436136E-3</v>
      </c>
      <c r="U310" s="63">
        <f t="shared" si="24"/>
        <v>1.2282433784837994E-4</v>
      </c>
    </row>
    <row r="311" spans="1:21">
      <c r="A311" s="28">
        <v>43776</v>
      </c>
      <c r="B311" s="29">
        <v>1464.1999510000001</v>
      </c>
      <c r="C311" s="29">
        <v>16.969999309999999</v>
      </c>
      <c r="D311" s="29">
        <v>57.150001529999997</v>
      </c>
      <c r="E311" s="29">
        <v>8219.6503909999992</v>
      </c>
      <c r="F311" s="29">
        <v>3085.179932</v>
      </c>
      <c r="G311" s="29">
        <v>27674.800780000001</v>
      </c>
      <c r="H311" s="29">
        <v>10.895288470000001</v>
      </c>
      <c r="I311" s="29">
        <v>8.8474054340000006</v>
      </c>
      <c r="J311" s="29">
        <v>11.586565970000001</v>
      </c>
      <c r="L311" s="30">
        <f t="shared" si="26"/>
        <v>-1.744732308074004E-2</v>
      </c>
      <c r="M311" s="30">
        <f t="shared" si="26"/>
        <v>-3.3489077984173443E-2</v>
      </c>
      <c r="N311" s="30">
        <f t="shared" si="26"/>
        <v>1.4197037830017134E-2</v>
      </c>
      <c r="O311" s="30">
        <f t="shared" si="26"/>
        <v>2.8818973592386055E-3</v>
      </c>
      <c r="P311" s="30">
        <f t="shared" si="26"/>
        <v>2.7300953987048349E-3</v>
      </c>
      <c r="Q311" s="30">
        <f t="shared" si="26"/>
        <v>6.6287106895179804E-3</v>
      </c>
      <c r="R311" s="30">
        <f t="shared" si="25"/>
        <v>-5.0293117042142788E-3</v>
      </c>
      <c r="S311" s="30">
        <f t="shared" si="25"/>
        <v>-4.0442953136046178E-3</v>
      </c>
      <c r="T311" s="30">
        <f t="shared" si="25"/>
        <v>-5.3890131177201095E-3</v>
      </c>
      <c r="U311" s="63">
        <f t="shared" si="24"/>
        <v>-4.8403232217434852E-3</v>
      </c>
    </row>
    <row r="312" spans="1:21">
      <c r="A312" s="28">
        <v>43777</v>
      </c>
      <c r="B312" s="29">
        <v>1461.3000489999999</v>
      </c>
      <c r="C312" s="29">
        <v>16.783000950000002</v>
      </c>
      <c r="D312" s="29">
        <v>57.240001679999999</v>
      </c>
      <c r="E312" s="29">
        <v>8255.8896480000003</v>
      </c>
      <c r="F312" s="29">
        <v>3093.080078</v>
      </c>
      <c r="G312" s="29">
        <v>27681.240229999999</v>
      </c>
      <c r="H312" s="29">
        <v>10.88611221</v>
      </c>
      <c r="I312" s="29">
        <v>8.8384180069999996</v>
      </c>
      <c r="J312" s="29">
        <v>11.577598569999999</v>
      </c>
      <c r="L312" s="30">
        <f t="shared" si="26"/>
        <v>-1.980536878190442E-3</v>
      </c>
      <c r="M312" s="30">
        <f t="shared" si="26"/>
        <v>-1.1019349888235053E-2</v>
      </c>
      <c r="N312" s="30">
        <f t="shared" si="26"/>
        <v>1.5748057321181008E-3</v>
      </c>
      <c r="O312" s="30">
        <f t="shared" si="26"/>
        <v>4.4088562501005679E-3</v>
      </c>
      <c r="P312" s="30">
        <f t="shared" si="26"/>
        <v>2.5606759327254647E-3</v>
      </c>
      <c r="Q312" s="30">
        <f t="shared" si="26"/>
        <v>2.3268279512422829E-4</v>
      </c>
      <c r="R312" s="30">
        <f t="shared" si="25"/>
        <v>-8.4222276677359265E-4</v>
      </c>
      <c r="S312" s="30">
        <f t="shared" si="25"/>
        <v>-1.0158262856885258E-3</v>
      </c>
      <c r="T312" s="30">
        <f t="shared" si="25"/>
        <v>-7.7394803803121359E-4</v>
      </c>
      <c r="U312" s="63">
        <f t="shared" si="24"/>
        <v>-5.8352464386980077E-4</v>
      </c>
    </row>
    <row r="313" spans="1:21">
      <c r="A313" s="28">
        <v>43780</v>
      </c>
      <c r="B313" s="29">
        <v>1455.5</v>
      </c>
      <c r="C313" s="29">
        <v>16.76199913</v>
      </c>
      <c r="D313" s="29">
        <v>56.86000061</v>
      </c>
      <c r="E313" s="29">
        <v>8241.9101559999999</v>
      </c>
      <c r="F313" s="29">
        <v>3087.01001</v>
      </c>
      <c r="G313" s="29">
        <v>27691.490229999999</v>
      </c>
      <c r="H313" s="29">
        <v>10.895288470000001</v>
      </c>
      <c r="I313" s="29">
        <v>8.8384180069999996</v>
      </c>
      <c r="J313" s="29">
        <v>11.586565970000001</v>
      </c>
      <c r="L313" s="30">
        <f t="shared" si="26"/>
        <v>-3.9691020362101481E-3</v>
      </c>
      <c r="M313" s="30">
        <f t="shared" si="26"/>
        <v>-1.2513745344214788E-3</v>
      </c>
      <c r="N313" s="30">
        <f t="shared" si="26"/>
        <v>-6.6387326842579641E-3</v>
      </c>
      <c r="O313" s="30">
        <f t="shared" si="26"/>
        <v>-1.6932750552676179E-3</v>
      </c>
      <c r="P313" s="30">
        <f t="shared" si="26"/>
        <v>-1.9624671353238865E-3</v>
      </c>
      <c r="Q313" s="30">
        <f t="shared" si="26"/>
        <v>3.7028687713536179E-4</v>
      </c>
      <c r="R313" s="30">
        <f t="shared" si="25"/>
        <v>8.4293270388768882E-4</v>
      </c>
      <c r="S313" s="30">
        <f t="shared" si="25"/>
        <v>0</v>
      </c>
      <c r="T313" s="30">
        <f t="shared" si="25"/>
        <v>7.7454749754735097E-4</v>
      </c>
      <c r="U313" s="63">
        <f t="shared" si="24"/>
        <v>-1.604259177652472E-3</v>
      </c>
    </row>
    <row r="314" spans="1:21">
      <c r="A314" s="28">
        <v>43781</v>
      </c>
      <c r="B314" s="29">
        <v>1452.099976</v>
      </c>
      <c r="C314" s="29">
        <v>16.67700005</v>
      </c>
      <c r="D314" s="29">
        <v>56.799999239999998</v>
      </c>
      <c r="E314" s="29">
        <v>8263.7900389999995</v>
      </c>
      <c r="F314" s="29">
        <v>3091.8400879999999</v>
      </c>
      <c r="G314" s="29">
        <v>27691.490229999999</v>
      </c>
      <c r="H314" s="29">
        <v>10.895288470000001</v>
      </c>
      <c r="I314" s="29">
        <v>8.8563795089999999</v>
      </c>
      <c r="J314" s="29">
        <v>11.59553528</v>
      </c>
      <c r="L314" s="30">
        <f t="shared" si="26"/>
        <v>-2.3359835108210936E-3</v>
      </c>
      <c r="M314" s="30">
        <f t="shared" si="26"/>
        <v>-5.0709392919530138E-3</v>
      </c>
      <c r="N314" s="30">
        <f t="shared" si="26"/>
        <v>-1.0552474385561172E-3</v>
      </c>
      <c r="O314" s="30">
        <f t="shared" si="26"/>
        <v>2.6547102050209492E-3</v>
      </c>
      <c r="P314" s="30">
        <f t="shared" si="26"/>
        <v>1.5646460440210674E-3</v>
      </c>
      <c r="Q314" s="30">
        <f t="shared" si="26"/>
        <v>0</v>
      </c>
      <c r="R314" s="30">
        <f t="shared" si="25"/>
        <v>0</v>
      </c>
      <c r="S314" s="30">
        <f t="shared" si="25"/>
        <v>2.0322077984742393E-3</v>
      </c>
      <c r="T314" s="30">
        <f t="shared" si="25"/>
        <v>7.7411288411277646E-4</v>
      </c>
      <c r="U314" s="63">
        <f t="shared" si="24"/>
        <v>1.5191695255359198E-4</v>
      </c>
    </row>
    <row r="315" spans="1:21">
      <c r="A315" s="28">
        <v>43782</v>
      </c>
      <c r="B315" s="29">
        <v>1461.6999510000001</v>
      </c>
      <c r="C315" s="29">
        <v>16.898000719999999</v>
      </c>
      <c r="D315" s="29">
        <v>57.119998930000001</v>
      </c>
      <c r="E315" s="29">
        <v>8259.8095699999994</v>
      </c>
      <c r="F315" s="29">
        <v>3094.040039</v>
      </c>
      <c r="G315" s="29">
        <v>27783.589840000001</v>
      </c>
      <c r="H315" s="29">
        <v>10.913644789999999</v>
      </c>
      <c r="I315" s="29">
        <v>8.8653688430000006</v>
      </c>
      <c r="J315" s="29">
        <v>11.613470080000001</v>
      </c>
      <c r="L315" s="30">
        <f t="shared" si="26"/>
        <v>6.6110978298095091E-3</v>
      </c>
      <c r="M315" s="30">
        <f t="shared" si="26"/>
        <v>1.3251824029346215E-2</v>
      </c>
      <c r="N315" s="30">
        <f t="shared" si="26"/>
        <v>5.6337974345368469E-3</v>
      </c>
      <c r="O315" s="30">
        <f t="shared" si="26"/>
        <v>-4.8167595996684298E-4</v>
      </c>
      <c r="P315" s="30">
        <f t="shared" si="26"/>
        <v>7.1153453522332377E-4</v>
      </c>
      <c r="Q315" s="30">
        <f t="shared" si="26"/>
        <v>3.3259174293271965E-3</v>
      </c>
      <c r="R315" s="30">
        <f t="shared" si="25"/>
        <v>1.6847943081583772E-3</v>
      </c>
      <c r="S315" s="30">
        <f t="shared" si="25"/>
        <v>1.0150122847452092E-3</v>
      </c>
      <c r="T315" s="30">
        <f t="shared" si="25"/>
        <v>1.5466987566270518E-3</v>
      </c>
      <c r="U315" s="63">
        <f t="shared" si="24"/>
        <v>3.4012145009856012E-3</v>
      </c>
    </row>
    <row r="316" spans="1:21">
      <c r="A316" s="28">
        <v>43783</v>
      </c>
      <c r="B316" s="29">
        <v>1471.8000489999999</v>
      </c>
      <c r="C316" s="29">
        <v>17.01300049</v>
      </c>
      <c r="D316" s="29">
        <v>56.770000459999999</v>
      </c>
      <c r="E316" s="29">
        <v>8257.8300780000009</v>
      </c>
      <c r="F316" s="29">
        <v>3096.6298830000001</v>
      </c>
      <c r="G316" s="29">
        <v>27781.960940000001</v>
      </c>
      <c r="H316" s="29">
        <v>10.95036125</v>
      </c>
      <c r="I316" s="29">
        <v>8.8833322530000007</v>
      </c>
      <c r="J316" s="29">
        <v>11.64934444</v>
      </c>
      <c r="L316" s="30">
        <f t="shared" si="26"/>
        <v>6.9098298820424731E-3</v>
      </c>
      <c r="M316" s="30">
        <f t="shared" si="26"/>
        <v>6.8055252160033053E-3</v>
      </c>
      <c r="N316" s="30">
        <f t="shared" si="26"/>
        <v>-6.1274243094598946E-3</v>
      </c>
      <c r="O316" s="30">
        <f t="shared" si="26"/>
        <v>-2.3965346697440992E-4</v>
      </c>
      <c r="P316" s="30">
        <f t="shared" si="26"/>
        <v>8.3704282018182141E-4</v>
      </c>
      <c r="Q316" s="30">
        <f t="shared" si="26"/>
        <v>-5.8628132987181836E-5</v>
      </c>
      <c r="R316" s="30">
        <f t="shared" si="25"/>
        <v>3.3642711217469756E-3</v>
      </c>
      <c r="S316" s="30">
        <f t="shared" si="25"/>
        <v>2.0262450799419796E-3</v>
      </c>
      <c r="T316" s="30">
        <f t="shared" si="25"/>
        <v>3.0890302168840034E-3</v>
      </c>
      <c r="U316" s="63">
        <f t="shared" si="24"/>
        <v>1.8711190599658982E-3</v>
      </c>
    </row>
    <row r="317" spans="1:21">
      <c r="A317" s="28">
        <v>43784</v>
      </c>
      <c r="B317" s="29">
        <v>1467.3000489999999</v>
      </c>
      <c r="C317" s="29">
        <v>16.93300056</v>
      </c>
      <c r="D317" s="29">
        <v>57.72000122</v>
      </c>
      <c r="E317" s="29">
        <v>8315.5195309999999</v>
      </c>
      <c r="F317" s="29">
        <v>3120.459961</v>
      </c>
      <c r="G317" s="29">
        <v>28004.890630000002</v>
      </c>
      <c r="H317" s="29">
        <v>10.941185000000001</v>
      </c>
      <c r="I317" s="29">
        <v>8.8743476870000002</v>
      </c>
      <c r="J317" s="29">
        <v>11.64037514</v>
      </c>
      <c r="L317" s="30">
        <f t="shared" si="26"/>
        <v>-3.0574805341645472E-3</v>
      </c>
      <c r="M317" s="30">
        <f t="shared" si="26"/>
        <v>-4.7022822368707473E-3</v>
      </c>
      <c r="N317" s="30">
        <f t="shared" si="26"/>
        <v>1.6734203845380824E-2</v>
      </c>
      <c r="O317" s="30">
        <f t="shared" si="26"/>
        <v>6.9860305255846633E-3</v>
      </c>
      <c r="P317" s="30">
        <f t="shared" si="26"/>
        <v>7.6954879660702247E-3</v>
      </c>
      <c r="Q317" s="30">
        <f t="shared" si="26"/>
        <v>8.0242604358078395E-3</v>
      </c>
      <c r="R317" s="30">
        <f t="shared" si="25"/>
        <v>-8.3798605274321147E-4</v>
      </c>
      <c r="S317" s="30">
        <f t="shared" si="25"/>
        <v>-1.011395920372804E-3</v>
      </c>
      <c r="T317" s="30">
        <f t="shared" si="25"/>
        <v>-7.699403212083622E-4</v>
      </c>
      <c r="U317" s="63">
        <f t="shared" si="24"/>
        <v>3.5732224302045461E-3</v>
      </c>
    </row>
    <row r="318" spans="1:21">
      <c r="A318" s="28">
        <v>43787</v>
      </c>
      <c r="B318" s="29">
        <v>1470.900024</v>
      </c>
      <c r="C318" s="29">
        <v>16.98500061</v>
      </c>
      <c r="D318" s="29">
        <v>57.049999239999998</v>
      </c>
      <c r="E318" s="29">
        <v>8328.4804690000001</v>
      </c>
      <c r="F318" s="29">
        <v>3122.030029</v>
      </c>
      <c r="G318" s="29">
        <v>28036.220700000002</v>
      </c>
      <c r="H318" s="29">
        <v>10.95036125</v>
      </c>
      <c r="I318" s="29">
        <v>8.8833322530000007</v>
      </c>
      <c r="J318" s="29">
        <v>11.658308979999999</v>
      </c>
      <c r="L318" s="30">
        <f t="shared" si="26"/>
        <v>2.4534688746542521E-3</v>
      </c>
      <c r="M318" s="30">
        <f t="shared" si="26"/>
        <v>3.0709294442969881E-3</v>
      </c>
      <c r="N318" s="30">
        <f t="shared" si="26"/>
        <v>-1.1607795665947496E-2</v>
      </c>
      <c r="O318" s="30">
        <f t="shared" si="26"/>
        <v>1.5586444060027294E-3</v>
      </c>
      <c r="P318" s="30">
        <f t="shared" si="26"/>
        <v>5.0315274658951914E-4</v>
      </c>
      <c r="Q318" s="30">
        <f t="shared" si="26"/>
        <v>1.1187356670636639E-3</v>
      </c>
      <c r="R318" s="30">
        <f t="shared" si="25"/>
        <v>8.3868886231242001E-4</v>
      </c>
      <c r="S318" s="30">
        <f t="shared" si="25"/>
        <v>1.0124198777068383E-3</v>
      </c>
      <c r="T318" s="30">
        <f t="shared" si="25"/>
        <v>1.5406582506412025E-3</v>
      </c>
      <c r="U318" s="63">
        <f t="shared" si="24"/>
        <v>4.0045786115640124E-4</v>
      </c>
    </row>
    <row r="319" spans="1:21">
      <c r="A319" s="28">
        <v>43788</v>
      </c>
      <c r="B319" s="29">
        <v>1473.3000489999999</v>
      </c>
      <c r="C319" s="29">
        <v>17.103000640000001</v>
      </c>
      <c r="D319" s="29">
        <v>55.209999080000003</v>
      </c>
      <c r="E319" s="29">
        <v>8338.7402340000008</v>
      </c>
      <c r="F319" s="29">
        <v>3120.179932</v>
      </c>
      <c r="G319" s="29">
        <v>27934.019530000001</v>
      </c>
      <c r="H319" s="29">
        <v>10.95954132</v>
      </c>
      <c r="I319" s="29">
        <v>8.8923149109999997</v>
      </c>
      <c r="J319" s="29">
        <v>11.6762476</v>
      </c>
      <c r="L319" s="30">
        <f t="shared" si="26"/>
        <v>1.6316710591064432E-3</v>
      </c>
      <c r="M319" s="30">
        <f t="shared" si="26"/>
        <v>6.9473079636233059E-3</v>
      </c>
      <c r="N319" s="30">
        <f t="shared" si="26"/>
        <v>-3.225241340073326E-2</v>
      </c>
      <c r="O319" s="30">
        <f t="shared" si="26"/>
        <v>1.2318891829294909E-3</v>
      </c>
      <c r="P319" s="30">
        <f t="shared" si="26"/>
        <v>-5.9259423606272676E-4</v>
      </c>
      <c r="Q319" s="30">
        <f t="shared" si="26"/>
        <v>-3.645326204754884E-3</v>
      </c>
      <c r="R319" s="30">
        <f t="shared" si="26"/>
        <v>8.3833489968188069E-4</v>
      </c>
      <c r="S319" s="30">
        <f t="shared" si="26"/>
        <v>1.0111811361064316E-3</v>
      </c>
      <c r="T319" s="30">
        <f t="shared" si="26"/>
        <v>1.5386982821243844E-3</v>
      </c>
      <c r="U319" s="63">
        <f t="shared" si="24"/>
        <v>-1.1282957308406958E-3</v>
      </c>
    </row>
    <row r="320" spans="1:21">
      <c r="A320" s="28">
        <v>43789</v>
      </c>
      <c r="B320" s="29">
        <v>1473.3000489999999</v>
      </c>
      <c r="C320" s="29">
        <v>17.100000380000001</v>
      </c>
      <c r="D320" s="29">
        <v>57.11000061</v>
      </c>
      <c r="E320" s="29">
        <v>8283.75</v>
      </c>
      <c r="F320" s="29">
        <v>3108.459961</v>
      </c>
      <c r="G320" s="29">
        <v>27821.089840000001</v>
      </c>
      <c r="H320" s="29">
        <v>10.987076760000001</v>
      </c>
      <c r="I320" s="29">
        <v>8.9102773670000008</v>
      </c>
      <c r="J320" s="29">
        <v>11.7031498</v>
      </c>
      <c r="L320" s="30">
        <f t="shared" si="26"/>
        <v>0</v>
      </c>
      <c r="M320" s="30">
        <f t="shared" si="26"/>
        <v>-1.7542301863593401E-4</v>
      </c>
      <c r="N320" s="30">
        <f t="shared" si="26"/>
        <v>3.4414083710576859E-2</v>
      </c>
      <c r="O320" s="30">
        <f t="shared" si="26"/>
        <v>-6.5945493512060693E-3</v>
      </c>
      <c r="P320" s="30">
        <f t="shared" si="26"/>
        <v>-3.7561843404613215E-3</v>
      </c>
      <c r="Q320" s="30">
        <f t="shared" si="26"/>
        <v>-4.042729685884261E-3</v>
      </c>
      <c r="R320" s="30">
        <f t="shared" si="26"/>
        <v>2.5124628117192405E-3</v>
      </c>
      <c r="S320" s="30">
        <f t="shared" si="26"/>
        <v>2.019997737347401E-3</v>
      </c>
      <c r="T320" s="30">
        <f t="shared" si="26"/>
        <v>2.304010750851182E-3</v>
      </c>
      <c r="U320" s="63">
        <f t="shared" si="24"/>
        <v>1.1191097951787615E-3</v>
      </c>
    </row>
    <row r="321" spans="1:21">
      <c r="A321" s="28">
        <v>43790</v>
      </c>
      <c r="B321" s="29">
        <v>1463.099976</v>
      </c>
      <c r="C321" s="29">
        <v>17.049999239999998</v>
      </c>
      <c r="D321" s="29">
        <v>58.58000183</v>
      </c>
      <c r="E321" s="29">
        <v>8265.6201170000004</v>
      </c>
      <c r="F321" s="29">
        <v>3103.540039</v>
      </c>
      <c r="G321" s="29">
        <v>27766.289059999999</v>
      </c>
      <c r="H321" s="29">
        <v>10.968722339999999</v>
      </c>
      <c r="I321" s="29">
        <v>8.8923149109999997</v>
      </c>
      <c r="J321" s="29">
        <v>11.6762476</v>
      </c>
      <c r="L321" s="30">
        <f t="shared" si="26"/>
        <v>-6.9232828756934373E-3</v>
      </c>
      <c r="M321" s="30">
        <f t="shared" si="26"/>
        <v>-2.9240432098752711E-3</v>
      </c>
      <c r="N321" s="30">
        <f t="shared" si="26"/>
        <v>2.5739821472574143E-2</v>
      </c>
      <c r="O321" s="30">
        <f t="shared" si="26"/>
        <v>-2.1886081786629541E-3</v>
      </c>
      <c r="P321" s="30">
        <f t="shared" si="26"/>
        <v>-1.5827522508661263E-3</v>
      </c>
      <c r="Q321" s="30">
        <f t="shared" si="26"/>
        <v>-1.9697567678031991E-3</v>
      </c>
      <c r="R321" s="30">
        <f t="shared" si="26"/>
        <v>-1.6705462609329924E-3</v>
      </c>
      <c r="S321" s="30">
        <f t="shared" si="26"/>
        <v>-2.0159255722528302E-3</v>
      </c>
      <c r="T321" s="30">
        <f t="shared" si="26"/>
        <v>-2.2987144879578203E-3</v>
      </c>
      <c r="U321" s="63">
        <f t="shared" si="24"/>
        <v>-2.2173345421094717E-4</v>
      </c>
    </row>
    <row r="322" spans="1:21">
      <c r="A322" s="28">
        <v>43791</v>
      </c>
      <c r="B322" s="29">
        <v>1463.099976</v>
      </c>
      <c r="C322" s="29">
        <v>16.98500061</v>
      </c>
      <c r="D322" s="29">
        <v>57.770000459999999</v>
      </c>
      <c r="E322" s="29">
        <v>8272.0498050000006</v>
      </c>
      <c r="F322" s="29">
        <v>3110.290039</v>
      </c>
      <c r="G322" s="29">
        <v>27875.619139999999</v>
      </c>
      <c r="H322" s="29">
        <v>10.968722339999999</v>
      </c>
      <c r="I322" s="29">
        <v>8.901294708</v>
      </c>
      <c r="J322" s="29">
        <v>11.6762476</v>
      </c>
      <c r="L322" s="30">
        <f t="shared" si="26"/>
        <v>0</v>
      </c>
      <c r="M322" s="30">
        <f t="shared" si="26"/>
        <v>-3.8122365335658825E-3</v>
      </c>
      <c r="N322" s="30">
        <f t="shared" si="26"/>
        <v>-1.3827267748311778E-2</v>
      </c>
      <c r="O322" s="30">
        <f t="shared" si="26"/>
        <v>7.7788331776540431E-4</v>
      </c>
      <c r="P322" s="30">
        <f t="shared" si="26"/>
        <v>2.1749356912357243E-3</v>
      </c>
      <c r="Q322" s="30">
        <f t="shared" si="26"/>
        <v>3.9375114104642783E-3</v>
      </c>
      <c r="R322" s="30">
        <f t="shared" si="26"/>
        <v>0</v>
      </c>
      <c r="S322" s="30">
        <f t="shared" si="26"/>
        <v>1.0098379431988658E-3</v>
      </c>
      <c r="T322" s="30">
        <f t="shared" si="26"/>
        <v>0</v>
      </c>
      <c r="U322" s="63">
        <f t="shared" si="24"/>
        <v>-6.224176986158621E-4</v>
      </c>
    </row>
    <row r="323" spans="1:21">
      <c r="A323" s="28">
        <v>43794</v>
      </c>
      <c r="B323" s="29">
        <v>1456.599976</v>
      </c>
      <c r="C323" s="29">
        <v>16.871000290000001</v>
      </c>
      <c r="D323" s="29">
        <v>58.009998320000001</v>
      </c>
      <c r="E323" s="29">
        <v>8371.9296880000002</v>
      </c>
      <c r="F323" s="29">
        <v>3133.639893</v>
      </c>
      <c r="G323" s="29">
        <v>28066.470700000002</v>
      </c>
      <c r="H323" s="29">
        <v>10.97790146</v>
      </c>
      <c r="I323" s="29">
        <v>8.901294708</v>
      </c>
      <c r="J323" s="29">
        <v>11.694180490000001</v>
      </c>
      <c r="L323" s="30">
        <f t="shared" si="26"/>
        <v>-4.4426219032348557E-3</v>
      </c>
      <c r="M323" s="30">
        <f t="shared" si="26"/>
        <v>-6.7118231325161704E-3</v>
      </c>
      <c r="N323" s="30">
        <f t="shared" si="26"/>
        <v>4.1543683241993534E-3</v>
      </c>
      <c r="O323" s="30">
        <f t="shared" si="26"/>
        <v>1.2074381242195509E-2</v>
      </c>
      <c r="P323" s="30">
        <f t="shared" si="26"/>
        <v>7.5072915088996162E-3</v>
      </c>
      <c r="Q323" s="30">
        <f t="shared" si="26"/>
        <v>6.8465406648543503E-3</v>
      </c>
      <c r="R323" s="30">
        <f t="shared" si="26"/>
        <v>8.3684495928260105E-4</v>
      </c>
      <c r="S323" s="30">
        <f t="shared" si="26"/>
        <v>0</v>
      </c>
      <c r="T323" s="30">
        <f t="shared" si="26"/>
        <v>1.5358435872840914E-3</v>
      </c>
      <c r="U323" s="63">
        <f t="shared" si="24"/>
        <v>3.1504986294838091E-3</v>
      </c>
    </row>
    <row r="324" spans="1:21">
      <c r="A324" s="28">
        <v>43795</v>
      </c>
      <c r="B324" s="29">
        <v>1459.8000489999999</v>
      </c>
      <c r="C324" s="29">
        <v>17.030000690000001</v>
      </c>
      <c r="D324" s="29">
        <v>58.409999849999998</v>
      </c>
      <c r="E324" s="29">
        <v>8385.75</v>
      </c>
      <c r="F324" s="29">
        <v>3140.5200199999999</v>
      </c>
      <c r="G324" s="29">
        <v>28121.679690000001</v>
      </c>
      <c r="H324" s="29">
        <v>10.996255870000001</v>
      </c>
      <c r="I324" s="29">
        <v>8.9192609790000006</v>
      </c>
      <c r="J324" s="29">
        <v>11.71211624</v>
      </c>
      <c r="L324" s="30">
        <f t="shared" si="26"/>
        <v>2.1969470360612142E-3</v>
      </c>
      <c r="M324" s="30">
        <f t="shared" si="26"/>
        <v>9.4244797147116088E-3</v>
      </c>
      <c r="N324" s="30">
        <f t="shared" si="26"/>
        <v>6.8953894429280016E-3</v>
      </c>
      <c r="O324" s="30">
        <f t="shared" si="26"/>
        <v>1.6507916949910495E-3</v>
      </c>
      <c r="P324" s="30">
        <f t="shared" si="26"/>
        <v>2.1955704021285882E-3</v>
      </c>
      <c r="Q324" s="30">
        <f t="shared" si="26"/>
        <v>1.9670798865352168E-3</v>
      </c>
      <c r="R324" s="30">
        <f t="shared" si="26"/>
        <v>1.6719415880055433E-3</v>
      </c>
      <c r="S324" s="30">
        <f t="shared" si="26"/>
        <v>2.0183885141846769E-3</v>
      </c>
      <c r="T324" s="30">
        <f t="shared" si="26"/>
        <v>1.5337329550657586E-3</v>
      </c>
      <c r="U324" s="63">
        <f t="shared" ref="U324:U387" si="27">SUMPRODUCT($L$2:$T$2,L324:T324)</f>
        <v>3.4711879737081303E-3</v>
      </c>
    </row>
    <row r="325" spans="1:21">
      <c r="A325" s="28">
        <v>43796</v>
      </c>
      <c r="B325" s="29">
        <v>1453.400024</v>
      </c>
      <c r="C325" s="29">
        <v>16.91200066</v>
      </c>
      <c r="D325" s="29">
        <v>58.11000061</v>
      </c>
      <c r="E325" s="29">
        <v>8444.7099610000005</v>
      </c>
      <c r="F325" s="29">
        <v>3153.6298830000001</v>
      </c>
      <c r="G325" s="29">
        <v>28164</v>
      </c>
      <c r="H325" s="29">
        <v>10.97790146</v>
      </c>
      <c r="I325" s="29">
        <v>8.9102773670000008</v>
      </c>
      <c r="J325" s="29">
        <v>11.694180490000001</v>
      </c>
      <c r="L325" s="30">
        <f t="shared" si="26"/>
        <v>-4.384179192475135E-3</v>
      </c>
      <c r="M325" s="30">
        <f t="shared" si="26"/>
        <v>-6.9289503945405562E-3</v>
      </c>
      <c r="N325" s="30">
        <f t="shared" si="26"/>
        <v>-5.136093832741162E-3</v>
      </c>
      <c r="O325" s="30">
        <f t="shared" si="26"/>
        <v>7.0309705154578683E-3</v>
      </c>
      <c r="P325" s="30">
        <f t="shared" si="26"/>
        <v>4.1744242725763048E-3</v>
      </c>
      <c r="Q325" s="30">
        <f t="shared" si="26"/>
        <v>1.5048997949809184E-3</v>
      </c>
      <c r="R325" s="30">
        <f t="shared" si="26"/>
        <v>-1.6691508652572074E-3</v>
      </c>
      <c r="S325" s="30">
        <f t="shared" si="26"/>
        <v>-1.0072148377708867E-3</v>
      </c>
      <c r="T325" s="30">
        <f t="shared" si="26"/>
        <v>-1.5313842206197137E-3</v>
      </c>
      <c r="U325" s="63">
        <f t="shared" si="27"/>
        <v>1.2964038384749498E-4</v>
      </c>
    </row>
    <row r="326" spans="1:21">
      <c r="A326" s="28">
        <v>43798</v>
      </c>
      <c r="B326" s="29">
        <v>1465.599976</v>
      </c>
      <c r="C326" s="29">
        <v>16.96899986</v>
      </c>
      <c r="D326" s="29">
        <v>55.16999817</v>
      </c>
      <c r="E326" s="29">
        <v>8403.6796880000002</v>
      </c>
      <c r="F326" s="29">
        <v>3140.9799800000001</v>
      </c>
      <c r="G326" s="29">
        <v>28051.410159999999</v>
      </c>
      <c r="H326" s="29">
        <v>11.00089359</v>
      </c>
      <c r="I326" s="29">
        <v>8.926474571</v>
      </c>
      <c r="J326" s="29">
        <v>11.693284029999999</v>
      </c>
      <c r="L326" s="30">
        <f t="shared" si="26"/>
        <v>8.3940771972905726E-3</v>
      </c>
      <c r="M326" s="30">
        <f t="shared" si="26"/>
        <v>3.3703404550364802E-3</v>
      </c>
      <c r="N326" s="30">
        <f t="shared" si="26"/>
        <v>-5.059374305864428E-2</v>
      </c>
      <c r="O326" s="30">
        <f t="shared" si="26"/>
        <v>-4.8586953476779104E-3</v>
      </c>
      <c r="P326" s="30">
        <f t="shared" si="26"/>
        <v>-4.0112199177813057E-3</v>
      </c>
      <c r="Q326" s="30">
        <f t="shared" si="26"/>
        <v>-3.9976509018605499E-3</v>
      </c>
      <c r="R326" s="30">
        <f t="shared" ref="O326:T356" si="28">(H326/H325)-1</f>
        <v>2.0944012007919621E-3</v>
      </c>
      <c r="S326" s="30">
        <f t="shared" si="28"/>
        <v>1.8178114252633826E-3</v>
      </c>
      <c r="T326" s="30">
        <f t="shared" si="28"/>
        <v>-7.6658642370719399E-5</v>
      </c>
      <c r="U326" s="63">
        <f t="shared" si="27"/>
        <v>-4.476590303986493E-3</v>
      </c>
    </row>
    <row r="327" spans="1:21">
      <c r="A327" s="28">
        <v>43801</v>
      </c>
      <c r="B327" s="29">
        <v>1462.3000489999999</v>
      </c>
      <c r="C327" s="29">
        <v>16.836000439999999</v>
      </c>
      <c r="D327" s="29">
        <v>55.959999080000003</v>
      </c>
      <c r="E327" s="29">
        <v>8309.2597659999992</v>
      </c>
      <c r="F327" s="29">
        <v>3113.8701169999999</v>
      </c>
      <c r="G327" s="29">
        <v>27783.039059999999</v>
      </c>
      <c r="H327" s="29">
        <v>10.97329903</v>
      </c>
      <c r="I327" s="29">
        <v>8.8994817729999998</v>
      </c>
      <c r="J327" s="29">
        <v>11.66631699</v>
      </c>
      <c r="L327" s="30">
        <f t="shared" ref="L327:T375" si="29">(B327/B326)-1</f>
        <v>-2.2515877825042274E-3</v>
      </c>
      <c r="M327" s="30">
        <f t="shared" si="29"/>
        <v>-7.8377877952319208E-3</v>
      </c>
      <c r="N327" s="30">
        <f t="shared" si="29"/>
        <v>1.4319393442169481E-2</v>
      </c>
      <c r="O327" s="30">
        <f t="shared" si="28"/>
        <v>-1.1235545083283838E-2</v>
      </c>
      <c r="P327" s="30">
        <f t="shared" si="28"/>
        <v>-8.6310206281544621E-3</v>
      </c>
      <c r="Q327" s="30">
        <f t="shared" si="28"/>
        <v>-9.567116179516888E-3</v>
      </c>
      <c r="R327" s="30">
        <f t="shared" si="28"/>
        <v>-2.5083925932238849E-3</v>
      </c>
      <c r="S327" s="30">
        <f t="shared" si="28"/>
        <v>-3.0239035338422982E-3</v>
      </c>
      <c r="T327" s="30">
        <f t="shared" si="28"/>
        <v>-2.3061990054130677E-3</v>
      </c>
      <c r="U327" s="63">
        <f t="shared" si="27"/>
        <v>-5.1761514353872258E-3</v>
      </c>
    </row>
    <row r="328" spans="1:21">
      <c r="A328" s="28">
        <v>43802</v>
      </c>
      <c r="B328" s="29">
        <v>1478.1999510000001</v>
      </c>
      <c r="C328" s="29">
        <v>17.125</v>
      </c>
      <c r="D328" s="29">
        <v>56.099998470000003</v>
      </c>
      <c r="E328" s="29">
        <v>8254.7402340000008</v>
      </c>
      <c r="F328" s="29">
        <v>3093.1999510000001</v>
      </c>
      <c r="G328" s="29">
        <v>27502.810549999998</v>
      </c>
      <c r="H328" s="29">
        <v>11.0376873</v>
      </c>
      <c r="I328" s="29">
        <v>8.9444713589999996</v>
      </c>
      <c r="J328" s="29">
        <v>11.7292366</v>
      </c>
      <c r="L328" s="30">
        <f t="shared" si="29"/>
        <v>1.087321443425604E-2</v>
      </c>
      <c r="M328" s="30">
        <f t="shared" si="29"/>
        <v>1.716557094601745E-2</v>
      </c>
      <c r="N328" s="30">
        <f t="shared" si="29"/>
        <v>2.5017761311942888E-3</v>
      </c>
      <c r="O328" s="30">
        <f t="shared" si="28"/>
        <v>-6.5612983027781846E-3</v>
      </c>
      <c r="P328" s="30">
        <f t="shared" si="28"/>
        <v>-6.6380951110170949E-3</v>
      </c>
      <c r="Q328" s="30">
        <f t="shared" si="28"/>
        <v>-1.00863159496275E-2</v>
      </c>
      <c r="R328" s="30">
        <f t="shared" si="28"/>
        <v>5.8677221703307136E-3</v>
      </c>
      <c r="S328" s="30">
        <f t="shared" si="28"/>
        <v>5.0553040219143419E-3</v>
      </c>
      <c r="T328" s="30">
        <f t="shared" si="28"/>
        <v>5.3932710772330861E-3</v>
      </c>
      <c r="U328" s="63">
        <f t="shared" si="27"/>
        <v>1.6888674613545237E-3</v>
      </c>
    </row>
    <row r="329" spans="1:21">
      <c r="A329" s="28">
        <v>43803</v>
      </c>
      <c r="B329" s="29">
        <v>1474</v>
      </c>
      <c r="C329" s="29">
        <v>16.79700089</v>
      </c>
      <c r="D329" s="29">
        <v>58.430000309999997</v>
      </c>
      <c r="E329" s="29">
        <v>8296.5302730000003</v>
      </c>
      <c r="F329" s="29">
        <v>3112.76001</v>
      </c>
      <c r="G329" s="29">
        <v>27649.779299999998</v>
      </c>
      <c r="H329" s="29">
        <v>11.01009178</v>
      </c>
      <c r="I329" s="29">
        <v>8.926474571</v>
      </c>
      <c r="J329" s="29">
        <v>11.7022686</v>
      </c>
      <c r="L329" s="30">
        <f t="shared" si="29"/>
        <v>-2.8412604107845851E-3</v>
      </c>
      <c r="M329" s="30">
        <f t="shared" si="29"/>
        <v>-1.9153232700729994E-2</v>
      </c>
      <c r="N329" s="30">
        <f t="shared" si="29"/>
        <v>4.153301075838689E-2</v>
      </c>
      <c r="O329" s="30">
        <f t="shared" si="28"/>
        <v>5.0625504637775709E-3</v>
      </c>
      <c r="P329" s="30">
        <f t="shared" si="28"/>
        <v>6.3235676030823917E-3</v>
      </c>
      <c r="Q329" s="30">
        <f t="shared" si="28"/>
        <v>5.3437720385998144E-3</v>
      </c>
      <c r="R329" s="30">
        <f t="shared" si="28"/>
        <v>-2.5001179368435711E-3</v>
      </c>
      <c r="S329" s="30">
        <f t="shared" si="28"/>
        <v>-2.0120572002157999E-3</v>
      </c>
      <c r="T329" s="30">
        <f t="shared" si="28"/>
        <v>-2.2992118685711826E-3</v>
      </c>
      <c r="U329" s="63">
        <f t="shared" si="27"/>
        <v>2.2135464245060985E-3</v>
      </c>
    </row>
    <row r="330" spans="1:21">
      <c r="A330" s="28">
        <v>43804</v>
      </c>
      <c r="B330" s="29">
        <v>1476.900024</v>
      </c>
      <c r="C330" s="29">
        <v>16.94199944</v>
      </c>
      <c r="D330" s="29">
        <v>58.430000309999997</v>
      </c>
      <c r="E330" s="29">
        <v>8308.4003909999992</v>
      </c>
      <c r="F330" s="29">
        <v>3117.429932</v>
      </c>
      <c r="G330" s="29">
        <v>27677.789059999999</v>
      </c>
      <c r="H330" s="29">
        <v>10.991697309999999</v>
      </c>
      <c r="I330" s="29">
        <v>8.9174785609999994</v>
      </c>
      <c r="J330" s="29">
        <v>11.693284029999999</v>
      </c>
      <c r="L330" s="30">
        <f t="shared" si="29"/>
        <v>1.9674518317502887E-3</v>
      </c>
      <c r="M330" s="30">
        <f t="shared" si="29"/>
        <v>8.6324071153871529E-3</v>
      </c>
      <c r="N330" s="30">
        <f t="shared" si="29"/>
        <v>0</v>
      </c>
      <c r="O330" s="30">
        <f t="shared" si="28"/>
        <v>1.4307328014735443E-3</v>
      </c>
      <c r="P330" s="30">
        <f t="shared" si="28"/>
        <v>1.5002512191744088E-3</v>
      </c>
      <c r="Q330" s="30">
        <f t="shared" si="28"/>
        <v>1.0130192974089347E-3</v>
      </c>
      <c r="R330" s="30">
        <f t="shared" si="28"/>
        <v>-1.6706917950869427E-3</v>
      </c>
      <c r="S330" s="30">
        <f t="shared" si="28"/>
        <v>-1.0077897974668515E-3</v>
      </c>
      <c r="T330" s="30">
        <f t="shared" si="28"/>
        <v>-7.6776309851589453E-4</v>
      </c>
      <c r="U330" s="63">
        <f t="shared" si="27"/>
        <v>1.813075780101917E-3</v>
      </c>
    </row>
    <row r="331" spans="1:21">
      <c r="A331" s="28">
        <v>43805</v>
      </c>
      <c r="B331" s="29">
        <v>1459.099976</v>
      </c>
      <c r="C331" s="29">
        <v>16.481000900000002</v>
      </c>
      <c r="D331" s="29">
        <v>59.200000760000002</v>
      </c>
      <c r="E331" s="29">
        <v>8397.3701170000004</v>
      </c>
      <c r="F331" s="29">
        <v>3145.9099120000001</v>
      </c>
      <c r="G331" s="29">
        <v>28015.060549999998</v>
      </c>
      <c r="H331" s="29">
        <v>10.982495309999999</v>
      </c>
      <c r="I331" s="29">
        <v>8.9084796910000001</v>
      </c>
      <c r="J331" s="29">
        <v>11.675309179999999</v>
      </c>
      <c r="L331" s="30">
        <f t="shared" si="29"/>
        <v>-1.2052303954732779E-2</v>
      </c>
      <c r="M331" s="30">
        <f t="shared" si="29"/>
        <v>-2.7210397546796217E-2</v>
      </c>
      <c r="N331" s="30">
        <f t="shared" si="29"/>
        <v>1.3178169534738604E-2</v>
      </c>
      <c r="O331" s="30">
        <f t="shared" si="28"/>
        <v>1.070840616881874E-2</v>
      </c>
      <c r="P331" s="30">
        <f t="shared" si="28"/>
        <v>9.1357241770397835E-3</v>
      </c>
      <c r="Q331" s="30">
        <f t="shared" si="28"/>
        <v>1.2185636983823356E-2</v>
      </c>
      <c r="R331" s="30">
        <f t="shared" si="28"/>
        <v>-8.3717734763566476E-4</v>
      </c>
      <c r="S331" s="30">
        <f t="shared" si="28"/>
        <v>-1.0091271807879387E-3</v>
      </c>
      <c r="T331" s="30">
        <f t="shared" si="28"/>
        <v>-1.5371943376970565E-3</v>
      </c>
      <c r="U331" s="63">
        <f t="shared" si="27"/>
        <v>3.0479539224110219E-4</v>
      </c>
    </row>
    <row r="332" spans="1:21">
      <c r="A332" s="28">
        <v>43808</v>
      </c>
      <c r="B332" s="29">
        <v>1459.3000489999999</v>
      </c>
      <c r="C332" s="29">
        <v>16.531999590000002</v>
      </c>
      <c r="D332" s="29">
        <v>59.020000459999999</v>
      </c>
      <c r="E332" s="29">
        <v>8362.7402340000008</v>
      </c>
      <c r="F332" s="29">
        <v>3135.959961</v>
      </c>
      <c r="G332" s="29">
        <v>27909.599610000001</v>
      </c>
      <c r="H332" s="29">
        <v>10.982495309999999</v>
      </c>
      <c r="I332" s="29">
        <v>8.9174785609999994</v>
      </c>
      <c r="J332" s="29">
        <v>11.68522263</v>
      </c>
      <c r="L332" s="30">
        <f t="shared" si="29"/>
        <v>1.3712083016304E-4</v>
      </c>
      <c r="M332" s="30">
        <f t="shared" si="29"/>
        <v>3.0943927683422245E-3</v>
      </c>
      <c r="N332" s="30">
        <f t="shared" si="29"/>
        <v>-3.0405455690741823E-3</v>
      </c>
      <c r="O332" s="30">
        <f t="shared" si="28"/>
        <v>-4.1238962338807639E-3</v>
      </c>
      <c r="P332" s="30">
        <f t="shared" si="28"/>
        <v>-3.1628213389220949E-3</v>
      </c>
      <c r="Q332" s="30">
        <f t="shared" si="28"/>
        <v>-3.7644373394009056E-3</v>
      </c>
      <c r="R332" s="30">
        <f t="shared" si="28"/>
        <v>0</v>
      </c>
      <c r="S332" s="30">
        <f t="shared" si="28"/>
        <v>1.0101465471252791E-3</v>
      </c>
      <c r="T332" s="30">
        <f t="shared" si="28"/>
        <v>8.4909528708521087E-4</v>
      </c>
      <c r="U332" s="63">
        <f t="shared" si="27"/>
        <v>-1.1032230015620859E-3</v>
      </c>
    </row>
    <row r="333" spans="1:21">
      <c r="A333" s="28">
        <v>43809</v>
      </c>
      <c r="B333" s="29">
        <v>1462.599976</v>
      </c>
      <c r="C333" s="29">
        <v>16.596000669999999</v>
      </c>
      <c r="D333" s="29">
        <v>59.240001679999999</v>
      </c>
      <c r="E333" s="29">
        <v>8354.2900389999995</v>
      </c>
      <c r="F333" s="29">
        <v>3132.5200199999999</v>
      </c>
      <c r="G333" s="29">
        <v>27881.720700000002</v>
      </c>
      <c r="H333" s="29">
        <v>10.97329903</v>
      </c>
      <c r="I333" s="29">
        <v>8.9174785609999994</v>
      </c>
      <c r="J333" s="29">
        <v>11.68522263</v>
      </c>
      <c r="L333" s="30">
        <f t="shared" si="29"/>
        <v>2.2613080855176104E-3</v>
      </c>
      <c r="M333" s="30">
        <f t="shared" si="29"/>
        <v>3.8713453657905905E-3</v>
      </c>
      <c r="N333" s="30">
        <f t="shared" si="29"/>
        <v>3.7275706249630947E-3</v>
      </c>
      <c r="O333" s="30">
        <f t="shared" si="28"/>
        <v>-1.0104576686055244E-3</v>
      </c>
      <c r="P333" s="30">
        <f t="shared" si="28"/>
        <v>-1.0969339668811529E-3</v>
      </c>
      <c r="Q333" s="30">
        <f t="shared" si="28"/>
        <v>-9.9890039232275463E-4</v>
      </c>
      <c r="R333" s="30">
        <f t="shared" si="28"/>
        <v>-8.3735797197437289E-4</v>
      </c>
      <c r="S333" s="30">
        <f t="shared" si="28"/>
        <v>0</v>
      </c>
      <c r="T333" s="30">
        <f t="shared" si="28"/>
        <v>0</v>
      </c>
      <c r="U333" s="63">
        <f t="shared" si="27"/>
        <v>4.7849684506466871E-4</v>
      </c>
    </row>
    <row r="334" spans="1:21">
      <c r="A334" s="28">
        <v>43810</v>
      </c>
      <c r="B334" s="29">
        <v>1469.400024</v>
      </c>
      <c r="C334" s="29">
        <v>16.743999479999999</v>
      </c>
      <c r="D334" s="29">
        <v>58.759998320000001</v>
      </c>
      <c r="E334" s="29">
        <v>8402.6103519999997</v>
      </c>
      <c r="F334" s="29">
        <v>3141.6298830000001</v>
      </c>
      <c r="G334" s="29">
        <v>27911.300780000001</v>
      </c>
      <c r="H334" s="29">
        <v>11.01009178</v>
      </c>
      <c r="I334" s="29">
        <v>8.9354734419999993</v>
      </c>
      <c r="J334" s="29">
        <v>11.71227646</v>
      </c>
      <c r="L334" s="30">
        <f t="shared" si="29"/>
        <v>4.6492876463715138E-3</v>
      </c>
      <c r="M334" s="30">
        <f t="shared" si="29"/>
        <v>8.9177394568038526E-3</v>
      </c>
      <c r="N334" s="30">
        <f t="shared" si="29"/>
        <v>-8.1026898444881423E-3</v>
      </c>
      <c r="O334" s="30">
        <f t="shared" si="28"/>
        <v>5.7838922008248694E-3</v>
      </c>
      <c r="P334" s="30">
        <f t="shared" si="28"/>
        <v>2.9081579500966903E-3</v>
      </c>
      <c r="Q334" s="30">
        <f t="shared" si="28"/>
        <v>1.0609130016856483E-3</v>
      </c>
      <c r="R334" s="30">
        <f t="shared" si="28"/>
        <v>3.3529342360407721E-3</v>
      </c>
      <c r="S334" s="30">
        <f t="shared" si="28"/>
        <v>2.0179337552543863E-3</v>
      </c>
      <c r="T334" s="30">
        <f t="shared" si="28"/>
        <v>2.3152173353158112E-3</v>
      </c>
      <c r="U334" s="63">
        <f t="shared" si="27"/>
        <v>3.2054140689207204E-3</v>
      </c>
    </row>
    <row r="335" spans="1:21">
      <c r="A335" s="28">
        <v>43811</v>
      </c>
      <c r="B335" s="29">
        <v>1466.6999510000001</v>
      </c>
      <c r="C335" s="29">
        <v>16.844999309999999</v>
      </c>
      <c r="D335" s="29">
        <v>59.180000309999997</v>
      </c>
      <c r="E335" s="29">
        <v>8466.8896480000003</v>
      </c>
      <c r="F335" s="29">
        <v>3168.570068</v>
      </c>
      <c r="G335" s="29">
        <v>28132.050780000001</v>
      </c>
      <c r="H335" s="29">
        <v>10.954901700000001</v>
      </c>
      <c r="I335" s="29">
        <v>8.8994817729999998</v>
      </c>
      <c r="J335" s="29">
        <v>11.65817642</v>
      </c>
      <c r="L335" s="30">
        <f t="shared" si="29"/>
        <v>-1.8375343377563524E-3</v>
      </c>
      <c r="M335" s="30">
        <f t="shared" si="29"/>
        <v>6.032001501232731E-3</v>
      </c>
      <c r="N335" s="30">
        <f t="shared" si="29"/>
        <v>7.1477536080364334E-3</v>
      </c>
      <c r="O335" s="30">
        <f t="shared" si="28"/>
        <v>7.6499198828969828E-3</v>
      </c>
      <c r="P335" s="30">
        <f t="shared" si="28"/>
        <v>8.5752256005007244E-3</v>
      </c>
      <c r="Q335" s="30">
        <f t="shared" si="28"/>
        <v>7.9089828790128713E-3</v>
      </c>
      <c r="R335" s="30">
        <f t="shared" si="28"/>
        <v>-5.0126811931080484E-3</v>
      </c>
      <c r="S335" s="30">
        <f t="shared" si="28"/>
        <v>-4.0279532174339883E-3</v>
      </c>
      <c r="T335" s="30">
        <f t="shared" si="28"/>
        <v>-4.6190883714847253E-3</v>
      </c>
      <c r="U335" s="63">
        <f t="shared" si="27"/>
        <v>3.9717895470503762E-3</v>
      </c>
    </row>
    <row r="336" spans="1:21">
      <c r="A336" s="28">
        <v>43812</v>
      </c>
      <c r="B336" s="29">
        <v>1475.599976</v>
      </c>
      <c r="C336" s="29">
        <v>16.91200066</v>
      </c>
      <c r="D336" s="29">
        <v>60.069999690000003</v>
      </c>
      <c r="E336" s="29">
        <v>8487.7099610000005</v>
      </c>
      <c r="F336" s="29">
        <v>3168.8000489999999</v>
      </c>
      <c r="G336" s="29">
        <v>28135.380860000001</v>
      </c>
      <c r="H336" s="29">
        <v>11.00089359</v>
      </c>
      <c r="I336" s="29">
        <v>8.9354734419999993</v>
      </c>
      <c r="J336" s="29">
        <v>11.71227646</v>
      </c>
      <c r="L336" s="30">
        <f t="shared" si="29"/>
        <v>6.0680611558838748E-3</v>
      </c>
      <c r="M336" s="30">
        <f t="shared" si="29"/>
        <v>3.977521682664964E-3</v>
      </c>
      <c r="N336" s="30">
        <f t="shared" si="29"/>
        <v>1.5038853925954054E-2</v>
      </c>
      <c r="O336" s="30">
        <f t="shared" si="28"/>
        <v>2.4590273247411254E-3</v>
      </c>
      <c r="P336" s="30">
        <f t="shared" si="28"/>
        <v>7.2581951815697821E-5</v>
      </c>
      <c r="Q336" s="30">
        <f t="shared" si="28"/>
        <v>1.1837316895380035E-4</v>
      </c>
      <c r="R336" s="30">
        <f t="shared" si="28"/>
        <v>4.19829326264054E-3</v>
      </c>
      <c r="S336" s="30">
        <f t="shared" si="28"/>
        <v>4.0442432400045192E-3</v>
      </c>
      <c r="T336" s="30">
        <f t="shared" si="28"/>
        <v>4.6405233589696948E-3</v>
      </c>
      <c r="U336" s="63">
        <f t="shared" si="27"/>
        <v>3.514588693008149E-3</v>
      </c>
    </row>
    <row r="337" spans="1:21">
      <c r="A337" s="28">
        <v>43815</v>
      </c>
      <c r="B337" s="29">
        <v>1475</v>
      </c>
      <c r="C337" s="29">
        <v>17.018999099999998</v>
      </c>
      <c r="D337" s="29">
        <v>60.209999080000003</v>
      </c>
      <c r="E337" s="29">
        <v>8570.3300780000009</v>
      </c>
      <c r="F337" s="29">
        <v>3191.4499510000001</v>
      </c>
      <c r="G337" s="29">
        <v>28235.890630000002</v>
      </c>
      <c r="H337" s="29">
        <v>10.97329903</v>
      </c>
      <c r="I337" s="29">
        <v>8.9084796910000001</v>
      </c>
      <c r="J337" s="29">
        <v>11.68522263</v>
      </c>
      <c r="L337" s="30">
        <f t="shared" si="29"/>
        <v>-4.0659800064946072E-4</v>
      </c>
      <c r="M337" s="30">
        <f t="shared" si="29"/>
        <v>6.3267760066418877E-3</v>
      </c>
      <c r="N337" s="30">
        <f t="shared" si="29"/>
        <v>2.3306041405442013E-3</v>
      </c>
      <c r="O337" s="30">
        <f t="shared" si="28"/>
        <v>9.7340881556544634E-3</v>
      </c>
      <c r="P337" s="30">
        <f t="shared" si="28"/>
        <v>7.1477851709664808E-3</v>
      </c>
      <c r="Q337" s="30">
        <f t="shared" si="28"/>
        <v>3.5723621620808999E-3</v>
      </c>
      <c r="R337" s="30">
        <f t="shared" si="28"/>
        <v>-2.5083925932238849E-3</v>
      </c>
      <c r="S337" s="30">
        <f t="shared" si="28"/>
        <v>-3.0209648291402713E-3</v>
      </c>
      <c r="T337" s="30">
        <f t="shared" si="28"/>
        <v>-2.3098694854407631E-3</v>
      </c>
      <c r="U337" s="63">
        <f t="shared" si="27"/>
        <v>3.8567307041314182E-3</v>
      </c>
    </row>
    <row r="338" spans="1:21">
      <c r="A338" s="28">
        <v>43816</v>
      </c>
      <c r="B338" s="29">
        <v>1474.599976</v>
      </c>
      <c r="C338" s="29">
        <v>16.978000640000001</v>
      </c>
      <c r="D338" s="29">
        <v>60.939998629999998</v>
      </c>
      <c r="E338" s="29">
        <v>8575.7001949999994</v>
      </c>
      <c r="F338" s="29">
        <v>3192.5200199999999</v>
      </c>
      <c r="G338" s="29">
        <v>28267.160159999999</v>
      </c>
      <c r="H338" s="29">
        <v>10.97329903</v>
      </c>
      <c r="I338" s="29">
        <v>8.9174785609999994</v>
      </c>
      <c r="J338" s="29">
        <v>11.69424248</v>
      </c>
      <c r="L338" s="30">
        <f t="shared" si="29"/>
        <v>-2.7120271186442668E-4</v>
      </c>
      <c r="M338" s="30">
        <f t="shared" si="29"/>
        <v>-2.4089818536976448E-3</v>
      </c>
      <c r="N338" s="30">
        <f t="shared" si="29"/>
        <v>1.2124224566588238E-2</v>
      </c>
      <c r="O338" s="30">
        <f t="shared" si="28"/>
        <v>6.2659395275610485E-4</v>
      </c>
      <c r="P338" s="30">
        <f t="shared" si="28"/>
        <v>3.3529242708785212E-4</v>
      </c>
      <c r="Q338" s="30">
        <f t="shared" si="28"/>
        <v>1.1074391245435855E-3</v>
      </c>
      <c r="R338" s="30">
        <f t="shared" si="28"/>
        <v>0</v>
      </c>
      <c r="S338" s="30">
        <f t="shared" si="28"/>
        <v>1.0101465471252791E-3</v>
      </c>
      <c r="T338" s="30">
        <f t="shared" si="28"/>
        <v>7.7190228082102408E-4</v>
      </c>
      <c r="U338" s="63">
        <f t="shared" si="27"/>
        <v>9.4982358119775478E-4</v>
      </c>
    </row>
    <row r="339" spans="1:21">
      <c r="A339" s="28">
        <v>43817</v>
      </c>
      <c r="B339" s="29">
        <v>1472.599976</v>
      </c>
      <c r="C339" s="29">
        <v>16.95299911</v>
      </c>
      <c r="D339" s="29">
        <v>60.930000309999997</v>
      </c>
      <c r="E339" s="29">
        <v>8580.6201170000004</v>
      </c>
      <c r="F339" s="29">
        <v>3191.139893</v>
      </c>
      <c r="G339" s="29">
        <v>28239.279299999998</v>
      </c>
      <c r="H339" s="29">
        <v>10.954901700000001</v>
      </c>
      <c r="I339" s="29">
        <v>8.8994817729999998</v>
      </c>
      <c r="J339" s="29">
        <v>11.67620468</v>
      </c>
      <c r="L339" s="30">
        <f t="shared" si="29"/>
        <v>-1.3563000356375809E-3</v>
      </c>
      <c r="M339" s="30">
        <f t="shared" si="29"/>
        <v>-1.4725838766372901E-3</v>
      </c>
      <c r="N339" s="30">
        <f t="shared" si="29"/>
        <v>-1.6406826755455128E-4</v>
      </c>
      <c r="O339" s="30">
        <f t="shared" si="28"/>
        <v>5.7370499062803226E-4</v>
      </c>
      <c r="P339" s="30">
        <f t="shared" si="28"/>
        <v>-4.3230018648399149E-4</v>
      </c>
      <c r="Q339" s="30">
        <f t="shared" si="28"/>
        <v>-9.8633395934322188E-4</v>
      </c>
      <c r="R339" s="30">
        <f t="shared" si="28"/>
        <v>-1.6765541474539347E-3</v>
      </c>
      <c r="S339" s="30">
        <f t="shared" si="28"/>
        <v>-2.018147604941567E-3</v>
      </c>
      <c r="T339" s="30">
        <f t="shared" si="28"/>
        <v>-1.5424513414057373E-3</v>
      </c>
      <c r="U339" s="63">
        <f t="shared" si="27"/>
        <v>-8.7749538858383519E-4</v>
      </c>
    </row>
    <row r="340" spans="1:21">
      <c r="A340" s="28">
        <v>43818</v>
      </c>
      <c r="B340" s="29">
        <v>1478.1999510000001</v>
      </c>
      <c r="C340" s="29">
        <v>17.05800056</v>
      </c>
      <c r="D340" s="29">
        <v>61.22000122</v>
      </c>
      <c r="E340" s="29">
        <v>8641.2900389999995</v>
      </c>
      <c r="F340" s="29">
        <v>3205.3701169999999</v>
      </c>
      <c r="G340" s="29">
        <v>28376.960940000001</v>
      </c>
      <c r="H340" s="29">
        <v>10.964101790000001</v>
      </c>
      <c r="I340" s="29">
        <v>8.9084796910000001</v>
      </c>
      <c r="J340" s="29">
        <v>11.68522263</v>
      </c>
      <c r="L340" s="30">
        <f t="shared" si="29"/>
        <v>3.8027808578477984E-3</v>
      </c>
      <c r="M340" s="30">
        <f t="shared" si="29"/>
        <v>6.1936799098905038E-3</v>
      </c>
      <c r="N340" s="30">
        <f t="shared" si="29"/>
        <v>4.7595750619486843E-3</v>
      </c>
      <c r="O340" s="30">
        <f t="shared" si="28"/>
        <v>7.0705754564055479E-3</v>
      </c>
      <c r="P340" s="30">
        <f t="shared" si="28"/>
        <v>4.4592918133157244E-3</v>
      </c>
      <c r="Q340" s="30">
        <f t="shared" si="28"/>
        <v>4.8755366076216333E-3</v>
      </c>
      <c r="R340" s="30">
        <f t="shared" si="28"/>
        <v>8.3981492960361059E-4</v>
      </c>
      <c r="S340" s="30">
        <f t="shared" si="28"/>
        <v>1.0110608942757171E-3</v>
      </c>
      <c r="T340" s="30">
        <f t="shared" si="28"/>
        <v>7.7233572441959275E-4</v>
      </c>
      <c r="U340" s="63">
        <f t="shared" si="27"/>
        <v>4.0813842577252096E-3</v>
      </c>
    </row>
    <row r="341" spans="1:21">
      <c r="A341" s="28">
        <v>43819</v>
      </c>
      <c r="B341" s="29">
        <v>1474.6999510000001</v>
      </c>
      <c r="C341" s="29">
        <v>17.12800026</v>
      </c>
      <c r="D341" s="29">
        <v>60.439998629999998</v>
      </c>
      <c r="E341" s="29">
        <v>8678.4902340000008</v>
      </c>
      <c r="F341" s="29">
        <v>3221.219971</v>
      </c>
      <c r="G341" s="29">
        <v>28455.089840000001</v>
      </c>
      <c r="H341" s="29">
        <v>10.964101790000001</v>
      </c>
      <c r="I341" s="29">
        <v>8.9084796910000001</v>
      </c>
      <c r="J341" s="29">
        <v>11.68522263</v>
      </c>
      <c r="L341" s="30">
        <f t="shared" si="29"/>
        <v>-2.3677446326745288E-3</v>
      </c>
      <c r="M341" s="30">
        <f t="shared" si="29"/>
        <v>4.1036286611542128E-3</v>
      </c>
      <c r="N341" s="30">
        <f t="shared" si="29"/>
        <v>-1.2740976387716652E-2</v>
      </c>
      <c r="O341" s="30">
        <f t="shared" si="28"/>
        <v>4.3049353548034741E-3</v>
      </c>
      <c r="P341" s="30">
        <f t="shared" si="28"/>
        <v>4.9447812331995245E-3</v>
      </c>
      <c r="Q341" s="30">
        <f t="shared" si="28"/>
        <v>2.7532511379635416E-3</v>
      </c>
      <c r="R341" s="30">
        <f t="shared" si="28"/>
        <v>0</v>
      </c>
      <c r="S341" s="30">
        <f t="shared" si="28"/>
        <v>0</v>
      </c>
      <c r="T341" s="30">
        <f t="shared" si="28"/>
        <v>0</v>
      </c>
      <c r="U341" s="63">
        <f t="shared" si="27"/>
        <v>1.6406507983227909E-3</v>
      </c>
    </row>
    <row r="342" spans="1:21">
      <c r="A342" s="28">
        <v>43822</v>
      </c>
      <c r="B342" s="29">
        <v>1482.5</v>
      </c>
      <c r="C342" s="29">
        <v>17.402999879999999</v>
      </c>
      <c r="D342" s="29">
        <v>60.520000459999999</v>
      </c>
      <c r="E342" s="29">
        <v>8696.0097659999992</v>
      </c>
      <c r="F342" s="29">
        <v>3224.01001</v>
      </c>
      <c r="G342" s="29">
        <v>28551.529299999998</v>
      </c>
      <c r="H342" s="29">
        <v>10.954901700000001</v>
      </c>
      <c r="I342" s="29">
        <v>8.8994817729999998</v>
      </c>
      <c r="J342" s="29">
        <v>11.67620468</v>
      </c>
      <c r="L342" s="30">
        <f t="shared" si="29"/>
        <v>5.2892447678667409E-3</v>
      </c>
      <c r="M342" s="30">
        <f t="shared" si="29"/>
        <v>1.6055559074355186E-2</v>
      </c>
      <c r="N342" s="30">
        <f t="shared" si="29"/>
        <v>1.3236570452253016E-3</v>
      </c>
      <c r="O342" s="30">
        <f t="shared" si="28"/>
        <v>2.0187303929157796E-3</v>
      </c>
      <c r="P342" s="30">
        <f t="shared" si="28"/>
        <v>8.6614358072978348E-4</v>
      </c>
      <c r="Q342" s="30">
        <f t="shared" si="28"/>
        <v>3.3891813570881002E-3</v>
      </c>
      <c r="R342" s="30">
        <f t="shared" si="28"/>
        <v>-8.3911023230298643E-4</v>
      </c>
      <c r="S342" s="30">
        <f t="shared" si="28"/>
        <v>-1.0100396826510094E-3</v>
      </c>
      <c r="T342" s="30">
        <f t="shared" si="28"/>
        <v>-7.7173968229315992E-4</v>
      </c>
      <c r="U342" s="63">
        <f t="shared" si="27"/>
        <v>3.1826751386721747E-3</v>
      </c>
    </row>
    <row r="343" spans="1:21">
      <c r="A343" s="28">
        <v>43823</v>
      </c>
      <c r="B343" s="29">
        <v>1499.099976</v>
      </c>
      <c r="C343" s="29">
        <v>17.756999969999999</v>
      </c>
      <c r="D343" s="29">
        <v>61.11000061</v>
      </c>
      <c r="E343" s="29">
        <v>8699.5097659999992</v>
      </c>
      <c r="F343" s="29">
        <v>3223.3798830000001</v>
      </c>
      <c r="G343" s="29">
        <v>28515.449219999999</v>
      </c>
      <c r="H343" s="29">
        <v>10.964101790000001</v>
      </c>
      <c r="I343" s="29">
        <v>8.9084796910000001</v>
      </c>
      <c r="J343" s="29">
        <v>11.69424248</v>
      </c>
      <c r="L343" s="30">
        <f t="shared" si="29"/>
        <v>1.1197285666104451E-2</v>
      </c>
      <c r="M343" s="30">
        <f t="shared" si="29"/>
        <v>2.0341325773772345E-2</v>
      </c>
      <c r="N343" s="30">
        <f t="shared" si="29"/>
        <v>9.7488457619883118E-3</v>
      </c>
      <c r="O343" s="30">
        <f t="shared" si="28"/>
        <v>4.0248344863691443E-4</v>
      </c>
      <c r="P343" s="30">
        <f t="shared" si="28"/>
        <v>-1.9544821450478977E-4</v>
      </c>
      <c r="Q343" s="30">
        <f t="shared" si="28"/>
        <v>-1.2636829229318858E-3</v>
      </c>
      <c r="R343" s="30">
        <f t="shared" si="28"/>
        <v>8.3981492960361059E-4</v>
      </c>
      <c r="S343" s="30">
        <f t="shared" si="28"/>
        <v>1.0110608942757171E-3</v>
      </c>
      <c r="T343" s="30">
        <f t="shared" si="28"/>
        <v>1.5448341729480397E-3</v>
      </c>
      <c r="U343" s="63">
        <f t="shared" si="27"/>
        <v>4.7066442955233179E-3</v>
      </c>
    </row>
    <row r="344" spans="1:21">
      <c r="A344" s="28">
        <v>43825</v>
      </c>
      <c r="B344" s="29">
        <v>1509.3000489999999</v>
      </c>
      <c r="C344" s="29">
        <v>17.893999099999998</v>
      </c>
      <c r="D344" s="29">
        <v>61.680000309999997</v>
      </c>
      <c r="E344" s="29">
        <v>8778.3095699999994</v>
      </c>
      <c r="F344" s="29">
        <v>3239.9099120000001</v>
      </c>
      <c r="G344" s="29">
        <v>28621.390630000002</v>
      </c>
      <c r="H344" s="29">
        <v>10.97329903</v>
      </c>
      <c r="I344" s="29">
        <v>8.9084796910000001</v>
      </c>
      <c r="J344" s="29">
        <v>11.703257560000001</v>
      </c>
      <c r="L344" s="30">
        <f t="shared" si="29"/>
        <v>6.8041312542852506E-3</v>
      </c>
      <c r="M344" s="30">
        <f t="shared" si="29"/>
        <v>7.7152182368336319E-3</v>
      </c>
      <c r="N344" s="30">
        <f t="shared" si="29"/>
        <v>9.3274373148464207E-3</v>
      </c>
      <c r="O344" s="30">
        <f t="shared" si="28"/>
        <v>9.057959140177152E-3</v>
      </c>
      <c r="P344" s="30">
        <f t="shared" si="28"/>
        <v>5.1281665829021605E-3</v>
      </c>
      <c r="Q344" s="30">
        <f t="shared" si="28"/>
        <v>3.7152285128896345E-3</v>
      </c>
      <c r="R344" s="30">
        <f t="shared" si="28"/>
        <v>8.388502930889441E-4</v>
      </c>
      <c r="S344" s="30">
        <f t="shared" si="28"/>
        <v>0</v>
      </c>
      <c r="T344" s="30">
        <f t="shared" si="28"/>
        <v>7.7089901423010865E-4</v>
      </c>
      <c r="U344" s="63">
        <f t="shared" si="27"/>
        <v>5.1025296864555363E-3</v>
      </c>
    </row>
    <row r="345" spans="1:21">
      <c r="A345" s="28">
        <v>43826</v>
      </c>
      <c r="B345" s="29">
        <v>1513.8000489999999</v>
      </c>
      <c r="C345" s="29">
        <v>17.849000929999999</v>
      </c>
      <c r="D345" s="29">
        <v>61.72000122</v>
      </c>
      <c r="E345" s="29">
        <v>8770.9804690000001</v>
      </c>
      <c r="F345" s="29">
        <v>3240.0200199999999</v>
      </c>
      <c r="G345" s="29">
        <v>28645.259770000001</v>
      </c>
      <c r="H345" s="29">
        <v>10.982495309999999</v>
      </c>
      <c r="I345" s="29">
        <v>8.926474571</v>
      </c>
      <c r="J345" s="29">
        <v>11.71227646</v>
      </c>
      <c r="L345" s="30">
        <f t="shared" si="29"/>
        <v>2.981514512625516E-3</v>
      </c>
      <c r="M345" s="30">
        <f t="shared" si="29"/>
        <v>-2.5147072908928703E-3</v>
      </c>
      <c r="N345" s="30">
        <f t="shared" si="29"/>
        <v>6.4852318091701555E-4</v>
      </c>
      <c r="O345" s="30">
        <f t="shared" si="28"/>
        <v>-8.3491029127602534E-4</v>
      </c>
      <c r="P345" s="30">
        <f t="shared" si="28"/>
        <v>3.3984895565053463E-5</v>
      </c>
      <c r="Q345" s="30">
        <f t="shared" si="28"/>
        <v>8.3396157470350119E-4</v>
      </c>
      <c r="R345" s="30">
        <f t="shared" si="28"/>
        <v>8.380597279684654E-4</v>
      </c>
      <c r="S345" s="30">
        <f t="shared" si="28"/>
        <v>2.0199720518170317E-3</v>
      </c>
      <c r="T345" s="30">
        <f t="shared" si="28"/>
        <v>7.70631591568538E-4</v>
      </c>
      <c r="U345" s="63">
        <f t="shared" si="27"/>
        <v>1.3426665710318674E-4</v>
      </c>
    </row>
    <row r="346" spans="1:21">
      <c r="A346" s="28">
        <v>43829</v>
      </c>
      <c r="B346" s="29">
        <v>1514.5</v>
      </c>
      <c r="C346" s="29">
        <v>17.908000950000002</v>
      </c>
      <c r="D346" s="29">
        <v>61.680000309999997</v>
      </c>
      <c r="E346" s="29">
        <v>8709.7304690000001</v>
      </c>
      <c r="F346" s="29">
        <v>3221.290039</v>
      </c>
      <c r="G346" s="29">
        <v>28462.140630000002</v>
      </c>
      <c r="H346" s="29">
        <v>10.982495309999999</v>
      </c>
      <c r="I346" s="29">
        <v>8.926474571</v>
      </c>
      <c r="J346" s="29">
        <v>11.71227646</v>
      </c>
      <c r="L346" s="30">
        <f t="shared" si="29"/>
        <v>4.6238008808519027E-4</v>
      </c>
      <c r="M346" s="30">
        <f t="shared" si="29"/>
        <v>3.3055082596156193E-3</v>
      </c>
      <c r="N346" s="30">
        <f t="shared" si="29"/>
        <v>-6.4810287118144405E-4</v>
      </c>
      <c r="O346" s="30">
        <f t="shared" si="28"/>
        <v>-6.9832557735683976E-3</v>
      </c>
      <c r="P346" s="30">
        <f t="shared" si="28"/>
        <v>-5.7808226135590557E-3</v>
      </c>
      <c r="Q346" s="30">
        <f t="shared" si="28"/>
        <v>-6.392650702779723E-3</v>
      </c>
      <c r="R346" s="30">
        <f t="shared" si="28"/>
        <v>0</v>
      </c>
      <c r="S346" s="30">
        <f t="shared" si="28"/>
        <v>0</v>
      </c>
      <c r="T346" s="30">
        <f t="shared" si="28"/>
        <v>0</v>
      </c>
      <c r="U346" s="63">
        <f t="shared" si="27"/>
        <v>-2.3022999563868289E-3</v>
      </c>
    </row>
    <row r="347" spans="1:21">
      <c r="A347" s="28">
        <v>43830</v>
      </c>
      <c r="B347" s="29">
        <v>1519.5</v>
      </c>
      <c r="C347" s="29">
        <v>17.82799911</v>
      </c>
      <c r="D347" s="29">
        <v>61.060001370000002</v>
      </c>
      <c r="E347" s="29">
        <v>8733.0703130000002</v>
      </c>
      <c r="F347" s="29">
        <v>3230.780029</v>
      </c>
      <c r="G347" s="29">
        <v>28538.439450000002</v>
      </c>
      <c r="H347" s="29">
        <v>10.97973251</v>
      </c>
      <c r="I347" s="29">
        <v>8.9354915619999993</v>
      </c>
      <c r="J347" s="29">
        <v>11.69424248</v>
      </c>
      <c r="L347" s="30">
        <f t="shared" si="29"/>
        <v>3.301419610432399E-3</v>
      </c>
      <c r="M347" s="30">
        <f t="shared" si="29"/>
        <v>-4.4673797049358255E-3</v>
      </c>
      <c r="N347" s="30">
        <f t="shared" si="29"/>
        <v>-1.0051863438455211E-2</v>
      </c>
      <c r="O347" s="30">
        <f t="shared" si="28"/>
        <v>2.6797435446563878E-3</v>
      </c>
      <c r="P347" s="30">
        <f t="shared" si="28"/>
        <v>2.9460215892096464E-3</v>
      </c>
      <c r="Q347" s="30">
        <f t="shared" si="28"/>
        <v>2.6807126347896393E-3</v>
      </c>
      <c r="R347" s="30">
        <f t="shared" si="28"/>
        <v>-2.5156395901060336E-4</v>
      </c>
      <c r="S347" s="30">
        <f t="shared" si="28"/>
        <v>1.010140221459066E-3</v>
      </c>
      <c r="T347" s="30">
        <f t="shared" si="28"/>
        <v>-1.5397501981437856E-3</v>
      </c>
      <c r="U347" s="63">
        <f t="shared" si="27"/>
        <v>1.0819984068815035E-5</v>
      </c>
    </row>
    <row r="348" spans="1:21">
      <c r="A348" s="28">
        <v>43832</v>
      </c>
      <c r="B348" s="29">
        <v>1524.5</v>
      </c>
      <c r="C348" s="29">
        <v>17.9659996</v>
      </c>
      <c r="D348" s="29">
        <v>61.180000309999997</v>
      </c>
      <c r="E348" s="29">
        <v>8872.2197269999997</v>
      </c>
      <c r="F348" s="29">
        <v>3257.8500979999999</v>
      </c>
      <c r="G348" s="29">
        <v>28868.800780000001</v>
      </c>
      <c r="H348" s="29">
        <v>11.01661015</v>
      </c>
      <c r="I348" s="29">
        <v>8.9535274509999994</v>
      </c>
      <c r="J348" s="29">
        <v>11.721289629999999</v>
      </c>
      <c r="L348" s="30">
        <f t="shared" si="29"/>
        <v>3.2905561039815456E-3</v>
      </c>
      <c r="M348" s="30">
        <f t="shared" si="29"/>
        <v>7.7406605838674647E-3</v>
      </c>
      <c r="N348" s="30">
        <f t="shared" si="29"/>
        <v>1.9652626483390723E-3</v>
      </c>
      <c r="O348" s="30">
        <f t="shared" si="28"/>
        <v>1.5933618877757461E-2</v>
      </c>
      <c r="P348" s="30">
        <f t="shared" si="28"/>
        <v>8.3788028763995825E-3</v>
      </c>
      <c r="Q348" s="30">
        <f t="shared" si="28"/>
        <v>1.1576012436797845E-2</v>
      </c>
      <c r="R348" s="30">
        <f t="shared" si="28"/>
        <v>3.3587011310534098E-3</v>
      </c>
      <c r="S348" s="30">
        <f t="shared" si="28"/>
        <v>2.0184551543533935E-3</v>
      </c>
      <c r="T348" s="30">
        <f t="shared" si="28"/>
        <v>2.3128603709265949E-3</v>
      </c>
      <c r="U348" s="63">
        <f t="shared" si="27"/>
        <v>6.8677016657365713E-3</v>
      </c>
    </row>
    <row r="349" spans="1:21">
      <c r="A349" s="28">
        <v>43833</v>
      </c>
      <c r="B349" s="29">
        <v>1549.1999510000001</v>
      </c>
      <c r="C349" s="29">
        <v>18.068000789999999</v>
      </c>
      <c r="D349" s="29">
        <v>63.049999239999998</v>
      </c>
      <c r="E349" s="29">
        <v>8793.9003909999992</v>
      </c>
      <c r="F349" s="29">
        <v>3234.8500979999999</v>
      </c>
      <c r="G349" s="29">
        <v>28634.880860000001</v>
      </c>
      <c r="H349" s="29">
        <v>11.053481100000001</v>
      </c>
      <c r="I349" s="29">
        <v>8.9805755620000003</v>
      </c>
      <c r="J349" s="29">
        <v>11.76637268</v>
      </c>
      <c r="L349" s="30">
        <f t="shared" si="29"/>
        <v>1.6202001311905523E-2</v>
      </c>
      <c r="M349" s="30">
        <f t="shared" si="29"/>
        <v>5.677456989367835E-3</v>
      </c>
      <c r="N349" s="30">
        <f t="shared" si="29"/>
        <v>3.0565526651269881E-2</v>
      </c>
      <c r="O349" s="30">
        <f t="shared" si="28"/>
        <v>-8.8274793016744901E-3</v>
      </c>
      <c r="P349" s="30">
        <f t="shared" si="28"/>
        <v>-7.0598705613004187E-3</v>
      </c>
      <c r="Q349" s="30">
        <f t="shared" si="28"/>
        <v>-8.1028623870672556E-3</v>
      </c>
      <c r="R349" s="30">
        <f t="shared" si="28"/>
        <v>3.34685075517549E-3</v>
      </c>
      <c r="S349" s="30">
        <f t="shared" si="28"/>
        <v>3.0209446665603323E-3</v>
      </c>
      <c r="T349" s="30">
        <f t="shared" si="28"/>
        <v>3.8462533921705955E-3</v>
      </c>
      <c r="U349" s="63">
        <f t="shared" si="27"/>
        <v>1.5265197851529945E-3</v>
      </c>
    </row>
    <row r="350" spans="1:21">
      <c r="A350" s="28">
        <v>43836</v>
      </c>
      <c r="B350" s="29">
        <v>1566.1999510000001</v>
      </c>
      <c r="C350" s="29">
        <v>18.097000120000001</v>
      </c>
      <c r="D350" s="29">
        <v>63.270000459999999</v>
      </c>
      <c r="E350" s="29">
        <v>8848.5195309999999</v>
      </c>
      <c r="F350" s="29">
        <v>3246.280029</v>
      </c>
      <c r="G350" s="29">
        <v>28703.380860000001</v>
      </c>
      <c r="H350" s="29">
        <v>11.03504562</v>
      </c>
      <c r="I350" s="29">
        <v>8.9715585709999992</v>
      </c>
      <c r="J350" s="29">
        <v>11.748337749999999</v>
      </c>
      <c r="L350" s="30">
        <f t="shared" si="29"/>
        <v>1.0973405975791994E-2</v>
      </c>
      <c r="M350" s="30">
        <f t="shared" si="29"/>
        <v>1.6050104456521996E-3</v>
      </c>
      <c r="N350" s="30">
        <f t="shared" si="29"/>
        <v>3.4893136027260852E-3</v>
      </c>
      <c r="O350" s="30">
        <f t="shared" si="28"/>
        <v>6.2110255485610111E-3</v>
      </c>
      <c r="P350" s="30">
        <f t="shared" si="28"/>
        <v>3.5333726923132414E-3</v>
      </c>
      <c r="Q350" s="30">
        <f t="shared" si="28"/>
        <v>2.3921873583099273E-3</v>
      </c>
      <c r="R350" s="30">
        <f t="shared" si="28"/>
        <v>-1.6678438071424662E-3</v>
      </c>
      <c r="S350" s="30">
        <f t="shared" si="28"/>
        <v>-1.0040549113751185E-3</v>
      </c>
      <c r="T350" s="30">
        <f t="shared" si="28"/>
        <v>-1.5327518930838835E-3</v>
      </c>
      <c r="U350" s="63">
        <f t="shared" si="27"/>
        <v>2.6570168210940477E-3</v>
      </c>
    </row>
    <row r="351" spans="1:21">
      <c r="A351" s="28">
        <v>43837</v>
      </c>
      <c r="B351" s="29">
        <v>1571.8000489999999</v>
      </c>
      <c r="C351" s="29">
        <v>18.315999980000001</v>
      </c>
      <c r="D351" s="29">
        <v>62.700000760000002</v>
      </c>
      <c r="E351" s="29">
        <v>8846.4501949999994</v>
      </c>
      <c r="F351" s="29">
        <v>3237.179932</v>
      </c>
      <c r="G351" s="29">
        <v>28583.679690000001</v>
      </c>
      <c r="H351" s="29">
        <v>11.0258255</v>
      </c>
      <c r="I351" s="29">
        <v>8.9625406269999992</v>
      </c>
      <c r="J351" s="29">
        <v>11.73030758</v>
      </c>
      <c r="L351" s="30">
        <f t="shared" si="29"/>
        <v>3.5755958212260186E-3</v>
      </c>
      <c r="M351" s="30">
        <f t="shared" si="29"/>
        <v>1.2101445463216454E-2</v>
      </c>
      <c r="N351" s="30">
        <f t="shared" si="29"/>
        <v>-9.0090042019259631E-3</v>
      </c>
      <c r="O351" s="30">
        <f t="shared" si="28"/>
        <v>-2.3386239842160261E-4</v>
      </c>
      <c r="P351" s="30">
        <f t="shared" si="28"/>
        <v>-2.8032384509980579E-3</v>
      </c>
      <c r="Q351" s="30">
        <f t="shared" si="28"/>
        <v>-4.1702812147405011E-3</v>
      </c>
      <c r="R351" s="30">
        <f t="shared" si="28"/>
        <v>-8.3553075515063746E-4</v>
      </c>
      <c r="S351" s="30">
        <f t="shared" si="28"/>
        <v>-1.0051702754468872E-3</v>
      </c>
      <c r="T351" s="30">
        <f t="shared" si="28"/>
        <v>-1.5346996642141564E-3</v>
      </c>
      <c r="U351" s="63">
        <f t="shared" si="27"/>
        <v>2.3082246131183177E-5</v>
      </c>
    </row>
    <row r="352" spans="1:21">
      <c r="A352" s="28">
        <v>43838</v>
      </c>
      <c r="B352" s="29">
        <v>1557.400024</v>
      </c>
      <c r="C352" s="29">
        <v>18.08799934</v>
      </c>
      <c r="D352" s="29">
        <v>59.61000061</v>
      </c>
      <c r="E352" s="29">
        <v>8912.3701170000004</v>
      </c>
      <c r="F352" s="29">
        <v>3253.0500489999999</v>
      </c>
      <c r="G352" s="29">
        <v>28745.089840000001</v>
      </c>
      <c r="H352" s="29">
        <v>11.007388110000001</v>
      </c>
      <c r="I352" s="29">
        <v>8.9445075989999996</v>
      </c>
      <c r="J352" s="29">
        <v>11.71227646</v>
      </c>
      <c r="L352" s="30">
        <f t="shared" si="29"/>
        <v>-9.1614865447812166E-3</v>
      </c>
      <c r="M352" s="30">
        <f t="shared" si="29"/>
        <v>-1.2448167735802818E-2</v>
      </c>
      <c r="N352" s="30">
        <f t="shared" si="29"/>
        <v>-4.9282298445700978E-2</v>
      </c>
      <c r="O352" s="30">
        <f t="shared" si="28"/>
        <v>7.4515676397814978E-3</v>
      </c>
      <c r="P352" s="30">
        <f t="shared" si="28"/>
        <v>4.9024513105131451E-3</v>
      </c>
      <c r="Q352" s="30">
        <f t="shared" si="28"/>
        <v>5.646933906010343E-3</v>
      </c>
      <c r="R352" s="30">
        <f t="shared" si="28"/>
        <v>-1.6722004171024762E-3</v>
      </c>
      <c r="S352" s="30">
        <f t="shared" si="28"/>
        <v>-2.0120442127397054E-3</v>
      </c>
      <c r="T352" s="30">
        <f t="shared" si="28"/>
        <v>-1.5371395743060123E-3</v>
      </c>
      <c r="U352" s="63">
        <f t="shared" si="27"/>
        <v>-4.0589479354969614E-3</v>
      </c>
    </row>
    <row r="353" spans="1:21">
      <c r="A353" s="28">
        <v>43839</v>
      </c>
      <c r="B353" s="29">
        <v>1551.6999510000001</v>
      </c>
      <c r="C353" s="29">
        <v>17.86000061</v>
      </c>
      <c r="D353" s="29">
        <v>59.560001370000002</v>
      </c>
      <c r="E353" s="29">
        <v>8989.6298829999996</v>
      </c>
      <c r="F353" s="29">
        <v>3274.6999510000001</v>
      </c>
      <c r="G353" s="29">
        <v>28956.900389999999</v>
      </c>
      <c r="H353" s="29">
        <v>11.01661015</v>
      </c>
      <c r="I353" s="29">
        <v>8.9535274509999994</v>
      </c>
      <c r="J353" s="29">
        <v>11.73030758</v>
      </c>
      <c r="L353" s="30">
        <f t="shared" si="29"/>
        <v>-3.659992880544638E-3</v>
      </c>
      <c r="M353" s="30">
        <f t="shared" si="29"/>
        <v>-1.2604972264445014E-2</v>
      </c>
      <c r="N353" s="30">
        <f t="shared" si="29"/>
        <v>-8.3877268056276044E-4</v>
      </c>
      <c r="O353" s="30">
        <f t="shared" si="28"/>
        <v>8.6688237792804657E-3</v>
      </c>
      <c r="P353" s="30">
        <f t="shared" si="28"/>
        <v>6.6552624994673515E-3</v>
      </c>
      <c r="Q353" s="30">
        <f t="shared" si="28"/>
        <v>7.3685819449154089E-3</v>
      </c>
      <c r="R353" s="30">
        <f t="shared" si="28"/>
        <v>8.3780456433801831E-4</v>
      </c>
      <c r="S353" s="30">
        <f t="shared" si="28"/>
        <v>1.0084235381506712E-3</v>
      </c>
      <c r="T353" s="30">
        <f t="shared" si="28"/>
        <v>1.5395060099188118E-3</v>
      </c>
      <c r="U353" s="63">
        <f t="shared" si="27"/>
        <v>1.4080149355495824E-3</v>
      </c>
    </row>
    <row r="354" spans="1:21">
      <c r="A354" s="28">
        <v>43840</v>
      </c>
      <c r="B354" s="29">
        <v>1557.5</v>
      </c>
      <c r="C354" s="29">
        <v>18.033000950000002</v>
      </c>
      <c r="D354" s="29">
        <v>59.040000919999997</v>
      </c>
      <c r="E354" s="29">
        <v>8966.6396480000003</v>
      </c>
      <c r="F354" s="29">
        <v>3265.3500979999999</v>
      </c>
      <c r="G354" s="29">
        <v>28823.769530000001</v>
      </c>
      <c r="H354" s="29">
        <v>11.03504562</v>
      </c>
      <c r="I354" s="29">
        <v>8.9715585709999992</v>
      </c>
      <c r="J354" s="29">
        <v>11.757353780000001</v>
      </c>
      <c r="L354" s="30">
        <f t="shared" si="29"/>
        <v>3.7378676181964998E-3</v>
      </c>
      <c r="M354" s="30">
        <f t="shared" si="29"/>
        <v>9.6864688740905258E-3</v>
      </c>
      <c r="N354" s="30">
        <f t="shared" si="29"/>
        <v>-8.7306990940051454E-3</v>
      </c>
      <c r="O354" s="30">
        <f t="shared" si="28"/>
        <v>-2.5574173018485524E-3</v>
      </c>
      <c r="P354" s="30">
        <f t="shared" si="28"/>
        <v>-2.8551785323552847E-3</v>
      </c>
      <c r="Q354" s="30">
        <f t="shared" si="28"/>
        <v>-4.5975521622463322E-3</v>
      </c>
      <c r="R354" s="30">
        <f t="shared" si="28"/>
        <v>1.6734249237275733E-3</v>
      </c>
      <c r="S354" s="30">
        <f t="shared" si="28"/>
        <v>2.0138565608558423E-3</v>
      </c>
      <c r="T354" s="30">
        <f t="shared" si="28"/>
        <v>2.3056684418159001E-3</v>
      </c>
      <c r="U354" s="63">
        <f t="shared" si="27"/>
        <v>2.515043391556602E-4</v>
      </c>
    </row>
    <row r="355" spans="1:21">
      <c r="A355" s="28">
        <v>43843</v>
      </c>
      <c r="B355" s="29">
        <v>1548.400024</v>
      </c>
      <c r="C355" s="29">
        <v>17.926000599999998</v>
      </c>
      <c r="D355" s="29">
        <v>58.08000183</v>
      </c>
      <c r="E355" s="29">
        <v>9070.6503909999992</v>
      </c>
      <c r="F355" s="29">
        <v>3288.1298830000001</v>
      </c>
      <c r="G355" s="29">
        <v>28907.050780000001</v>
      </c>
      <c r="H355" s="29">
        <v>11.0258255</v>
      </c>
      <c r="I355" s="29">
        <v>8.9715585709999992</v>
      </c>
      <c r="J355" s="29">
        <v>11.748337749999999</v>
      </c>
      <c r="L355" s="30">
        <f t="shared" si="29"/>
        <v>-5.8426812199037226E-3</v>
      </c>
      <c r="M355" s="30">
        <f t="shared" si="29"/>
        <v>-5.933585335945013E-3</v>
      </c>
      <c r="N355" s="30">
        <f t="shared" si="29"/>
        <v>-1.6260146934970576E-2</v>
      </c>
      <c r="O355" s="30">
        <f t="shared" si="28"/>
        <v>1.1599746067993078E-2</v>
      </c>
      <c r="P355" s="30">
        <f t="shared" si="28"/>
        <v>6.9762152039845038E-3</v>
      </c>
      <c r="Q355" s="30">
        <f t="shared" si="28"/>
        <v>2.8893254198871787E-3</v>
      </c>
      <c r="R355" s="30">
        <f t="shared" si="28"/>
        <v>-8.3553075515063746E-4</v>
      </c>
      <c r="S355" s="30">
        <f t="shared" si="28"/>
        <v>0</v>
      </c>
      <c r="T355" s="30">
        <f t="shared" si="28"/>
        <v>-7.6684177143149235E-4</v>
      </c>
      <c r="U355" s="63">
        <f t="shared" si="27"/>
        <v>1.0289005430117386E-3</v>
      </c>
    </row>
    <row r="356" spans="1:21">
      <c r="A356" s="28">
        <v>43844</v>
      </c>
      <c r="B356" s="29">
        <v>1542.400024</v>
      </c>
      <c r="C356" s="29">
        <v>17.67399979</v>
      </c>
      <c r="D356" s="29">
        <v>58.229999540000001</v>
      </c>
      <c r="E356" s="29">
        <v>9033.4199219999991</v>
      </c>
      <c r="F356" s="29">
        <v>3283.1499020000001</v>
      </c>
      <c r="G356" s="29">
        <v>28939.66992</v>
      </c>
      <c r="H356" s="29">
        <v>11.03504562</v>
      </c>
      <c r="I356" s="29">
        <v>8.9805755620000003</v>
      </c>
      <c r="J356" s="29">
        <v>11.76637268</v>
      </c>
      <c r="L356" s="30">
        <f t="shared" si="29"/>
        <v>-3.8749676485408946E-3</v>
      </c>
      <c r="M356" s="30">
        <f t="shared" si="29"/>
        <v>-1.4057837864849709E-2</v>
      </c>
      <c r="N356" s="30">
        <f t="shared" si="29"/>
        <v>2.5826051183510668E-3</v>
      </c>
      <c r="O356" s="30">
        <f t="shared" si="28"/>
        <v>-4.1044982879001601E-3</v>
      </c>
      <c r="P356" s="30">
        <f t="shared" si="28"/>
        <v>-1.5145329342819425E-3</v>
      </c>
      <c r="Q356" s="30">
        <f t="shared" si="28"/>
        <v>1.1284146642371873E-3</v>
      </c>
      <c r="R356" s="30">
        <f t="shared" si="28"/>
        <v>8.3622945057504339E-4</v>
      </c>
      <c r="S356" s="30">
        <f t="shared" si="28"/>
        <v>1.0050640508716402E-3</v>
      </c>
      <c r="T356" s="30">
        <f t="shared" si="28"/>
        <v>1.5351048279148571E-3</v>
      </c>
      <c r="U356" s="63">
        <f t="shared" si="27"/>
        <v>-2.7531318803912237E-3</v>
      </c>
    </row>
    <row r="357" spans="1:21">
      <c r="A357" s="28">
        <v>43845</v>
      </c>
      <c r="B357" s="29">
        <v>1552.099976</v>
      </c>
      <c r="C357" s="29">
        <v>17.923000340000002</v>
      </c>
      <c r="D357" s="29">
        <v>57.810001370000002</v>
      </c>
      <c r="E357" s="29">
        <v>9035.6699219999991</v>
      </c>
      <c r="F357" s="29">
        <v>3289.290039</v>
      </c>
      <c r="G357" s="29">
        <v>29030.220700000002</v>
      </c>
      <c r="H357" s="29">
        <v>11.053481100000001</v>
      </c>
      <c r="I357" s="29">
        <v>8.9895906449999998</v>
      </c>
      <c r="J357" s="29">
        <v>11.78440475</v>
      </c>
      <c r="L357" s="30">
        <f t="shared" si="29"/>
        <v>6.2888691967499799E-3</v>
      </c>
      <c r="M357" s="30">
        <f t="shared" si="29"/>
        <v>1.4088522856093189E-2</v>
      </c>
      <c r="N357" s="30">
        <f t="shared" si="29"/>
        <v>-7.2127455489929826E-3</v>
      </c>
      <c r="O357" s="30">
        <f t="shared" si="29"/>
        <v>2.4907510327509819E-4</v>
      </c>
      <c r="P357" s="30">
        <f t="shared" si="29"/>
        <v>1.8701969703727173E-3</v>
      </c>
      <c r="Q357" s="30">
        <f t="shared" si="29"/>
        <v>3.1289499932209974E-3</v>
      </c>
      <c r="R357" s="30">
        <f t="shared" si="29"/>
        <v>1.670630157304398E-3</v>
      </c>
      <c r="S357" s="30">
        <f t="shared" si="29"/>
        <v>1.0038424528318046E-3</v>
      </c>
      <c r="T357" s="30">
        <f t="shared" si="29"/>
        <v>1.5325088275208731E-3</v>
      </c>
      <c r="U357" s="63">
        <f t="shared" si="27"/>
        <v>2.9753004255548138E-3</v>
      </c>
    </row>
    <row r="358" spans="1:21">
      <c r="A358" s="28">
        <v>43846</v>
      </c>
      <c r="B358" s="29">
        <v>1549</v>
      </c>
      <c r="C358" s="29">
        <v>17.875</v>
      </c>
      <c r="D358" s="29">
        <v>58.520000459999999</v>
      </c>
      <c r="E358" s="29">
        <v>9125</v>
      </c>
      <c r="F358" s="29">
        <v>3316.8100589999999</v>
      </c>
      <c r="G358" s="29">
        <v>29297.640630000002</v>
      </c>
      <c r="H358" s="29">
        <v>11.044262890000001</v>
      </c>
      <c r="I358" s="29">
        <v>8.9805755620000003</v>
      </c>
      <c r="J358" s="29">
        <v>11.775387759999999</v>
      </c>
      <c r="L358" s="30">
        <f t="shared" si="29"/>
        <v>-1.9972785567519136E-3</v>
      </c>
      <c r="M358" s="30">
        <f t="shared" si="29"/>
        <v>-2.6781420013074486E-3</v>
      </c>
      <c r="N358" s="30">
        <f t="shared" si="29"/>
        <v>1.2281596145549356E-2</v>
      </c>
      <c r="O358" s="30">
        <f t="shared" si="29"/>
        <v>9.8863812834177889E-3</v>
      </c>
      <c r="P358" s="30">
        <f t="shared" si="29"/>
        <v>8.3665531691350381E-3</v>
      </c>
      <c r="Q358" s="30">
        <f t="shared" si="29"/>
        <v>9.2117773668871639E-3</v>
      </c>
      <c r="R358" s="30">
        <f t="shared" si="29"/>
        <v>-8.3396442411254323E-4</v>
      </c>
      <c r="S358" s="30">
        <f t="shared" si="29"/>
        <v>-1.0028357637189567E-3</v>
      </c>
      <c r="T358" s="30">
        <f t="shared" si="29"/>
        <v>-7.6516295827344649E-4</v>
      </c>
      <c r="U358" s="63">
        <f t="shared" si="27"/>
        <v>4.1767028551468561E-3</v>
      </c>
    </row>
    <row r="359" spans="1:21">
      <c r="A359" s="28">
        <v>43847</v>
      </c>
      <c r="B359" s="29">
        <v>1558.8000489999999</v>
      </c>
      <c r="C359" s="29">
        <v>18.01300049</v>
      </c>
      <c r="D359" s="29">
        <v>58.540000919999997</v>
      </c>
      <c r="E359" s="29">
        <v>9173.7304690000001</v>
      </c>
      <c r="F359" s="29">
        <v>3329.6201169999999</v>
      </c>
      <c r="G359" s="29">
        <v>29348.099610000001</v>
      </c>
      <c r="H359" s="29">
        <v>11.03504562</v>
      </c>
      <c r="I359" s="29">
        <v>8.9805755620000003</v>
      </c>
      <c r="J359" s="29">
        <v>11.775387759999999</v>
      </c>
      <c r="L359" s="30">
        <f t="shared" si="29"/>
        <v>6.3266939961263979E-3</v>
      </c>
      <c r="M359" s="30">
        <f t="shared" si="29"/>
        <v>7.720307132867088E-3</v>
      </c>
      <c r="N359" s="30">
        <f t="shared" si="29"/>
        <v>3.4177135753221677E-4</v>
      </c>
      <c r="O359" s="30">
        <f t="shared" si="29"/>
        <v>5.3403253698629527E-3</v>
      </c>
      <c r="P359" s="30">
        <f t="shared" si="29"/>
        <v>3.8621620690157954E-3</v>
      </c>
      <c r="Q359" s="30">
        <f t="shared" si="29"/>
        <v>1.7222881745750929E-3</v>
      </c>
      <c r="R359" s="30">
        <f t="shared" si="29"/>
        <v>-8.3457538921372088E-4</v>
      </c>
      <c r="S359" s="30">
        <f t="shared" si="29"/>
        <v>0</v>
      </c>
      <c r="T359" s="30">
        <f t="shared" si="29"/>
        <v>0</v>
      </c>
      <c r="U359" s="63">
        <f t="shared" si="27"/>
        <v>3.3840173913509612E-3</v>
      </c>
    </row>
    <row r="360" spans="1:21">
      <c r="A360" s="28">
        <v>43851</v>
      </c>
      <c r="B360" s="29">
        <v>1556.400024</v>
      </c>
      <c r="C360" s="29">
        <v>17.750999449999998</v>
      </c>
      <c r="D360" s="29">
        <v>58.340000150000002</v>
      </c>
      <c r="E360" s="29">
        <v>9166.6298829999996</v>
      </c>
      <c r="F360" s="29">
        <v>3320.790039</v>
      </c>
      <c r="G360" s="29">
        <v>29196.039059999999</v>
      </c>
      <c r="H360" s="29">
        <v>11.06270409</v>
      </c>
      <c r="I360" s="29">
        <v>8.9986085889999998</v>
      </c>
      <c r="J360" s="29">
        <v>11.802438739999999</v>
      </c>
      <c r="L360" s="30">
        <f t="shared" si="29"/>
        <v>-1.5396618710267207E-3</v>
      </c>
      <c r="M360" s="30">
        <f t="shared" si="29"/>
        <v>-1.4545108137062002E-2</v>
      </c>
      <c r="N360" s="30">
        <f t="shared" si="29"/>
        <v>-3.4164804724433617E-3</v>
      </c>
      <c r="O360" s="30">
        <f t="shared" si="29"/>
        <v>-7.7401293007184346E-4</v>
      </c>
      <c r="P360" s="30">
        <f t="shared" si="29"/>
        <v>-2.6519776099730441E-3</v>
      </c>
      <c r="Q360" s="30">
        <f t="shared" si="29"/>
        <v>-5.1812741547391239E-3</v>
      </c>
      <c r="R360" s="30">
        <f t="shared" si="29"/>
        <v>2.5064209929384074E-3</v>
      </c>
      <c r="S360" s="30">
        <f t="shared" si="29"/>
        <v>2.0080034821268189E-3</v>
      </c>
      <c r="T360" s="30">
        <f t="shared" si="29"/>
        <v>2.2972474920859298E-3</v>
      </c>
      <c r="U360" s="63">
        <f t="shared" si="27"/>
        <v>-3.0296439698573466E-3</v>
      </c>
    </row>
    <row r="361" spans="1:21">
      <c r="A361" s="28">
        <v>43852</v>
      </c>
      <c r="B361" s="29">
        <v>1555.3000489999999</v>
      </c>
      <c r="C361" s="29">
        <v>17.77099991</v>
      </c>
      <c r="D361" s="29">
        <v>56.740001679999999</v>
      </c>
      <c r="E361" s="29">
        <v>9188.5800780000009</v>
      </c>
      <c r="F361" s="29">
        <v>3321.75</v>
      </c>
      <c r="G361" s="29">
        <v>29186.269530000001</v>
      </c>
      <c r="H361" s="29">
        <v>11.07192135</v>
      </c>
      <c r="I361" s="29">
        <v>9.0076255799999991</v>
      </c>
      <c r="J361" s="29">
        <v>11.811453820000001</v>
      </c>
      <c r="L361" s="30">
        <f t="shared" si="29"/>
        <v>-7.0674311426255354E-4</v>
      </c>
      <c r="M361" s="30">
        <f t="shared" si="29"/>
        <v>1.1267230364317982E-3</v>
      </c>
      <c r="N361" s="30">
        <f t="shared" si="29"/>
        <v>-2.7425410796815042E-2</v>
      </c>
      <c r="O361" s="30">
        <f t="shared" si="29"/>
        <v>2.3945763361417072E-3</v>
      </c>
      <c r="P361" s="30">
        <f t="shared" si="29"/>
        <v>2.8907608994432898E-4</v>
      </c>
      <c r="Q361" s="30">
        <f t="shared" si="29"/>
        <v>-3.3461833572423494E-4</v>
      </c>
      <c r="R361" s="30">
        <f t="shared" si="29"/>
        <v>8.3318327282499993E-4</v>
      </c>
      <c r="S361" s="30">
        <f t="shared" si="29"/>
        <v>1.0020428059314135E-3</v>
      </c>
      <c r="T361" s="30">
        <f t="shared" si="29"/>
        <v>7.6383196715501533E-4</v>
      </c>
      <c r="U361" s="63">
        <f t="shared" si="27"/>
        <v>-1.3566058338310629E-3</v>
      </c>
    </row>
    <row r="362" spans="1:21">
      <c r="A362" s="28">
        <v>43853</v>
      </c>
      <c r="B362" s="29">
        <v>1564.599976</v>
      </c>
      <c r="C362" s="29">
        <v>17.773000719999999</v>
      </c>
      <c r="D362" s="29">
        <v>55.590000150000002</v>
      </c>
      <c r="E362" s="29">
        <v>9216.9804690000001</v>
      </c>
      <c r="F362" s="29">
        <v>3325.540039</v>
      </c>
      <c r="G362" s="29">
        <v>29160.089840000001</v>
      </c>
      <c r="H362" s="29">
        <v>11.09035587</v>
      </c>
      <c r="I362" s="29">
        <v>9.0166406630000004</v>
      </c>
      <c r="J362" s="29">
        <v>11.829485890000001</v>
      </c>
      <c r="L362" s="30">
        <f t="shared" si="29"/>
        <v>5.9795066591681323E-3</v>
      </c>
      <c r="M362" s="30">
        <f t="shared" si="29"/>
        <v>1.1258848743067595E-4</v>
      </c>
      <c r="N362" s="30">
        <f t="shared" si="29"/>
        <v>-2.026791497973035E-2</v>
      </c>
      <c r="O362" s="30">
        <f t="shared" si="29"/>
        <v>3.0908356632812772E-3</v>
      </c>
      <c r="P362" s="30">
        <f t="shared" si="29"/>
        <v>1.1409765936629679E-3</v>
      </c>
      <c r="Q362" s="30">
        <f t="shared" si="29"/>
        <v>-8.9698650843650363E-4</v>
      </c>
      <c r="R362" s="30">
        <f t="shared" si="29"/>
        <v>1.6649793127367918E-3</v>
      </c>
      <c r="S362" s="30">
        <f t="shared" si="29"/>
        <v>1.0008279007531762E-3</v>
      </c>
      <c r="T362" s="30">
        <f t="shared" si="29"/>
        <v>1.5266596538241473E-3</v>
      </c>
      <c r="U362" s="63">
        <f t="shared" si="27"/>
        <v>-1.5909606114455061E-4</v>
      </c>
    </row>
    <row r="363" spans="1:21">
      <c r="A363" s="28">
        <v>43854</v>
      </c>
      <c r="B363" s="29">
        <v>1571.099976</v>
      </c>
      <c r="C363" s="29">
        <v>18.056999210000001</v>
      </c>
      <c r="D363" s="29">
        <v>54.189998629999998</v>
      </c>
      <c r="E363" s="29">
        <v>9141.4697269999997</v>
      </c>
      <c r="F363" s="29">
        <v>3295.469971</v>
      </c>
      <c r="G363" s="29">
        <v>28989.730469999999</v>
      </c>
      <c r="H363" s="29">
        <v>11.108796119999999</v>
      </c>
      <c r="I363" s="29">
        <v>9.0346746440000008</v>
      </c>
      <c r="J363" s="29">
        <v>11.856536869999999</v>
      </c>
      <c r="L363" s="30">
        <f t="shared" si="29"/>
        <v>4.1544165279983059E-3</v>
      </c>
      <c r="M363" s="30">
        <f t="shared" si="29"/>
        <v>1.5979208827714642E-2</v>
      </c>
      <c r="N363" s="30">
        <f t="shared" si="29"/>
        <v>-2.5184412955969404E-2</v>
      </c>
      <c r="O363" s="30">
        <f t="shared" si="29"/>
        <v>-8.1925682986928594E-3</v>
      </c>
      <c r="P363" s="30">
        <f t="shared" si="29"/>
        <v>-9.0421608663121544E-3</v>
      </c>
      <c r="Q363" s="30">
        <f t="shared" si="29"/>
        <v>-5.8422100526698273E-3</v>
      </c>
      <c r="R363" s="30">
        <f t="shared" si="29"/>
        <v>1.6627284296513167E-3</v>
      </c>
      <c r="S363" s="30">
        <f t="shared" si="29"/>
        <v>2.0000775980797414E-3</v>
      </c>
      <c r="T363" s="30">
        <f t="shared" si="29"/>
        <v>2.2867418120737781E-3</v>
      </c>
      <c r="U363" s="63">
        <f t="shared" si="27"/>
        <v>-2.6397154730394804E-3</v>
      </c>
    </row>
    <row r="364" spans="1:21">
      <c r="A364" s="28">
        <v>43857</v>
      </c>
      <c r="B364" s="29">
        <v>1576.8000489999999</v>
      </c>
      <c r="C364" s="29">
        <v>18</v>
      </c>
      <c r="D364" s="29">
        <v>53.13999939</v>
      </c>
      <c r="E364" s="29">
        <v>8952.1796880000002</v>
      </c>
      <c r="F364" s="29">
        <v>3243.6298830000001</v>
      </c>
      <c r="G364" s="29">
        <v>28535.800780000001</v>
      </c>
      <c r="H364" s="29">
        <v>11.145669939999999</v>
      </c>
      <c r="I364" s="29">
        <v>9.0527105330000008</v>
      </c>
      <c r="J364" s="29">
        <v>11.892601969999999</v>
      </c>
      <c r="L364" s="30">
        <f t="shared" si="29"/>
        <v>3.628077835321708E-3</v>
      </c>
      <c r="M364" s="30">
        <f t="shared" si="29"/>
        <v>-3.156626931037021E-3</v>
      </c>
      <c r="N364" s="30">
        <f t="shared" si="29"/>
        <v>-1.9376255149390453E-2</v>
      </c>
      <c r="O364" s="30">
        <f t="shared" si="29"/>
        <v>-2.0706740234660237E-2</v>
      </c>
      <c r="P364" s="30">
        <f t="shared" si="29"/>
        <v>-1.5730711690954746E-2</v>
      </c>
      <c r="Q364" s="30">
        <f t="shared" si="29"/>
        <v>-1.5658292872703483E-2</v>
      </c>
      <c r="R364" s="30">
        <f t="shared" si="29"/>
        <v>3.3193353808711468E-3</v>
      </c>
      <c r="S364" s="30">
        <f t="shared" si="29"/>
        <v>1.9962964589961274E-3</v>
      </c>
      <c r="T364" s="30">
        <f t="shared" si="29"/>
        <v>3.0417903976036609E-3</v>
      </c>
      <c r="U364" s="63">
        <f t="shared" si="27"/>
        <v>-8.7812486776115955E-3</v>
      </c>
    </row>
    <row r="365" spans="1:21">
      <c r="A365" s="28">
        <v>43858</v>
      </c>
      <c r="B365" s="29">
        <v>1569.1999510000001</v>
      </c>
      <c r="C365" s="29">
        <v>17.402000430000001</v>
      </c>
      <c r="D365" s="29">
        <v>53.479999540000001</v>
      </c>
      <c r="E365" s="29">
        <v>9090.9296880000002</v>
      </c>
      <c r="F365" s="29">
        <v>3276.23999</v>
      </c>
      <c r="G365" s="29">
        <v>28722.849610000001</v>
      </c>
      <c r="H365" s="29">
        <v>11.12723446</v>
      </c>
      <c r="I365" s="29">
        <v>9.0436916350000001</v>
      </c>
      <c r="J365" s="29">
        <v>11.874567989999999</v>
      </c>
      <c r="L365" s="30">
        <f t="shared" si="29"/>
        <v>-4.8199503829415846E-3</v>
      </c>
      <c r="M365" s="30">
        <f t="shared" si="29"/>
        <v>-3.3222198333333286E-2</v>
      </c>
      <c r="N365" s="30">
        <f t="shared" si="29"/>
        <v>6.3981963474388781E-3</v>
      </c>
      <c r="O365" s="30">
        <f t="shared" si="29"/>
        <v>1.5499018656427221E-2</v>
      </c>
      <c r="P365" s="30">
        <f t="shared" si="29"/>
        <v>1.0053584464402299E-2</v>
      </c>
      <c r="Q365" s="30">
        <f t="shared" si="29"/>
        <v>6.5548828099155632E-3</v>
      </c>
      <c r="R365" s="30">
        <f t="shared" si="29"/>
        <v>-1.6540486215043115E-3</v>
      </c>
      <c r="S365" s="30">
        <f t="shared" si="29"/>
        <v>-9.9626492718662973E-4</v>
      </c>
      <c r="T365" s="30">
        <f t="shared" si="29"/>
        <v>-1.5164032266019589E-3</v>
      </c>
      <c r="U365" s="63">
        <f t="shared" si="27"/>
        <v>-5.6339432154216902E-5</v>
      </c>
    </row>
    <row r="366" spans="1:21">
      <c r="A366" s="28">
        <v>43859</v>
      </c>
      <c r="B366" s="29">
        <v>1569.8000489999999</v>
      </c>
      <c r="C366" s="29">
        <v>17.430999759999999</v>
      </c>
      <c r="D366" s="29">
        <v>53.33000183</v>
      </c>
      <c r="E366" s="29">
        <v>9101.6103519999997</v>
      </c>
      <c r="F366" s="29">
        <v>3273.3999020000001</v>
      </c>
      <c r="G366" s="29">
        <v>28734.449219999999</v>
      </c>
      <c r="H366" s="29">
        <v>11.15489006</v>
      </c>
      <c r="I366" s="29">
        <v>9.0617246629999997</v>
      </c>
      <c r="J366" s="29">
        <v>11.91063404</v>
      </c>
      <c r="L366" s="30">
        <f t="shared" si="29"/>
        <v>3.8242290258638789E-4</v>
      </c>
      <c r="M366" s="30">
        <f t="shared" si="29"/>
        <v>1.6664365753034094E-3</v>
      </c>
      <c r="N366" s="30">
        <f t="shared" si="29"/>
        <v>-2.8047440405792878E-3</v>
      </c>
      <c r="O366" s="30">
        <f t="shared" si="29"/>
        <v>1.1748703781195857E-3</v>
      </c>
      <c r="P366" s="30">
        <f t="shared" si="29"/>
        <v>-8.668742243146399E-4</v>
      </c>
      <c r="Q366" s="30">
        <f t="shared" si="29"/>
        <v>4.0384607229082548E-4</v>
      </c>
      <c r="R366" s="30">
        <f t="shared" si="29"/>
        <v>2.4853974363006071E-3</v>
      </c>
      <c r="S366" s="30">
        <f t="shared" si="29"/>
        <v>1.9939897032987819E-3</v>
      </c>
      <c r="T366" s="30">
        <f t="shared" si="29"/>
        <v>3.0372515472034678E-3</v>
      </c>
      <c r="U366" s="63">
        <f t="shared" si="27"/>
        <v>5.8091875243098984E-4</v>
      </c>
    </row>
    <row r="367" spans="1:21">
      <c r="A367" s="28">
        <v>43860</v>
      </c>
      <c r="B367" s="29">
        <v>1583.5</v>
      </c>
      <c r="C367" s="29">
        <v>17.951999659999998</v>
      </c>
      <c r="D367" s="29">
        <v>52.13999939</v>
      </c>
      <c r="E367" s="29">
        <v>9136.0898440000001</v>
      </c>
      <c r="F367" s="29">
        <v>3283.6599120000001</v>
      </c>
      <c r="G367" s="29">
        <v>28859.439450000002</v>
      </c>
      <c r="H367" s="29">
        <v>11.15489006</v>
      </c>
      <c r="I367" s="29">
        <v>9.0707445139999994</v>
      </c>
      <c r="J367" s="29">
        <v>11.9016161</v>
      </c>
      <c r="L367" s="30">
        <f t="shared" si="29"/>
        <v>8.72719491168783E-3</v>
      </c>
      <c r="M367" s="30">
        <f t="shared" si="29"/>
        <v>2.9889272398222921E-2</v>
      </c>
      <c r="N367" s="30">
        <f t="shared" si="29"/>
        <v>-2.2313939605578259E-2</v>
      </c>
      <c r="O367" s="30">
        <f t="shared" si="29"/>
        <v>3.7882847832992894E-3</v>
      </c>
      <c r="P367" s="30">
        <f t="shared" si="29"/>
        <v>3.1343588645345033E-3</v>
      </c>
      <c r="Q367" s="30">
        <f t="shared" si="29"/>
        <v>4.3498390744516335E-3</v>
      </c>
      <c r="R367" s="30">
        <f t="shared" si="29"/>
        <v>0</v>
      </c>
      <c r="S367" s="30">
        <f t="shared" si="29"/>
        <v>9.9537906253410746E-4</v>
      </c>
      <c r="T367" s="30">
        <f t="shared" si="29"/>
        <v>-7.5713349681594266E-4</v>
      </c>
      <c r="U367" s="63">
        <f t="shared" si="27"/>
        <v>4.9041826185403066E-3</v>
      </c>
    </row>
    <row r="368" spans="1:21">
      <c r="A368" s="28">
        <v>43861</v>
      </c>
      <c r="B368" s="29">
        <v>1582.900024</v>
      </c>
      <c r="C368" s="29">
        <v>17.972000120000001</v>
      </c>
      <c r="D368" s="29">
        <v>51.560001370000002</v>
      </c>
      <c r="E368" s="29">
        <v>8991.5097659999992</v>
      </c>
      <c r="F368" s="29">
        <v>3225.5200199999999</v>
      </c>
      <c r="G368" s="29">
        <v>28256.029299999998</v>
      </c>
      <c r="H368" s="29">
        <v>11.207557680000001</v>
      </c>
      <c r="I368" s="29">
        <v>9.0951290129999993</v>
      </c>
      <c r="J368" s="29">
        <v>11.935953140000001</v>
      </c>
      <c r="L368" s="30">
        <f t="shared" si="29"/>
        <v>-3.7889232712340348E-4</v>
      </c>
      <c r="M368" s="30">
        <f t="shared" si="29"/>
        <v>1.1141076414213913E-3</v>
      </c>
      <c r="N368" s="30">
        <f t="shared" si="29"/>
        <v>-1.1123859355304022E-2</v>
      </c>
      <c r="O368" s="30">
        <f t="shared" si="29"/>
        <v>-1.5825159391897992E-2</v>
      </c>
      <c r="P368" s="30">
        <f t="shared" si="29"/>
        <v>-1.7705820200054956E-2</v>
      </c>
      <c r="Q368" s="30">
        <f t="shared" si="29"/>
        <v>-2.0908588714809717E-2</v>
      </c>
      <c r="R368" s="30">
        <f t="shared" si="29"/>
        <v>4.7214826606727378E-3</v>
      </c>
      <c r="S368" s="30">
        <f t="shared" si="29"/>
        <v>2.6882577237583583E-3</v>
      </c>
      <c r="T368" s="30">
        <f t="shared" si="29"/>
        <v>2.885073733809973E-3</v>
      </c>
      <c r="U368" s="63">
        <f t="shared" si="27"/>
        <v>-7.8072929032906293E-3</v>
      </c>
    </row>
    <row r="369" spans="1:21">
      <c r="A369" s="28">
        <v>43864</v>
      </c>
      <c r="B369" s="29">
        <v>1577.1999510000001</v>
      </c>
      <c r="C369" s="29">
        <v>17.63999939</v>
      </c>
      <c r="D369" s="29">
        <v>50.11000061</v>
      </c>
      <c r="E369" s="29">
        <v>9126.2304690000001</v>
      </c>
      <c r="F369" s="29">
        <v>3248.919922</v>
      </c>
      <c r="G369" s="29">
        <v>28399.810549999998</v>
      </c>
      <c r="H369" s="29">
        <v>11.207557680000001</v>
      </c>
      <c r="I369" s="29">
        <v>9.0951290129999993</v>
      </c>
      <c r="J369" s="29">
        <v>11.935953140000001</v>
      </c>
      <c r="L369" s="30">
        <f t="shared" si="29"/>
        <v>-3.6010315961685357E-3</v>
      </c>
      <c r="M369" s="30">
        <f t="shared" si="29"/>
        <v>-1.8473220998398321E-2</v>
      </c>
      <c r="N369" s="30">
        <f t="shared" si="29"/>
        <v>-2.8122589632894712E-2</v>
      </c>
      <c r="O369" s="30">
        <f t="shared" si="29"/>
        <v>1.4983101448593938E-2</v>
      </c>
      <c r="P369" s="30">
        <f t="shared" si="29"/>
        <v>7.2546137847255832E-3</v>
      </c>
      <c r="Q369" s="30">
        <f t="shared" si="29"/>
        <v>5.0885157455580199E-3</v>
      </c>
      <c r="R369" s="30">
        <f t="shared" si="29"/>
        <v>0</v>
      </c>
      <c r="S369" s="30">
        <f t="shared" si="29"/>
        <v>0</v>
      </c>
      <c r="T369" s="30">
        <f t="shared" si="29"/>
        <v>0</v>
      </c>
      <c r="U369" s="63">
        <f t="shared" si="27"/>
        <v>-1.006422288539507E-3</v>
      </c>
    </row>
    <row r="370" spans="1:21">
      <c r="A370" s="28">
        <v>43865</v>
      </c>
      <c r="B370" s="29">
        <v>1550.400024</v>
      </c>
      <c r="C370" s="29">
        <v>17.527999879999999</v>
      </c>
      <c r="D370" s="29">
        <v>49.61000061</v>
      </c>
      <c r="E370" s="29">
        <v>9334.0595699999994</v>
      </c>
      <c r="F370" s="29">
        <v>3297.5900879999999</v>
      </c>
      <c r="G370" s="29">
        <v>28807.630860000001</v>
      </c>
      <c r="H370" s="29">
        <v>11.170598979999999</v>
      </c>
      <c r="I370" s="29">
        <v>9.0680341720000008</v>
      </c>
      <c r="J370" s="29">
        <v>11.89981079</v>
      </c>
      <c r="L370" s="30">
        <f t="shared" si="29"/>
        <v>-1.6992092209366261E-2</v>
      </c>
      <c r="M370" s="30">
        <f t="shared" si="29"/>
        <v>-6.3491787909863984E-3</v>
      </c>
      <c r="N370" s="30">
        <f t="shared" si="29"/>
        <v>-9.978048172288756E-3</v>
      </c>
      <c r="O370" s="30">
        <f t="shared" si="29"/>
        <v>2.277272108193551E-2</v>
      </c>
      <c r="P370" s="30">
        <f t="shared" si="29"/>
        <v>1.4980414158696442E-2</v>
      </c>
      <c r="Q370" s="30">
        <f t="shared" si="29"/>
        <v>1.4359965862518864E-2</v>
      </c>
      <c r="R370" s="30">
        <f t="shared" si="29"/>
        <v>-3.2976586920409057E-3</v>
      </c>
      <c r="S370" s="30">
        <f t="shared" si="29"/>
        <v>-2.9790496606778571E-3</v>
      </c>
      <c r="T370" s="30">
        <f t="shared" si="29"/>
        <v>-3.0280237846175284E-3</v>
      </c>
      <c r="U370" s="63">
        <f t="shared" si="27"/>
        <v>4.2201229254472923E-3</v>
      </c>
    </row>
    <row r="371" spans="1:21">
      <c r="A371" s="28">
        <v>43866</v>
      </c>
      <c r="B371" s="29">
        <v>1557.8000489999999</v>
      </c>
      <c r="C371" s="29">
        <v>17.569000240000001</v>
      </c>
      <c r="D371" s="29">
        <v>50.75</v>
      </c>
      <c r="E371" s="29">
        <v>9367.4804690000001</v>
      </c>
      <c r="F371" s="29">
        <v>3334.6899410000001</v>
      </c>
      <c r="G371" s="29">
        <v>29290.849610000001</v>
      </c>
      <c r="H371" s="29">
        <v>11.142881389999999</v>
      </c>
      <c r="I371" s="29">
        <v>9.049967766</v>
      </c>
      <c r="J371" s="29">
        <v>11.872706409999999</v>
      </c>
      <c r="L371" s="30">
        <f t="shared" si="29"/>
        <v>4.7729778672913614E-3</v>
      </c>
      <c r="M371" s="30">
        <f t="shared" si="29"/>
        <v>2.3391351141430761E-3</v>
      </c>
      <c r="N371" s="30">
        <f t="shared" si="29"/>
        <v>2.2979225478384935E-2</v>
      </c>
      <c r="O371" s="30">
        <f t="shared" si="29"/>
        <v>3.5805320021116138E-3</v>
      </c>
      <c r="P371" s="30">
        <f t="shared" si="29"/>
        <v>1.125059574111642E-2</v>
      </c>
      <c r="Q371" s="30">
        <f t="shared" si="29"/>
        <v>1.6773984377554507E-2</v>
      </c>
      <c r="R371" s="30">
        <f t="shared" si="29"/>
        <v>-2.4812984558505446E-3</v>
      </c>
      <c r="S371" s="30">
        <f t="shared" si="29"/>
        <v>-1.9923178119228835E-3</v>
      </c>
      <c r="T371" s="30">
        <f t="shared" si="29"/>
        <v>-2.2777152072684936E-3</v>
      </c>
      <c r="U371" s="63">
        <f t="shared" si="27"/>
        <v>6.1682607064498388E-3</v>
      </c>
    </row>
    <row r="372" spans="1:21">
      <c r="A372" s="28">
        <v>43867</v>
      </c>
      <c r="B372" s="29">
        <v>1565.099976</v>
      </c>
      <c r="C372" s="29">
        <v>17.788999560000001</v>
      </c>
      <c r="D372" s="29">
        <v>50.950000760000002</v>
      </c>
      <c r="E372" s="29">
        <v>9445.9199219999991</v>
      </c>
      <c r="F372" s="29">
        <v>3345.780029</v>
      </c>
      <c r="G372" s="29">
        <v>29379.769530000001</v>
      </c>
      <c r="H372" s="29">
        <v>11.152118679999999</v>
      </c>
      <c r="I372" s="29">
        <v>9.0590000150000005</v>
      </c>
      <c r="J372" s="29">
        <v>11.89077473</v>
      </c>
      <c r="L372" s="30">
        <f t="shared" si="29"/>
        <v>4.6860487677389262E-3</v>
      </c>
      <c r="M372" s="30">
        <f t="shared" si="29"/>
        <v>1.2522017018311571E-2</v>
      </c>
      <c r="N372" s="30">
        <f t="shared" si="29"/>
        <v>3.9409016748768178E-3</v>
      </c>
      <c r="O372" s="30">
        <f t="shared" si="29"/>
        <v>8.373591304468686E-3</v>
      </c>
      <c r="P372" s="30">
        <f t="shared" si="29"/>
        <v>3.325672909989974E-3</v>
      </c>
      <c r="Q372" s="30">
        <f t="shared" si="29"/>
        <v>3.0357576234198991E-3</v>
      </c>
      <c r="R372" s="30">
        <f t="shared" si="29"/>
        <v>8.2898576020817849E-4</v>
      </c>
      <c r="S372" s="30">
        <f t="shared" si="29"/>
        <v>9.9804211833043333E-4</v>
      </c>
      <c r="T372" s="30">
        <f t="shared" si="29"/>
        <v>1.521836671104948E-3</v>
      </c>
      <c r="U372" s="63">
        <f t="shared" si="27"/>
        <v>4.8455053431791673E-3</v>
      </c>
    </row>
    <row r="373" spans="1:21">
      <c r="A373" s="28">
        <v>43868</v>
      </c>
      <c r="B373" s="29">
        <v>1568.599976</v>
      </c>
      <c r="C373" s="29">
        <v>17.665000920000001</v>
      </c>
      <c r="D373" s="29">
        <v>50.319999690000003</v>
      </c>
      <c r="E373" s="29">
        <v>9401.0996090000008</v>
      </c>
      <c r="F373" s="29">
        <v>3327.709961</v>
      </c>
      <c r="G373" s="29">
        <v>29102.509770000001</v>
      </c>
      <c r="H373" s="29">
        <v>11.189077380000001</v>
      </c>
      <c r="I373" s="29">
        <v>9.0860986710000002</v>
      </c>
      <c r="J373" s="29">
        <v>11.91788006</v>
      </c>
      <c r="L373" s="30">
        <f t="shared" si="29"/>
        <v>2.2362788663157218E-3</v>
      </c>
      <c r="M373" s="30">
        <f t="shared" si="29"/>
        <v>-6.9705235295424162E-3</v>
      </c>
      <c r="N373" s="30">
        <f t="shared" si="29"/>
        <v>-1.2365084604563981E-2</v>
      </c>
      <c r="O373" s="30">
        <f t="shared" si="29"/>
        <v>-4.7449389122609098E-3</v>
      </c>
      <c r="P373" s="30">
        <f t="shared" si="29"/>
        <v>-5.4008535657978918E-3</v>
      </c>
      <c r="Q373" s="30">
        <f t="shared" si="29"/>
        <v>-9.4370978545930129E-3</v>
      </c>
      <c r="R373" s="30">
        <f t="shared" si="29"/>
        <v>3.3140518909902106E-3</v>
      </c>
      <c r="S373" s="30">
        <f t="shared" si="29"/>
        <v>2.9913517998818584E-3</v>
      </c>
      <c r="T373" s="30">
        <f t="shared" si="29"/>
        <v>2.2795259867813833E-3</v>
      </c>
      <c r="U373" s="63">
        <f t="shared" si="27"/>
        <v>-3.6263476321588594E-3</v>
      </c>
    </row>
    <row r="374" spans="1:21">
      <c r="A374" s="28">
        <v>43871</v>
      </c>
      <c r="B374" s="29">
        <v>1574.6999510000001</v>
      </c>
      <c r="C374" s="29">
        <v>17.757999420000001</v>
      </c>
      <c r="D374" s="29">
        <v>49.569999690000003</v>
      </c>
      <c r="E374" s="29">
        <v>9516.8398440000001</v>
      </c>
      <c r="F374" s="29">
        <v>3352.0900879999999</v>
      </c>
      <c r="G374" s="29">
        <v>29276.820309999999</v>
      </c>
      <c r="H374" s="29">
        <v>11.19831467</v>
      </c>
      <c r="I374" s="29">
        <v>9.0951290129999993</v>
      </c>
      <c r="J374" s="29">
        <v>11.935953140000001</v>
      </c>
      <c r="L374" s="30">
        <f t="shared" si="29"/>
        <v>3.8888021760368208E-3</v>
      </c>
      <c r="M374" s="30">
        <f t="shared" si="29"/>
        <v>5.26456242041351E-3</v>
      </c>
      <c r="N374" s="30">
        <f t="shared" si="29"/>
        <v>-1.4904610584666744E-2</v>
      </c>
      <c r="O374" s="30">
        <f t="shared" si="29"/>
        <v>1.2311350779561803E-2</v>
      </c>
      <c r="P374" s="30">
        <f t="shared" si="29"/>
        <v>7.3263978188391476E-3</v>
      </c>
      <c r="Q374" s="30">
        <f t="shared" si="29"/>
        <v>5.9895363450641614E-3</v>
      </c>
      <c r="R374" s="30">
        <f t="shared" si="29"/>
        <v>8.2556315291126836E-4</v>
      </c>
      <c r="S374" s="30">
        <f t="shared" si="29"/>
        <v>9.9386351909447335E-4</v>
      </c>
      <c r="T374" s="30">
        <f t="shared" si="29"/>
        <v>1.5164676862842175E-3</v>
      </c>
      <c r="U374" s="63">
        <f t="shared" si="27"/>
        <v>4.0553860062474923E-3</v>
      </c>
    </row>
    <row r="375" spans="1:21">
      <c r="A375" s="28">
        <v>43872</v>
      </c>
      <c r="B375" s="29">
        <v>1565.599976</v>
      </c>
      <c r="C375" s="29">
        <v>17.57299995</v>
      </c>
      <c r="D375" s="29">
        <v>49.939998629999998</v>
      </c>
      <c r="E375" s="29">
        <v>9517.8603519999997</v>
      </c>
      <c r="F375" s="29">
        <v>3357.75</v>
      </c>
      <c r="G375" s="29">
        <v>29276.339840000001</v>
      </c>
      <c r="H375" s="29">
        <v>11.17983437</v>
      </c>
      <c r="I375" s="29">
        <v>9.0860986710000002</v>
      </c>
      <c r="J375" s="29">
        <v>11.91788006</v>
      </c>
      <c r="L375" s="30">
        <f t="shared" si="29"/>
        <v>-5.7788628203241377E-3</v>
      </c>
      <c r="M375" s="30">
        <f t="shared" si="29"/>
        <v>-1.0417810341385891E-2</v>
      </c>
      <c r="N375" s="30">
        <f t="shared" si="29"/>
        <v>7.4641707144218472E-3</v>
      </c>
      <c r="O375" s="30">
        <f t="shared" ref="L375:T403" si="30">(E375/E374)-1</f>
        <v>1.0723181399785453E-4</v>
      </c>
      <c r="P375" s="30">
        <f t="shared" si="30"/>
        <v>1.6884725205512652E-3</v>
      </c>
      <c r="Q375" s="30">
        <f t="shared" si="30"/>
        <v>-1.6411276734018543E-5</v>
      </c>
      <c r="R375" s="30">
        <f t="shared" si="30"/>
        <v>-1.6502751123352866E-3</v>
      </c>
      <c r="S375" s="30">
        <f t="shared" si="30"/>
        <v>-9.9287673512837848E-4</v>
      </c>
      <c r="T375" s="30">
        <f t="shared" si="30"/>
        <v>-1.5141714941417916E-3</v>
      </c>
      <c r="U375" s="63">
        <f t="shared" si="27"/>
        <v>-1.1294110034693289E-3</v>
      </c>
    </row>
    <row r="376" spans="1:21">
      <c r="A376" s="28">
        <v>43873</v>
      </c>
      <c r="B376" s="29">
        <v>1567.400024</v>
      </c>
      <c r="C376" s="29">
        <v>17.478000640000001</v>
      </c>
      <c r="D376" s="29">
        <v>51.16999817</v>
      </c>
      <c r="E376" s="29">
        <v>9613.2001949999994</v>
      </c>
      <c r="F376" s="29">
        <v>3379.4499510000001</v>
      </c>
      <c r="G376" s="29">
        <v>29551.41992</v>
      </c>
      <c r="H376" s="29">
        <v>11.170598979999999</v>
      </c>
      <c r="I376" s="29">
        <v>9.0770635599999991</v>
      </c>
      <c r="J376" s="29">
        <v>11.90885162</v>
      </c>
      <c r="L376" s="30">
        <f t="shared" si="30"/>
        <v>1.1497496343855218E-3</v>
      </c>
      <c r="M376" s="30">
        <f t="shared" si="30"/>
        <v>-5.4059813503839482E-3</v>
      </c>
      <c r="N376" s="30">
        <f t="shared" si="30"/>
        <v>2.4629546931167035E-2</v>
      </c>
      <c r="O376" s="30">
        <f t="shared" si="30"/>
        <v>1.0016940727646473E-2</v>
      </c>
      <c r="P376" s="30">
        <f t="shared" si="30"/>
        <v>6.4626464150101537E-3</v>
      </c>
      <c r="Q376" s="30">
        <f t="shared" si="30"/>
        <v>9.3959860250072413E-3</v>
      </c>
      <c r="R376" s="30">
        <f t="shared" si="30"/>
        <v>-8.2607574444781839E-4</v>
      </c>
      <c r="S376" s="30">
        <f t="shared" si="30"/>
        <v>-9.9438838682641695E-4</v>
      </c>
      <c r="T376" s="30">
        <f t="shared" si="30"/>
        <v>-7.5755419206657848E-4</v>
      </c>
      <c r="U376" s="63">
        <f t="shared" si="27"/>
        <v>4.2983463603642694E-3</v>
      </c>
    </row>
    <row r="377" spans="1:21">
      <c r="A377" s="28">
        <v>43874</v>
      </c>
      <c r="B377" s="29">
        <v>1575.099976</v>
      </c>
      <c r="C377" s="29">
        <v>17.600000380000001</v>
      </c>
      <c r="D377" s="29">
        <v>51.41999817</v>
      </c>
      <c r="E377" s="29">
        <v>9595.7001949999994</v>
      </c>
      <c r="F377" s="29">
        <v>3373.9399410000001</v>
      </c>
      <c r="G377" s="29">
        <v>29423.310549999998</v>
      </c>
      <c r="H377" s="29">
        <v>11.17983437</v>
      </c>
      <c r="I377" s="29">
        <v>9.0770635599999991</v>
      </c>
      <c r="J377" s="29">
        <v>11.90885162</v>
      </c>
      <c r="L377" s="30">
        <f t="shared" si="30"/>
        <v>4.9125634057027856E-3</v>
      </c>
      <c r="M377" s="30">
        <f t="shared" si="30"/>
        <v>6.9801885531914909E-3</v>
      </c>
      <c r="N377" s="30">
        <f t="shared" si="30"/>
        <v>4.8856753750396997E-3</v>
      </c>
      <c r="O377" s="30">
        <f t="shared" si="30"/>
        <v>-1.8204135610431216E-3</v>
      </c>
      <c r="P377" s="30">
        <f t="shared" si="30"/>
        <v>-1.6304458062382787E-3</v>
      </c>
      <c r="Q377" s="30">
        <f t="shared" si="30"/>
        <v>-4.3351341609578764E-3</v>
      </c>
      <c r="R377" s="30">
        <f t="shared" si="30"/>
        <v>8.267587097643414E-4</v>
      </c>
      <c r="S377" s="30">
        <f t="shared" si="30"/>
        <v>0</v>
      </c>
      <c r="T377" s="30">
        <f t="shared" si="30"/>
        <v>0</v>
      </c>
      <c r="U377" s="63">
        <f t="shared" si="27"/>
        <v>8.9655089050832233E-4</v>
      </c>
    </row>
    <row r="378" spans="1:21">
      <c r="A378" s="28">
        <v>43875</v>
      </c>
      <c r="B378" s="29">
        <v>1582.6999510000001</v>
      </c>
      <c r="C378" s="29">
        <v>17.715000150000002</v>
      </c>
      <c r="D378" s="29">
        <v>52.049999239999998</v>
      </c>
      <c r="E378" s="29">
        <v>9623.5800780000009</v>
      </c>
      <c r="F378" s="29">
        <v>3380.1599120000001</v>
      </c>
      <c r="G378" s="29">
        <v>29398.08008</v>
      </c>
      <c r="H378" s="29">
        <v>11.189077380000001</v>
      </c>
      <c r="I378" s="29">
        <v>9.0951290129999993</v>
      </c>
      <c r="J378" s="29">
        <v>11.926917080000001</v>
      </c>
      <c r="L378" s="30">
        <f t="shared" si="30"/>
        <v>4.8250746719584736E-3</v>
      </c>
      <c r="M378" s="30">
        <f t="shared" si="30"/>
        <v>6.5340776998323857E-3</v>
      </c>
      <c r="N378" s="30">
        <f t="shared" si="30"/>
        <v>1.2252063252066847E-2</v>
      </c>
      <c r="O378" s="30">
        <f t="shared" si="30"/>
        <v>2.9054558222367799E-3</v>
      </c>
      <c r="P378" s="30">
        <f t="shared" si="30"/>
        <v>1.8435334086464028E-3</v>
      </c>
      <c r="Q378" s="30">
        <f t="shared" si="30"/>
        <v>-8.5749936116552572E-4</v>
      </c>
      <c r="R378" s="30">
        <f t="shared" si="30"/>
        <v>8.2675732878501051E-4</v>
      </c>
      <c r="S378" s="30">
        <f t="shared" si="30"/>
        <v>1.9902309684829422E-3</v>
      </c>
      <c r="T378" s="30">
        <f t="shared" si="30"/>
        <v>1.5169775034951094E-3</v>
      </c>
      <c r="U378" s="63">
        <f t="shared" si="27"/>
        <v>3.5080543179258367E-3</v>
      </c>
    </row>
    <row r="379" spans="1:21">
      <c r="A379" s="28">
        <v>43879</v>
      </c>
      <c r="B379" s="29">
        <v>1600</v>
      </c>
      <c r="C379" s="29">
        <v>18.131000520000001</v>
      </c>
      <c r="D379" s="29">
        <v>52.049999239999998</v>
      </c>
      <c r="E379" s="29">
        <v>9629.7998050000006</v>
      </c>
      <c r="F379" s="29">
        <v>3370.290039</v>
      </c>
      <c r="G379" s="29">
        <v>29232.189450000002</v>
      </c>
      <c r="H379" s="29">
        <v>11.207557680000001</v>
      </c>
      <c r="I379" s="29">
        <v>9.1041612629999999</v>
      </c>
      <c r="J379" s="29">
        <v>11.9449892</v>
      </c>
      <c r="L379" s="30">
        <f t="shared" si="30"/>
        <v>1.0930719362864272E-2</v>
      </c>
      <c r="M379" s="30">
        <f t="shared" si="30"/>
        <v>2.3482944763057123E-2</v>
      </c>
      <c r="N379" s="30">
        <f t="shared" si="30"/>
        <v>0</v>
      </c>
      <c r="O379" s="30">
        <f t="shared" si="30"/>
        <v>6.4630074770399837E-4</v>
      </c>
      <c r="P379" s="30">
        <f t="shared" si="30"/>
        <v>-2.9199426231170111E-3</v>
      </c>
      <c r="Q379" s="30">
        <f t="shared" si="30"/>
        <v>-5.6429069363905793E-3</v>
      </c>
      <c r="R379" s="30">
        <f t="shared" si="30"/>
        <v>1.651637518660154E-3</v>
      </c>
      <c r="S379" s="30">
        <f t="shared" si="30"/>
        <v>9.9308651774920875E-4</v>
      </c>
      <c r="T379" s="30">
        <f t="shared" si="30"/>
        <v>1.5152381691581063E-3</v>
      </c>
      <c r="U379" s="63">
        <f t="shared" si="27"/>
        <v>3.5118664758860443E-3</v>
      </c>
    </row>
    <row r="380" spans="1:21">
      <c r="A380" s="28">
        <v>43880</v>
      </c>
      <c r="B380" s="29">
        <v>1607.5</v>
      </c>
      <c r="C380" s="29">
        <v>18.291999820000001</v>
      </c>
      <c r="D380" s="29">
        <v>53.290000919999997</v>
      </c>
      <c r="E380" s="29">
        <v>9718.7304690000001</v>
      </c>
      <c r="F380" s="29">
        <v>3386.1499020000001</v>
      </c>
      <c r="G380" s="29">
        <v>29348.029299999998</v>
      </c>
      <c r="H380" s="29">
        <v>11.19831467</v>
      </c>
      <c r="I380" s="29">
        <v>9.0951290129999993</v>
      </c>
      <c r="J380" s="29">
        <v>11.9449892</v>
      </c>
      <c r="L380" s="30">
        <f t="shared" si="30"/>
        <v>4.6874999999999556E-3</v>
      </c>
      <c r="M380" s="30">
        <f t="shared" si="30"/>
        <v>8.8797802317861496E-3</v>
      </c>
      <c r="N380" s="30">
        <f t="shared" si="30"/>
        <v>2.3823279502510841E-2</v>
      </c>
      <c r="O380" s="30">
        <f t="shared" si="30"/>
        <v>9.2349442149175509E-3</v>
      </c>
      <c r="P380" s="30">
        <f t="shared" si="30"/>
        <v>4.70578579780212E-3</v>
      </c>
      <c r="Q380" s="30">
        <f t="shared" si="30"/>
        <v>3.9627497009122603E-3</v>
      </c>
      <c r="R380" s="30">
        <f t="shared" si="30"/>
        <v>-8.2471224007119037E-4</v>
      </c>
      <c r="S380" s="30">
        <f t="shared" si="30"/>
        <v>-9.9210127534854475E-4</v>
      </c>
      <c r="T380" s="30">
        <f t="shared" si="30"/>
        <v>0</v>
      </c>
      <c r="U380" s="63">
        <f t="shared" si="27"/>
        <v>5.8911034725439284E-3</v>
      </c>
    </row>
    <row r="381" spans="1:21">
      <c r="A381" s="28">
        <v>43881</v>
      </c>
      <c r="B381" s="29">
        <v>1616.599976</v>
      </c>
      <c r="C381" s="29">
        <v>18.309000019999999</v>
      </c>
      <c r="D381" s="29">
        <v>53.77999878</v>
      </c>
      <c r="E381" s="29">
        <v>9627.8300780000009</v>
      </c>
      <c r="F381" s="29">
        <v>3373.2299800000001</v>
      </c>
      <c r="G381" s="29">
        <v>29219.980469999999</v>
      </c>
      <c r="H381" s="29">
        <v>11.226036069999999</v>
      </c>
      <c r="I381" s="29">
        <v>9.1131925579999997</v>
      </c>
      <c r="J381" s="29">
        <v>11.96306038</v>
      </c>
      <c r="L381" s="30">
        <f t="shared" si="30"/>
        <v>5.6609493001555933E-3</v>
      </c>
      <c r="M381" s="30">
        <f t="shared" si="30"/>
        <v>9.293789726265711E-4</v>
      </c>
      <c r="N381" s="30">
        <f t="shared" si="30"/>
        <v>9.1949305974978746E-3</v>
      </c>
      <c r="O381" s="30">
        <f t="shared" si="30"/>
        <v>-9.3531136901003897E-3</v>
      </c>
      <c r="P381" s="30">
        <f t="shared" si="30"/>
        <v>-3.8155198009305336E-3</v>
      </c>
      <c r="Q381" s="30">
        <f t="shared" si="30"/>
        <v>-4.3631151070167018E-3</v>
      </c>
      <c r="R381" s="30">
        <f t="shared" si="30"/>
        <v>2.4754975026968218E-3</v>
      </c>
      <c r="S381" s="30">
        <f t="shared" si="30"/>
        <v>1.9860680342391746E-3</v>
      </c>
      <c r="T381" s="30">
        <f t="shared" si="30"/>
        <v>1.5128670020061463E-3</v>
      </c>
      <c r="U381" s="63">
        <f t="shared" si="27"/>
        <v>-7.3737487755522559E-4</v>
      </c>
    </row>
    <row r="382" spans="1:21">
      <c r="A382" s="28">
        <v>43882</v>
      </c>
      <c r="B382" s="29">
        <v>1644.599976</v>
      </c>
      <c r="C382" s="29">
        <v>18.52099991</v>
      </c>
      <c r="D382" s="29">
        <v>53.380001069999999</v>
      </c>
      <c r="E382" s="29">
        <v>9446.6904300000006</v>
      </c>
      <c r="F382" s="29">
        <v>3337.75</v>
      </c>
      <c r="G382" s="29">
        <v>28992.410159999999</v>
      </c>
      <c r="H382" s="29">
        <v>11.244513510000001</v>
      </c>
      <c r="I382" s="29">
        <v>9.1402893069999998</v>
      </c>
      <c r="J382" s="29">
        <v>11.99017048</v>
      </c>
      <c r="L382" s="30">
        <f t="shared" si="30"/>
        <v>1.7320302125255038E-2</v>
      </c>
      <c r="M382" s="30">
        <f t="shared" si="30"/>
        <v>1.1578998840374721E-2</v>
      </c>
      <c r="N382" s="30">
        <f t="shared" si="30"/>
        <v>-7.4376667734092905E-3</v>
      </c>
      <c r="O382" s="30">
        <f t="shared" si="30"/>
        <v>-1.8814171680689773E-2</v>
      </c>
      <c r="P382" s="30">
        <f t="shared" si="30"/>
        <v>-1.0518102889622738E-2</v>
      </c>
      <c r="Q382" s="30">
        <f t="shared" si="30"/>
        <v>-7.7881746099606186E-3</v>
      </c>
      <c r="R382" s="30">
        <f t="shared" si="30"/>
        <v>1.6459451835701966E-3</v>
      </c>
      <c r="S382" s="30">
        <f t="shared" si="30"/>
        <v>2.9733541596477231E-3</v>
      </c>
      <c r="T382" s="30">
        <f t="shared" si="30"/>
        <v>2.2661508960803989E-3</v>
      </c>
      <c r="U382" s="63">
        <f t="shared" si="27"/>
        <v>-2.8401957077818715E-3</v>
      </c>
    </row>
    <row r="383" spans="1:21">
      <c r="A383" s="28">
        <v>43885</v>
      </c>
      <c r="B383" s="29">
        <v>1672.400024</v>
      </c>
      <c r="C383" s="29">
        <v>18.868000030000001</v>
      </c>
      <c r="D383" s="29">
        <v>51.430000309999997</v>
      </c>
      <c r="E383" s="29">
        <v>9079.6298829999996</v>
      </c>
      <c r="F383" s="29">
        <v>3225.889893</v>
      </c>
      <c r="G383" s="29">
        <v>27960.800780000001</v>
      </c>
      <c r="H383" s="29">
        <v>11.290713309999999</v>
      </c>
      <c r="I383" s="29">
        <v>9.1673803330000005</v>
      </c>
      <c r="J383" s="29">
        <v>12.02630901</v>
      </c>
      <c r="L383" s="30">
        <f t="shared" si="30"/>
        <v>1.6903835829801928E-2</v>
      </c>
      <c r="M383" s="30">
        <f t="shared" si="30"/>
        <v>1.8735496014588682E-2</v>
      </c>
      <c r="N383" s="30">
        <f t="shared" si="30"/>
        <v>-3.6530549286480252E-2</v>
      </c>
      <c r="O383" s="30">
        <f t="shared" si="30"/>
        <v>-3.8855994035151276E-2</v>
      </c>
      <c r="P383" s="30">
        <f t="shared" si="30"/>
        <v>-3.3513626544828146E-2</v>
      </c>
      <c r="Q383" s="30">
        <f t="shared" si="30"/>
        <v>-3.5582049726354925E-2</v>
      </c>
      <c r="R383" s="30">
        <f t="shared" si="30"/>
        <v>4.1086526294722425E-3</v>
      </c>
      <c r="S383" s="30">
        <f t="shared" si="30"/>
        <v>2.9639134047161342E-3</v>
      </c>
      <c r="T383" s="30">
        <f t="shared" si="30"/>
        <v>3.0140130251092856E-3</v>
      </c>
      <c r="U383" s="63">
        <f t="shared" si="27"/>
        <v>-1.4054906543967962E-2</v>
      </c>
    </row>
    <row r="384" spans="1:21">
      <c r="A384" s="28">
        <v>43886</v>
      </c>
      <c r="B384" s="29">
        <v>1646.900024</v>
      </c>
      <c r="C384" s="29">
        <v>18.18300056</v>
      </c>
      <c r="D384" s="29">
        <v>49.900001529999997</v>
      </c>
      <c r="E384" s="29">
        <v>8834.8701170000004</v>
      </c>
      <c r="F384" s="29">
        <v>3128.209961</v>
      </c>
      <c r="G384" s="29">
        <v>27081.359380000002</v>
      </c>
      <c r="H384" s="29">
        <v>11.299950600000001</v>
      </c>
      <c r="I384" s="29">
        <v>9.1764163970000006</v>
      </c>
      <c r="J384" s="29">
        <v>12.035346029999999</v>
      </c>
      <c r="L384" s="30">
        <f t="shared" si="30"/>
        <v>-1.5247548214577189E-2</v>
      </c>
      <c r="M384" s="30">
        <f t="shared" si="30"/>
        <v>-3.6304826632968856E-2</v>
      </c>
      <c r="N384" s="30">
        <f t="shared" si="30"/>
        <v>-2.9749149733186098E-2</v>
      </c>
      <c r="O384" s="30">
        <f t="shared" si="30"/>
        <v>-2.6957020181876401E-2</v>
      </c>
      <c r="P384" s="30">
        <f t="shared" si="30"/>
        <v>-3.0279995672499505E-2</v>
      </c>
      <c r="Q384" s="30">
        <f t="shared" si="30"/>
        <v>-3.1452654268366076E-2</v>
      </c>
      <c r="R384" s="30">
        <f t="shared" si="30"/>
        <v>8.1813165797250953E-4</v>
      </c>
      <c r="S384" s="30">
        <f t="shared" si="30"/>
        <v>9.8567569706609071E-4</v>
      </c>
      <c r="T384" s="30">
        <f t="shared" si="30"/>
        <v>7.5143753519757439E-4</v>
      </c>
      <c r="U384" s="63">
        <f t="shared" si="27"/>
        <v>-2.1776746149682127E-2</v>
      </c>
    </row>
    <row r="385" spans="1:21">
      <c r="A385" s="28">
        <v>43887</v>
      </c>
      <c r="B385" s="29">
        <v>1640</v>
      </c>
      <c r="C385" s="29">
        <v>17.82600021</v>
      </c>
      <c r="D385" s="29">
        <v>48.729999540000001</v>
      </c>
      <c r="E385" s="29">
        <v>8873.7597659999992</v>
      </c>
      <c r="F385" s="29">
        <v>3116.389893</v>
      </c>
      <c r="G385" s="29">
        <v>26957.589840000001</v>
      </c>
      <c r="H385" s="29">
        <v>11.290713309999999</v>
      </c>
      <c r="I385" s="29">
        <v>9.1854486469999994</v>
      </c>
      <c r="J385" s="29">
        <v>12.02630901</v>
      </c>
      <c r="L385" s="30">
        <f t="shared" si="30"/>
        <v>-4.1897042318581601E-3</v>
      </c>
      <c r="M385" s="30">
        <f t="shared" si="30"/>
        <v>-1.9633742452021319E-2</v>
      </c>
      <c r="N385" s="30">
        <f t="shared" si="30"/>
        <v>-2.3446932948420596E-2</v>
      </c>
      <c r="O385" s="30">
        <f t="shared" si="30"/>
        <v>4.4018359619308889E-3</v>
      </c>
      <c r="P385" s="30">
        <f t="shared" si="30"/>
        <v>-3.7785404903645237E-3</v>
      </c>
      <c r="Q385" s="30">
        <f t="shared" si="30"/>
        <v>-4.5702853487999962E-3</v>
      </c>
      <c r="R385" s="30">
        <f t="shared" si="30"/>
        <v>-8.1746286572270677E-4</v>
      </c>
      <c r="S385" s="30">
        <f t="shared" si="30"/>
        <v>9.8428946652329152E-4</v>
      </c>
      <c r="T385" s="30">
        <f t="shared" si="30"/>
        <v>-7.5087330081524684E-4</v>
      </c>
      <c r="U385" s="63">
        <f t="shared" si="27"/>
        <v>-5.7643589187790648E-3</v>
      </c>
    </row>
    <row r="386" spans="1:21">
      <c r="A386" s="28">
        <v>43888</v>
      </c>
      <c r="B386" s="29">
        <v>1640</v>
      </c>
      <c r="C386" s="29">
        <v>17.658000950000002</v>
      </c>
      <c r="D386" s="29">
        <v>47.090000150000002</v>
      </c>
      <c r="E386" s="29">
        <v>8436.6699219999991</v>
      </c>
      <c r="F386" s="29">
        <v>2978.76001</v>
      </c>
      <c r="G386" s="29">
        <v>25766.640630000002</v>
      </c>
      <c r="H386" s="29">
        <v>11.309188839999999</v>
      </c>
      <c r="I386" s="29">
        <v>9.1764163970000006</v>
      </c>
      <c r="J386" s="29">
        <v>12.04437828</v>
      </c>
      <c r="L386" s="30">
        <f t="shared" si="30"/>
        <v>0</v>
      </c>
      <c r="M386" s="30">
        <f t="shared" si="30"/>
        <v>-9.4243945933397688E-3</v>
      </c>
      <c r="N386" s="30">
        <f t="shared" si="30"/>
        <v>-3.3654820551635933E-2</v>
      </c>
      <c r="O386" s="30">
        <f t="shared" si="30"/>
        <v>-4.925644321302447E-2</v>
      </c>
      <c r="P386" s="30">
        <f t="shared" si="30"/>
        <v>-4.4163242638266431E-2</v>
      </c>
      <c r="Q386" s="30">
        <f t="shared" si="30"/>
        <v>-4.417862342548351E-2</v>
      </c>
      <c r="R386" s="30">
        <f t="shared" si="30"/>
        <v>1.6363474558898083E-3</v>
      </c>
      <c r="S386" s="30">
        <f t="shared" si="30"/>
        <v>-9.8332159343672565E-4</v>
      </c>
      <c r="T386" s="30">
        <f t="shared" si="30"/>
        <v>1.5024784399748636E-3</v>
      </c>
      <c r="U386" s="63">
        <f t="shared" si="27"/>
        <v>-2.4538479545178207E-2</v>
      </c>
    </row>
    <row r="387" spans="1:21">
      <c r="A387" s="28">
        <v>43889</v>
      </c>
      <c r="B387" s="29">
        <v>1564.099976</v>
      </c>
      <c r="C387" s="29">
        <v>16.38699913</v>
      </c>
      <c r="D387" s="29">
        <v>44.759998320000001</v>
      </c>
      <c r="E387" s="29">
        <v>8461.8300780000009</v>
      </c>
      <c r="F387" s="29">
        <v>2954.219971</v>
      </c>
      <c r="G387" s="29">
        <v>25409.359380000002</v>
      </c>
      <c r="H387" s="29">
        <v>11.405474659999999</v>
      </c>
      <c r="I387" s="29">
        <v>9.1899824139999993</v>
      </c>
      <c r="J387" s="29">
        <v>12.10322094</v>
      </c>
      <c r="L387" s="30">
        <f t="shared" si="30"/>
        <v>-4.6280502439024374E-2</v>
      </c>
      <c r="M387" s="30">
        <f t="shared" si="30"/>
        <v>-7.1978805732253792E-2</v>
      </c>
      <c r="N387" s="30">
        <f t="shared" si="30"/>
        <v>-4.947975838984997E-2</v>
      </c>
      <c r="O387" s="30">
        <f t="shared" si="30"/>
        <v>2.9822378062216437E-3</v>
      </c>
      <c r="P387" s="30">
        <f t="shared" si="30"/>
        <v>-8.2383404227317492E-3</v>
      </c>
      <c r="Q387" s="30">
        <f t="shared" si="30"/>
        <v>-1.3866039237727334E-2</v>
      </c>
      <c r="R387" s="30">
        <f t="shared" si="30"/>
        <v>8.5139457269864938E-3</v>
      </c>
      <c r="S387" s="30">
        <f t="shared" si="30"/>
        <v>1.4783567367795403E-3</v>
      </c>
      <c r="T387" s="30">
        <f t="shared" si="30"/>
        <v>4.885487538838662E-3</v>
      </c>
      <c r="U387" s="63">
        <f t="shared" si="27"/>
        <v>-1.8846399687552647E-2</v>
      </c>
    </row>
    <row r="388" spans="1:21">
      <c r="A388" s="28">
        <v>43892</v>
      </c>
      <c r="B388" s="29">
        <v>1592.3000489999999</v>
      </c>
      <c r="C388" s="29">
        <v>16.679000850000001</v>
      </c>
      <c r="D388" s="29">
        <v>46.75</v>
      </c>
      <c r="E388" s="29">
        <v>8877.9804690000001</v>
      </c>
      <c r="F388" s="29">
        <v>3090.2299800000001</v>
      </c>
      <c r="G388" s="29">
        <v>26703.320309999999</v>
      </c>
      <c r="H388" s="29">
        <v>11.386958119999999</v>
      </c>
      <c r="I388" s="29">
        <v>9.2532978060000008</v>
      </c>
      <c r="J388" s="29">
        <v>12.08511448</v>
      </c>
      <c r="L388" s="30">
        <f t="shared" si="30"/>
        <v>1.8029584702199397E-2</v>
      </c>
      <c r="M388" s="30">
        <f t="shared" si="30"/>
        <v>1.7819108775408932E-2</v>
      </c>
      <c r="N388" s="30">
        <f t="shared" si="30"/>
        <v>4.4459377897492214E-2</v>
      </c>
      <c r="O388" s="30">
        <f t="shared" si="30"/>
        <v>4.9179714927383378E-2</v>
      </c>
      <c r="P388" s="30">
        <f t="shared" si="30"/>
        <v>4.6039228742320359E-2</v>
      </c>
      <c r="Q388" s="30">
        <f t="shared" si="30"/>
        <v>5.0924579035962925E-2</v>
      </c>
      <c r="R388" s="30">
        <f t="shared" si="30"/>
        <v>-1.6234782463669939E-3</v>
      </c>
      <c r="S388" s="30">
        <f t="shared" si="30"/>
        <v>6.8896097019235381E-3</v>
      </c>
      <c r="T388" s="30">
        <f t="shared" si="30"/>
        <v>-1.4960034266713329E-3</v>
      </c>
      <c r="U388" s="63">
        <f t="shared" ref="U388:U451" si="31">SUMPRODUCT($L$2:$T$2,L388:T388)</f>
        <v>2.913723365940039E-2</v>
      </c>
    </row>
    <row r="389" spans="1:21">
      <c r="A389" s="28">
        <v>43893</v>
      </c>
      <c r="B389" s="29">
        <v>1642.099976</v>
      </c>
      <c r="C389" s="29">
        <v>17.128999709999999</v>
      </c>
      <c r="D389" s="29">
        <v>47.180000309999997</v>
      </c>
      <c r="E389" s="29">
        <v>8594.4902340000008</v>
      </c>
      <c r="F389" s="29">
        <v>3003.3701169999999</v>
      </c>
      <c r="G389" s="29">
        <v>25917.410159999999</v>
      </c>
      <c r="H389" s="29">
        <v>11.470275880000001</v>
      </c>
      <c r="I389" s="29">
        <v>9.2804374690000007</v>
      </c>
      <c r="J389" s="29">
        <v>12.17564297</v>
      </c>
      <c r="L389" s="30">
        <f t="shared" si="30"/>
        <v>3.1275466600202417E-2</v>
      </c>
      <c r="M389" s="30">
        <f t="shared" si="30"/>
        <v>2.6979965049884758E-2</v>
      </c>
      <c r="N389" s="30">
        <f t="shared" si="30"/>
        <v>9.1978675935828758E-3</v>
      </c>
      <c r="O389" s="30">
        <f t="shared" si="30"/>
        <v>-3.1931838101005749E-2</v>
      </c>
      <c r="P389" s="30">
        <f t="shared" si="30"/>
        <v>-2.8107896034326951E-2</v>
      </c>
      <c r="Q389" s="30">
        <f t="shared" si="30"/>
        <v>-2.9431177129897512E-2</v>
      </c>
      <c r="R389" s="30">
        <f t="shared" si="30"/>
        <v>7.3169462047693035E-3</v>
      </c>
      <c r="S389" s="30">
        <f t="shared" si="30"/>
        <v>2.93297195972686E-3</v>
      </c>
      <c r="T389" s="30">
        <f t="shared" si="30"/>
        <v>7.4909087663024287E-3</v>
      </c>
      <c r="U389" s="63">
        <f t="shared" si="31"/>
        <v>-5.3359870654214282E-3</v>
      </c>
    </row>
    <row r="390" spans="1:21">
      <c r="A390" s="28">
        <v>43894</v>
      </c>
      <c r="B390" s="29">
        <v>1641.099976</v>
      </c>
      <c r="C390" s="29">
        <v>17.187000269999999</v>
      </c>
      <c r="D390" s="29">
        <v>46.77999878</v>
      </c>
      <c r="E390" s="29">
        <v>8949.2802730000003</v>
      </c>
      <c r="F390" s="29">
        <v>3130.1201169999999</v>
      </c>
      <c r="G390" s="29">
        <v>27090.859380000002</v>
      </c>
      <c r="H390" s="29">
        <v>11.451760289999999</v>
      </c>
      <c r="I390" s="29">
        <v>9.2985239029999995</v>
      </c>
      <c r="J390" s="29">
        <v>12.17564297</v>
      </c>
      <c r="L390" s="30">
        <f t="shared" si="30"/>
        <v>-6.0897631972200994E-4</v>
      </c>
      <c r="M390" s="30">
        <f t="shared" si="30"/>
        <v>3.3861031573336753E-3</v>
      </c>
      <c r="N390" s="30">
        <f t="shared" si="30"/>
        <v>-8.4782010888460047E-3</v>
      </c>
      <c r="O390" s="30">
        <f t="shared" si="30"/>
        <v>4.1281103281314069E-2</v>
      </c>
      <c r="P390" s="30">
        <f t="shared" si="30"/>
        <v>4.2202590777125959E-2</v>
      </c>
      <c r="Q390" s="30">
        <f t="shared" si="30"/>
        <v>4.5276484523560256E-2</v>
      </c>
      <c r="R390" s="30">
        <f t="shared" si="30"/>
        <v>-1.6142235979071939E-3</v>
      </c>
      <c r="S390" s="30">
        <f t="shared" si="30"/>
        <v>1.9488773089000322E-3</v>
      </c>
      <c r="T390" s="30">
        <f t="shared" si="30"/>
        <v>0</v>
      </c>
      <c r="U390" s="63">
        <f t="shared" si="31"/>
        <v>1.9173079869087877E-2</v>
      </c>
    </row>
    <row r="391" spans="1:21">
      <c r="A391" s="28">
        <v>43895</v>
      </c>
      <c r="B391" s="29">
        <v>1666.400024</v>
      </c>
      <c r="C391" s="29">
        <v>17.341999049999998</v>
      </c>
      <c r="D391" s="29">
        <v>45.900001529999997</v>
      </c>
      <c r="E391" s="29">
        <v>8671.6601559999999</v>
      </c>
      <c r="F391" s="29">
        <v>3023.9399410000001</v>
      </c>
      <c r="G391" s="29">
        <v>26121.279299999998</v>
      </c>
      <c r="H391" s="29">
        <v>11.507306099999999</v>
      </c>
      <c r="I391" s="29">
        <v>9.3166160579999993</v>
      </c>
      <c r="J391" s="29">
        <v>12.202795030000001</v>
      </c>
      <c r="L391" s="30">
        <f t="shared" si="30"/>
        <v>1.5416518414475888E-2</v>
      </c>
      <c r="M391" s="30">
        <f t="shared" si="30"/>
        <v>9.018373047363637E-3</v>
      </c>
      <c r="N391" s="30">
        <f t="shared" si="30"/>
        <v>-1.8811399592772782E-2</v>
      </c>
      <c r="O391" s="30">
        <f t="shared" si="30"/>
        <v>-3.1021502124319533E-2</v>
      </c>
      <c r="P391" s="30">
        <f t="shared" si="30"/>
        <v>-3.3922077118805904E-2</v>
      </c>
      <c r="Q391" s="30">
        <f t="shared" si="30"/>
        <v>-3.5789934398160916E-2</v>
      </c>
      <c r="R391" s="30">
        <f t="shared" si="30"/>
        <v>4.8504167563221401E-3</v>
      </c>
      <c r="S391" s="30">
        <f t="shared" si="30"/>
        <v>1.9457018327566633E-3</v>
      </c>
      <c r="T391" s="30">
        <f t="shared" si="30"/>
        <v>2.2300308958551618E-3</v>
      </c>
      <c r="U391" s="63">
        <f t="shared" si="31"/>
        <v>-1.3685495311427662E-2</v>
      </c>
    </row>
    <row r="392" spans="1:21">
      <c r="A392" s="28">
        <v>43896</v>
      </c>
      <c r="B392" s="29">
        <v>1670.8000489999999</v>
      </c>
      <c r="C392" s="29">
        <v>17.2140007</v>
      </c>
      <c r="D392" s="29">
        <v>41.27999878</v>
      </c>
      <c r="E392" s="29">
        <v>8530.3398440000001</v>
      </c>
      <c r="F392" s="29">
        <v>2972.3701169999999</v>
      </c>
      <c r="G392" s="29">
        <v>25864.779299999998</v>
      </c>
      <c r="H392" s="29">
        <v>11.59062576</v>
      </c>
      <c r="I392" s="29">
        <v>9.3889789579999992</v>
      </c>
      <c r="J392" s="29">
        <v>12.25711632</v>
      </c>
      <c r="L392" s="30">
        <f t="shared" si="30"/>
        <v>2.6404374319668467E-3</v>
      </c>
      <c r="M392" s="30">
        <f t="shared" si="30"/>
        <v>-7.3808301817429589E-3</v>
      </c>
      <c r="N392" s="30">
        <f t="shared" si="30"/>
        <v>-0.10065365132897408</v>
      </c>
      <c r="O392" s="30">
        <f t="shared" si="30"/>
        <v>-1.6296800088760333E-2</v>
      </c>
      <c r="P392" s="30">
        <f t="shared" si="30"/>
        <v>-1.7053851930321828E-2</v>
      </c>
      <c r="Q392" s="30">
        <f t="shared" si="30"/>
        <v>-9.819580314353149E-3</v>
      </c>
      <c r="R392" s="30">
        <f t="shared" si="30"/>
        <v>7.2405877862240509E-3</v>
      </c>
      <c r="S392" s="30">
        <f t="shared" si="30"/>
        <v>7.7670797583060391E-3</v>
      </c>
      <c r="T392" s="30">
        <f t="shared" si="30"/>
        <v>4.4515449015125608E-3</v>
      </c>
      <c r="U392" s="63">
        <f t="shared" si="31"/>
        <v>-1.4374950448042004E-2</v>
      </c>
    </row>
    <row r="393" spans="1:21">
      <c r="A393" s="28">
        <v>43899</v>
      </c>
      <c r="B393" s="29">
        <v>1674.5</v>
      </c>
      <c r="C393" s="29">
        <v>17.000999449999998</v>
      </c>
      <c r="D393" s="29">
        <v>31.129999160000001</v>
      </c>
      <c r="E393" s="29">
        <v>7948.0297849999997</v>
      </c>
      <c r="F393" s="29">
        <v>2746.5600589999999</v>
      </c>
      <c r="G393" s="29">
        <v>23851.019530000001</v>
      </c>
      <c r="H393" s="29">
        <v>11.56285286</v>
      </c>
      <c r="I393" s="29">
        <v>9.3889789579999992</v>
      </c>
      <c r="J393" s="29">
        <v>12.211852070000001</v>
      </c>
      <c r="L393" s="30">
        <f t="shared" si="30"/>
        <v>2.2144786278972539E-3</v>
      </c>
      <c r="M393" s="30">
        <f t="shared" si="30"/>
        <v>-1.2373721467317078E-2</v>
      </c>
      <c r="N393" s="30">
        <f t="shared" si="30"/>
        <v>-0.24588178100716507</v>
      </c>
      <c r="O393" s="30">
        <f t="shared" si="30"/>
        <v>-6.8263406810173066E-2</v>
      </c>
      <c r="P393" s="30">
        <f t="shared" si="30"/>
        <v>-7.5969697282486814E-2</v>
      </c>
      <c r="Q393" s="30">
        <f t="shared" si="30"/>
        <v>-7.7857218367991088E-2</v>
      </c>
      <c r="R393" s="30">
        <f t="shared" si="30"/>
        <v>-2.3961519054342961E-3</v>
      </c>
      <c r="S393" s="30">
        <f t="shared" si="30"/>
        <v>0</v>
      </c>
      <c r="T393" s="30">
        <f t="shared" si="30"/>
        <v>-3.6928955243853423E-3</v>
      </c>
      <c r="U393" s="63">
        <f t="shared" si="31"/>
        <v>-5.4512588951848275E-2</v>
      </c>
    </row>
    <row r="394" spans="1:21">
      <c r="A394" s="28">
        <v>43900</v>
      </c>
      <c r="B394" s="29">
        <v>1659.099976</v>
      </c>
      <c r="C394" s="29">
        <v>16.90600014</v>
      </c>
      <c r="D394" s="29">
        <v>34.36000061</v>
      </c>
      <c r="E394" s="29">
        <v>8372.2695309999999</v>
      </c>
      <c r="F394" s="29">
        <v>2882.2299800000001</v>
      </c>
      <c r="G394" s="29">
        <v>25018.160159999999</v>
      </c>
      <c r="H394" s="29">
        <v>11.42398453</v>
      </c>
      <c r="I394" s="29">
        <v>9.2261638640000001</v>
      </c>
      <c r="J394" s="29">
        <v>12.06700897</v>
      </c>
      <c r="L394" s="30">
        <f t="shared" si="30"/>
        <v>-9.196789489399837E-3</v>
      </c>
      <c r="M394" s="30">
        <f t="shared" si="30"/>
        <v>-5.5878661886550329E-3</v>
      </c>
      <c r="N394" s="30">
        <f t="shared" si="30"/>
        <v>0.1037584817589825</v>
      </c>
      <c r="O394" s="30">
        <f t="shared" si="30"/>
        <v>5.3376718190041306E-2</v>
      </c>
      <c r="P394" s="30">
        <f t="shared" si="30"/>
        <v>4.9396305955674791E-2</v>
      </c>
      <c r="Q394" s="30">
        <f t="shared" si="30"/>
        <v>4.8934622208998579E-2</v>
      </c>
      <c r="R394" s="30">
        <f t="shared" si="30"/>
        <v>-1.2009867433355859E-2</v>
      </c>
      <c r="S394" s="30">
        <f t="shared" si="30"/>
        <v>-1.7341086259573535E-2</v>
      </c>
      <c r="T394" s="30">
        <f t="shared" si="30"/>
        <v>-1.186086264145203E-2</v>
      </c>
      <c r="U394" s="63">
        <f t="shared" si="31"/>
        <v>2.556533523678528E-2</v>
      </c>
    </row>
    <row r="395" spans="1:21">
      <c r="A395" s="28">
        <v>43901</v>
      </c>
      <c r="B395" s="29">
        <v>1641.400024</v>
      </c>
      <c r="C395" s="29">
        <v>16.72900009</v>
      </c>
      <c r="D395" s="29">
        <v>32.979999540000001</v>
      </c>
      <c r="E395" s="29">
        <v>8006.1201170000004</v>
      </c>
      <c r="F395" s="29">
        <v>2741.3798830000001</v>
      </c>
      <c r="G395" s="29">
        <v>23553.220700000002</v>
      </c>
      <c r="H395" s="29">
        <v>11.3591795</v>
      </c>
      <c r="I395" s="29">
        <v>9.1809368130000006</v>
      </c>
      <c r="J395" s="29">
        <v>11.967434880000001</v>
      </c>
      <c r="L395" s="30">
        <f t="shared" si="30"/>
        <v>-1.0668405916485879E-2</v>
      </c>
      <c r="M395" s="30">
        <f t="shared" si="30"/>
        <v>-1.0469658614352784E-2</v>
      </c>
      <c r="N395" s="30">
        <f t="shared" si="30"/>
        <v>-4.0163010637385366E-2</v>
      </c>
      <c r="O395" s="30">
        <f t="shared" si="30"/>
        <v>-4.3733591309292885E-2</v>
      </c>
      <c r="P395" s="30">
        <f t="shared" si="30"/>
        <v>-4.8868444911533415E-2</v>
      </c>
      <c r="Q395" s="30">
        <f t="shared" si="30"/>
        <v>-5.85550436415464E-2</v>
      </c>
      <c r="R395" s="30">
        <f t="shared" si="30"/>
        <v>-5.6727168904876502E-3</v>
      </c>
      <c r="S395" s="30">
        <f t="shared" si="30"/>
        <v>-4.9020428930893756E-3</v>
      </c>
      <c r="T395" s="30">
        <f t="shared" si="30"/>
        <v>-8.2517623254902972E-3</v>
      </c>
      <c r="U395" s="63">
        <f t="shared" si="31"/>
        <v>-2.873911637491201E-2</v>
      </c>
    </row>
    <row r="396" spans="1:21">
      <c r="A396" s="28">
        <v>43902</v>
      </c>
      <c r="B396" s="29">
        <v>1589.3000489999999</v>
      </c>
      <c r="C396" s="29">
        <v>15.961000439999999</v>
      </c>
      <c r="D396" s="29">
        <v>31.5</v>
      </c>
      <c r="E396" s="29">
        <v>7263.6499020000001</v>
      </c>
      <c r="F396" s="29">
        <v>2480.639893</v>
      </c>
      <c r="G396" s="29">
        <v>21200.619139999999</v>
      </c>
      <c r="H396" s="29">
        <v>11.25734711</v>
      </c>
      <c r="I396" s="29">
        <v>9.0633487699999993</v>
      </c>
      <c r="J396" s="29">
        <v>11.84069729</v>
      </c>
      <c r="L396" s="30">
        <f t="shared" si="30"/>
        <v>-3.1741180844530148E-2</v>
      </c>
      <c r="M396" s="30">
        <f t="shared" si="30"/>
        <v>-4.5908281778244686E-2</v>
      </c>
      <c r="N396" s="30">
        <f t="shared" si="30"/>
        <v>-4.4875668909727384E-2</v>
      </c>
      <c r="O396" s="30">
        <f t="shared" si="30"/>
        <v>-9.2737831077934652E-2</v>
      </c>
      <c r="P396" s="30">
        <f t="shared" si="30"/>
        <v>-9.5112680886335954E-2</v>
      </c>
      <c r="Q396" s="30">
        <f t="shared" si="30"/>
        <v>-9.9884495201966295E-2</v>
      </c>
      <c r="R396" s="30">
        <f t="shared" si="30"/>
        <v>-8.9647663372165454E-3</v>
      </c>
      <c r="S396" s="30">
        <f t="shared" si="30"/>
        <v>-1.2807847978378306E-2</v>
      </c>
      <c r="T396" s="30">
        <f t="shared" si="30"/>
        <v>-1.0590205108348294E-2</v>
      </c>
      <c r="U396" s="63">
        <f t="shared" si="31"/>
        <v>-5.8185191938359866E-2</v>
      </c>
    </row>
    <row r="397" spans="1:21">
      <c r="A397" s="28">
        <v>43903</v>
      </c>
      <c r="B397" s="29">
        <v>1515.6999510000001</v>
      </c>
      <c r="C397" s="29">
        <v>14.45600033</v>
      </c>
      <c r="D397" s="29">
        <v>31.729999540000001</v>
      </c>
      <c r="E397" s="29">
        <v>7995.2597660000001</v>
      </c>
      <c r="F397" s="29">
        <v>2711.0200199999999</v>
      </c>
      <c r="G397" s="29">
        <v>23185.619139999999</v>
      </c>
      <c r="H397" s="29">
        <v>11.201800349999999</v>
      </c>
      <c r="I397" s="29">
        <v>8.9819440840000002</v>
      </c>
      <c r="J397" s="29">
        <v>11.75922585</v>
      </c>
      <c r="L397" s="30">
        <f t="shared" si="30"/>
        <v>-4.6309756327201801E-2</v>
      </c>
      <c r="M397" s="30">
        <f t="shared" si="30"/>
        <v>-9.4292341865257145E-2</v>
      </c>
      <c r="N397" s="30">
        <f t="shared" si="30"/>
        <v>7.301572698412695E-3</v>
      </c>
      <c r="O397" s="30">
        <f t="shared" si="30"/>
        <v>0.10072207139258671</v>
      </c>
      <c r="P397" s="30">
        <f t="shared" si="30"/>
        <v>9.2871249732820349E-2</v>
      </c>
      <c r="Q397" s="30">
        <f t="shared" si="30"/>
        <v>9.362934105329157E-2</v>
      </c>
      <c r="R397" s="30">
        <f t="shared" si="30"/>
        <v>-4.9342673240179158E-3</v>
      </c>
      <c r="S397" s="30">
        <f t="shared" si="30"/>
        <v>-8.9817448346963813E-3</v>
      </c>
      <c r="T397" s="30">
        <f t="shared" si="30"/>
        <v>-6.880628564738811E-3</v>
      </c>
      <c r="U397" s="63">
        <f t="shared" si="31"/>
        <v>2.4796492317902884E-2</v>
      </c>
    </row>
    <row r="398" spans="1:21">
      <c r="A398" s="28">
        <v>43906</v>
      </c>
      <c r="B398" s="29">
        <v>1485.900024</v>
      </c>
      <c r="C398" s="29">
        <v>12.772000309999999</v>
      </c>
      <c r="D398" s="29">
        <v>28.700000760000002</v>
      </c>
      <c r="E398" s="29">
        <v>7020.3798829999996</v>
      </c>
      <c r="F398" s="29">
        <v>2386.1298830000001</v>
      </c>
      <c r="G398" s="29">
        <v>20188.519530000001</v>
      </c>
      <c r="H398" s="29">
        <v>11.32215214</v>
      </c>
      <c r="I398" s="29">
        <v>9.027169228</v>
      </c>
      <c r="J398" s="29">
        <v>11.81354046</v>
      </c>
      <c r="L398" s="30">
        <f t="shared" si="30"/>
        <v>-1.9660835233476948E-2</v>
      </c>
      <c r="M398" s="30">
        <f t="shared" si="30"/>
        <v>-0.11649142097107301</v>
      </c>
      <c r="N398" s="30">
        <f t="shared" si="30"/>
        <v>-9.5493187013137915E-2</v>
      </c>
      <c r="O398" s="30">
        <f t="shared" si="30"/>
        <v>-0.12193223379003848</v>
      </c>
      <c r="P398" s="30">
        <f t="shared" si="30"/>
        <v>-0.11984055248695646</v>
      </c>
      <c r="Q398" s="30">
        <f t="shared" si="30"/>
        <v>-0.12926545510399501</v>
      </c>
      <c r="R398" s="30">
        <f t="shared" si="30"/>
        <v>1.074396849074355E-2</v>
      </c>
      <c r="S398" s="30">
        <f t="shared" si="30"/>
        <v>5.0351175176610585E-3</v>
      </c>
      <c r="T398" s="30">
        <f t="shared" si="30"/>
        <v>4.6188933432211865E-3</v>
      </c>
      <c r="U398" s="63">
        <f t="shared" si="31"/>
        <v>-7.9415520510231222E-2</v>
      </c>
    </row>
    <row r="399" spans="1:21">
      <c r="A399" s="28">
        <v>43907</v>
      </c>
      <c r="B399" s="29">
        <v>1524.900024</v>
      </c>
      <c r="C399" s="29">
        <v>12.46899986</v>
      </c>
      <c r="D399" s="29">
        <v>26.950000760000002</v>
      </c>
      <c r="E399" s="29">
        <v>7473.9501950000003</v>
      </c>
      <c r="F399" s="29">
        <v>2529.1899410000001</v>
      </c>
      <c r="G399" s="29">
        <v>21237.380860000001</v>
      </c>
      <c r="H399" s="29">
        <v>11.118482589999999</v>
      </c>
      <c r="I399" s="29">
        <v>8.8643531800000002</v>
      </c>
      <c r="J399" s="29">
        <v>11.59628296</v>
      </c>
      <c r="L399" s="30">
        <f t="shared" si="30"/>
        <v>2.624671873617257E-2</v>
      </c>
      <c r="M399" s="30">
        <f t="shared" si="30"/>
        <v>-2.3723805406014709E-2</v>
      </c>
      <c r="N399" s="30">
        <f t="shared" si="30"/>
        <v>-6.0975608141412452E-2</v>
      </c>
      <c r="O399" s="30">
        <f t="shared" si="30"/>
        <v>6.4607659351644253E-2</v>
      </c>
      <c r="P399" s="30">
        <f t="shared" si="30"/>
        <v>5.9954849490479356E-2</v>
      </c>
      <c r="Q399" s="30">
        <f t="shared" si="30"/>
        <v>5.1953355392969636E-2</v>
      </c>
      <c r="R399" s="30">
        <f t="shared" si="30"/>
        <v>-1.7988589755869588E-2</v>
      </c>
      <c r="S399" s="30">
        <f t="shared" si="30"/>
        <v>-1.8036224190301597E-2</v>
      </c>
      <c r="T399" s="30">
        <f t="shared" si="30"/>
        <v>-1.8390549449220805E-2</v>
      </c>
      <c r="U399" s="63">
        <f t="shared" si="31"/>
        <v>1.6022757196533524E-2</v>
      </c>
    </row>
    <row r="400" spans="1:21">
      <c r="A400" s="28">
        <v>43908</v>
      </c>
      <c r="B400" s="29">
        <v>1477.3000489999999</v>
      </c>
      <c r="C400" s="29">
        <v>11.73499966</v>
      </c>
      <c r="D400" s="29">
        <v>20.370000839999999</v>
      </c>
      <c r="E400" s="29">
        <v>7175.1801759999998</v>
      </c>
      <c r="F400" s="29">
        <v>2398.1000979999999</v>
      </c>
      <c r="G400" s="29">
        <v>19898.91992</v>
      </c>
      <c r="H400" s="29">
        <v>10.9333334</v>
      </c>
      <c r="I400" s="29">
        <v>8.6291751859999994</v>
      </c>
      <c r="J400" s="29">
        <v>11.35186386</v>
      </c>
      <c r="L400" s="30">
        <f t="shared" si="30"/>
        <v>-3.1215144764139668E-2</v>
      </c>
      <c r="M400" s="30">
        <f t="shared" si="30"/>
        <v>-5.8866004350087486E-2</v>
      </c>
      <c r="N400" s="30">
        <f t="shared" si="30"/>
        <v>-0.24415583430209897</v>
      </c>
      <c r="O400" s="30">
        <f t="shared" si="30"/>
        <v>-3.9974847464179564E-2</v>
      </c>
      <c r="P400" s="30">
        <f t="shared" si="30"/>
        <v>-5.1830762440945644E-2</v>
      </c>
      <c r="Q400" s="30">
        <f t="shared" si="30"/>
        <v>-6.3023823362369225E-2</v>
      </c>
      <c r="R400" s="30">
        <f t="shared" si="30"/>
        <v>-1.6652379360338476E-2</v>
      </c>
      <c r="S400" s="30">
        <f t="shared" si="30"/>
        <v>-2.6530756302740266E-2</v>
      </c>
      <c r="T400" s="30">
        <f t="shared" si="30"/>
        <v>-2.1077365983832475E-2</v>
      </c>
      <c r="U400" s="63">
        <f t="shared" si="31"/>
        <v>-5.770630727739836E-2</v>
      </c>
    </row>
    <row r="401" spans="1:21">
      <c r="A401" s="28">
        <v>43909</v>
      </c>
      <c r="B401" s="29">
        <v>1478.599976</v>
      </c>
      <c r="C401" s="29">
        <v>12.097000120000001</v>
      </c>
      <c r="D401" s="29">
        <v>25.219999309999999</v>
      </c>
      <c r="E401" s="29">
        <v>7288.5200199999999</v>
      </c>
      <c r="F401" s="29">
        <v>2409.389893</v>
      </c>
      <c r="G401" s="29">
        <v>20087.189450000002</v>
      </c>
      <c r="H401" s="29">
        <v>10.85000801</v>
      </c>
      <c r="I401" s="29">
        <v>8.5568161010000008</v>
      </c>
      <c r="J401" s="29">
        <v>11.20701981</v>
      </c>
      <c r="L401" s="30">
        <f t="shared" si="30"/>
        <v>8.7993431048749571E-4</v>
      </c>
      <c r="M401" s="30">
        <f t="shared" si="30"/>
        <v>3.0847931017323971E-2</v>
      </c>
      <c r="N401" s="30">
        <f t="shared" si="30"/>
        <v>0.2380951531664246</v>
      </c>
      <c r="O401" s="30">
        <f t="shared" si="30"/>
        <v>1.5796097271411513E-2</v>
      </c>
      <c r="P401" s="30">
        <f t="shared" si="30"/>
        <v>4.7078080724887172E-3</v>
      </c>
      <c r="Q401" s="30">
        <f t="shared" si="30"/>
        <v>9.4612939173033261E-3</v>
      </c>
      <c r="R401" s="30">
        <f t="shared" si="30"/>
        <v>-7.6212246486511148E-3</v>
      </c>
      <c r="S401" s="30">
        <f t="shared" si="30"/>
        <v>-8.3853999299254856E-3</v>
      </c>
      <c r="T401" s="30">
        <f t="shared" si="30"/>
        <v>-1.2759494985698283E-2</v>
      </c>
      <c r="U401" s="63">
        <f t="shared" si="31"/>
        <v>2.3677538630793186E-2</v>
      </c>
    </row>
    <row r="402" spans="1:21">
      <c r="A402" s="28">
        <v>43910</v>
      </c>
      <c r="B402" s="29">
        <v>1484</v>
      </c>
      <c r="C402" s="29">
        <v>12.34899998</v>
      </c>
      <c r="D402" s="29">
        <v>22.43000031</v>
      </c>
      <c r="E402" s="29">
        <v>6994.2900390000004</v>
      </c>
      <c r="F402" s="29">
        <v>2304.919922</v>
      </c>
      <c r="G402" s="29">
        <v>19173.980469999999</v>
      </c>
      <c r="H402" s="29">
        <v>10.97036076</v>
      </c>
      <c r="I402" s="29">
        <v>8.5749044419999993</v>
      </c>
      <c r="J402" s="29">
        <v>11.34280777</v>
      </c>
      <c r="L402" s="30">
        <f t="shared" si="30"/>
        <v>3.6521196318481941E-3</v>
      </c>
      <c r="M402" s="30">
        <f t="shared" si="30"/>
        <v>2.0831599363495767E-2</v>
      </c>
      <c r="N402" s="30">
        <f t="shared" si="30"/>
        <v>-0.11062645029073148</v>
      </c>
      <c r="O402" s="30">
        <f t="shared" si="30"/>
        <v>-4.0368961077505539E-2</v>
      </c>
      <c r="P402" s="30">
        <f t="shared" si="30"/>
        <v>-4.3359512424085644E-2</v>
      </c>
      <c r="Q402" s="30">
        <f t="shared" si="30"/>
        <v>-4.5462257538473216E-2</v>
      </c>
      <c r="R402" s="30">
        <f t="shared" si="30"/>
        <v>1.1092411165879001E-2</v>
      </c>
      <c r="S402" s="30">
        <f t="shared" si="30"/>
        <v>2.1139102192326842E-3</v>
      </c>
      <c r="T402" s="30">
        <f t="shared" si="30"/>
        <v>1.2116330862450786E-2</v>
      </c>
      <c r="U402" s="63">
        <f t="shared" si="31"/>
        <v>-2.2551943780180408E-2</v>
      </c>
    </row>
    <row r="403" spans="1:21">
      <c r="A403" s="28">
        <v>43913</v>
      </c>
      <c r="B403" s="29">
        <v>1567</v>
      </c>
      <c r="C403" s="29">
        <v>13.225000380000001</v>
      </c>
      <c r="D403" s="29">
        <v>23.36000061</v>
      </c>
      <c r="E403" s="29">
        <v>7006.919922</v>
      </c>
      <c r="F403" s="29">
        <v>2237.3999020000001</v>
      </c>
      <c r="G403" s="29">
        <v>18591.929690000001</v>
      </c>
      <c r="H403" s="29">
        <v>11.072196959999999</v>
      </c>
      <c r="I403" s="29">
        <v>8.6563138960000003</v>
      </c>
      <c r="J403" s="29">
        <v>11.47859764</v>
      </c>
      <c r="L403" s="30">
        <f t="shared" si="30"/>
        <v>5.5929919137466255E-2</v>
      </c>
      <c r="M403" s="30">
        <f t="shared" si="30"/>
        <v>7.0936950475239957E-2</v>
      </c>
      <c r="N403" s="30">
        <f t="shared" si="30"/>
        <v>4.1462340042205614E-2</v>
      </c>
      <c r="O403" s="30">
        <f t="shared" si="30"/>
        <v>1.8057419594519342E-3</v>
      </c>
      <c r="P403" s="30">
        <f t="shared" si="30"/>
        <v>-2.9293868023585024E-2</v>
      </c>
      <c r="Q403" s="30">
        <f t="shared" si="30"/>
        <v>-3.0356283136445561E-2</v>
      </c>
      <c r="R403" s="30">
        <f t="shared" ref="O403:T445" si="32">(H403/H402)-1</f>
        <v>9.2828487802618653E-3</v>
      </c>
      <c r="S403" s="30">
        <f t="shared" si="32"/>
        <v>9.4939196757990452E-3</v>
      </c>
      <c r="T403" s="30">
        <f t="shared" si="32"/>
        <v>1.1971451227370977E-2</v>
      </c>
      <c r="U403" s="63">
        <f t="shared" si="31"/>
        <v>9.9534207450154965E-3</v>
      </c>
    </row>
    <row r="404" spans="1:21">
      <c r="A404" s="28">
        <v>43914</v>
      </c>
      <c r="B404" s="29">
        <v>1660.1999510000001</v>
      </c>
      <c r="C404" s="29">
        <v>14.22900009</v>
      </c>
      <c r="D404" s="29">
        <v>24.010000229999999</v>
      </c>
      <c r="E404" s="29">
        <v>7553.830078</v>
      </c>
      <c r="F404" s="29">
        <v>2447.330078</v>
      </c>
      <c r="G404" s="29">
        <v>20704.910159999999</v>
      </c>
      <c r="H404" s="29">
        <v>11.109226230000001</v>
      </c>
      <c r="I404" s="29">
        <v>8.7105875019999992</v>
      </c>
      <c r="J404" s="29">
        <v>11.51480675</v>
      </c>
      <c r="L404" s="30">
        <f t="shared" ref="L404:T458" si="33">(B404/B403)-1</f>
        <v>5.9476675813656676E-2</v>
      </c>
      <c r="M404" s="30">
        <f t="shared" si="33"/>
        <v>7.5916800087078684E-2</v>
      </c>
      <c r="N404" s="30">
        <f t="shared" si="33"/>
        <v>2.7825325472027096E-2</v>
      </c>
      <c r="O404" s="30">
        <f t="shared" si="32"/>
        <v>7.8052862325832528E-2</v>
      </c>
      <c r="P404" s="30">
        <f t="shared" si="32"/>
        <v>9.3827739874460692E-2</v>
      </c>
      <c r="Q404" s="30">
        <f t="shared" si="32"/>
        <v>0.11365041204606663</v>
      </c>
      <c r="R404" s="30">
        <f t="shared" si="32"/>
        <v>3.3443471186229701E-3</v>
      </c>
      <c r="S404" s="30">
        <f t="shared" si="32"/>
        <v>6.2698287807096964E-3</v>
      </c>
      <c r="T404" s="30">
        <f t="shared" si="32"/>
        <v>3.1544890008008419E-3</v>
      </c>
      <c r="U404" s="63">
        <f t="shared" si="31"/>
        <v>5.9481994915611319E-2</v>
      </c>
    </row>
    <row r="405" spans="1:21">
      <c r="A405" s="28">
        <v>43915</v>
      </c>
      <c r="B405" s="29">
        <v>1632.3000489999999</v>
      </c>
      <c r="C405" s="29">
        <v>14.83699989</v>
      </c>
      <c r="D405" s="29">
        <v>24.489999770000001</v>
      </c>
      <c r="E405" s="29">
        <v>7469.6201170000004</v>
      </c>
      <c r="F405" s="29">
        <v>2475.5600589999999</v>
      </c>
      <c r="G405" s="29">
        <v>21200.550780000001</v>
      </c>
      <c r="H405" s="29">
        <v>11.174028399999999</v>
      </c>
      <c r="I405" s="29">
        <v>8.7377204899999992</v>
      </c>
      <c r="J405" s="29">
        <v>11.63249111</v>
      </c>
      <c r="L405" s="30">
        <f t="shared" si="33"/>
        <v>-1.6805145659229193E-2</v>
      </c>
      <c r="M405" s="30">
        <f t="shared" si="33"/>
        <v>4.2729622331459272E-2</v>
      </c>
      <c r="N405" s="30">
        <f t="shared" si="33"/>
        <v>1.9991650787251958E-2</v>
      </c>
      <c r="O405" s="30">
        <f t="shared" si="32"/>
        <v>-1.114798190195665E-2</v>
      </c>
      <c r="P405" s="30">
        <f t="shared" si="32"/>
        <v>1.1535011665884554E-2</v>
      </c>
      <c r="Q405" s="30">
        <f t="shared" si="32"/>
        <v>2.393831299773197E-2</v>
      </c>
      <c r="R405" s="30">
        <f t="shared" si="32"/>
        <v>5.8331848373924799E-3</v>
      </c>
      <c r="S405" s="30">
        <f t="shared" si="32"/>
        <v>3.1149435091226696E-3</v>
      </c>
      <c r="T405" s="30">
        <f t="shared" si="32"/>
        <v>1.0220263574983512E-2</v>
      </c>
      <c r="U405" s="63">
        <f t="shared" si="31"/>
        <v>1.1654813493837455E-2</v>
      </c>
    </row>
    <row r="406" spans="1:21">
      <c r="A406" s="28">
        <v>43916</v>
      </c>
      <c r="B406" s="29">
        <v>1650.099976</v>
      </c>
      <c r="C406" s="29">
        <v>14.64000034</v>
      </c>
      <c r="D406" s="29">
        <v>22.600000380000001</v>
      </c>
      <c r="E406" s="29">
        <v>7897.1298829999996</v>
      </c>
      <c r="F406" s="29">
        <v>2630.070068</v>
      </c>
      <c r="G406" s="29">
        <v>22552.16992</v>
      </c>
      <c r="H406" s="29">
        <v>11.23883247</v>
      </c>
      <c r="I406" s="29">
        <v>8.8372182850000005</v>
      </c>
      <c r="J406" s="29">
        <v>11.750170710000001</v>
      </c>
      <c r="L406" s="30">
        <f t="shared" si="33"/>
        <v>1.0904813126057844E-2</v>
      </c>
      <c r="M406" s="30">
        <f t="shared" si="33"/>
        <v>-1.32775865377458E-2</v>
      </c>
      <c r="N406" s="30">
        <f t="shared" si="33"/>
        <v>-7.7174332697023118E-2</v>
      </c>
      <c r="O406" s="30">
        <f t="shared" si="32"/>
        <v>5.7233133586945817E-2</v>
      </c>
      <c r="P406" s="30">
        <f t="shared" si="32"/>
        <v>6.2414162984360866E-2</v>
      </c>
      <c r="Q406" s="30">
        <f t="shared" si="32"/>
        <v>6.3753963471320674E-2</v>
      </c>
      <c r="R406" s="30">
        <f t="shared" si="32"/>
        <v>5.7995261583549951E-3</v>
      </c>
      <c r="S406" s="30">
        <f t="shared" si="32"/>
        <v>1.1387156995222414E-2</v>
      </c>
      <c r="T406" s="30">
        <f t="shared" si="32"/>
        <v>1.0116457333789519E-2</v>
      </c>
      <c r="U406" s="63">
        <f t="shared" si="31"/>
        <v>2.3208093786415196E-2</v>
      </c>
    </row>
    <row r="407" spans="1:21">
      <c r="A407" s="28">
        <v>43917</v>
      </c>
      <c r="B407" s="29">
        <v>1623.900024</v>
      </c>
      <c r="C407" s="29">
        <v>14.49800014</v>
      </c>
      <c r="D407" s="29">
        <v>21.510000229999999</v>
      </c>
      <c r="E407" s="29">
        <v>7588.3701170000004</v>
      </c>
      <c r="F407" s="29">
        <v>2541.469971</v>
      </c>
      <c r="G407" s="29">
        <v>21636.779299999998</v>
      </c>
      <c r="H407" s="29">
        <v>11.34067059</v>
      </c>
      <c r="I407" s="29">
        <v>8.9005355829999999</v>
      </c>
      <c r="J407" s="29">
        <v>11.831645010000001</v>
      </c>
      <c r="L407" s="30">
        <f t="shared" si="33"/>
        <v>-1.5877796728117732E-2</v>
      </c>
      <c r="M407" s="30">
        <f t="shared" si="33"/>
        <v>-9.6994669878539552E-3</v>
      </c>
      <c r="N407" s="30">
        <f t="shared" si="33"/>
        <v>-4.8230094321794925E-2</v>
      </c>
      <c r="O407" s="30">
        <f t="shared" si="32"/>
        <v>-3.9097719117506258E-2</v>
      </c>
      <c r="P407" s="30">
        <f t="shared" si="32"/>
        <v>-3.3687352317337549E-2</v>
      </c>
      <c r="Q407" s="30">
        <f t="shared" si="32"/>
        <v>-4.0589913221086737E-2</v>
      </c>
      <c r="R407" s="30">
        <f t="shared" si="32"/>
        <v>9.0612721803478014E-3</v>
      </c>
      <c r="S407" s="30">
        <f t="shared" si="32"/>
        <v>7.1648448593231162E-3</v>
      </c>
      <c r="T407" s="30">
        <f t="shared" si="32"/>
        <v>6.9338822397415623E-3</v>
      </c>
      <c r="U407" s="63">
        <f t="shared" si="31"/>
        <v>-2.017871651268293E-2</v>
      </c>
    </row>
    <row r="408" spans="1:21">
      <c r="A408" s="28">
        <v>43920</v>
      </c>
      <c r="B408" s="29">
        <v>1622</v>
      </c>
      <c r="C408" s="29">
        <v>14.074000359999999</v>
      </c>
      <c r="D408" s="29">
        <v>20.090000150000002</v>
      </c>
      <c r="E408" s="29">
        <v>7889.0097660000001</v>
      </c>
      <c r="F408" s="29">
        <v>2626.6499020000001</v>
      </c>
      <c r="G408" s="29">
        <v>22327.480469999999</v>
      </c>
      <c r="H408" s="29">
        <v>11.34067059</v>
      </c>
      <c r="I408" s="29">
        <v>8.9638519290000005</v>
      </c>
      <c r="J408" s="29">
        <v>11.84069729</v>
      </c>
      <c r="L408" s="30">
        <f t="shared" si="33"/>
        <v>-1.1700375465971691E-3</v>
      </c>
      <c r="M408" s="30">
        <f t="shared" si="33"/>
        <v>-2.9245397703520859E-2</v>
      </c>
      <c r="N408" s="30">
        <f t="shared" si="33"/>
        <v>-6.6015809614893617E-2</v>
      </c>
      <c r="O408" s="30">
        <f t="shared" si="32"/>
        <v>3.9618474634821155E-2</v>
      </c>
      <c r="P408" s="30">
        <f t="shared" si="32"/>
        <v>3.351600922771647E-2</v>
      </c>
      <c r="Q408" s="30">
        <f t="shared" si="32"/>
        <v>3.1922550044220399E-2</v>
      </c>
      <c r="R408" s="30">
        <f t="shared" si="32"/>
        <v>0</v>
      </c>
      <c r="S408" s="30">
        <f t="shared" si="32"/>
        <v>7.1137680883985865E-3</v>
      </c>
      <c r="T408" s="30">
        <f t="shared" si="32"/>
        <v>7.6509056790907692E-4</v>
      </c>
      <c r="U408" s="63">
        <f t="shared" si="31"/>
        <v>7.3641120654401107E-3</v>
      </c>
    </row>
    <row r="409" spans="1:21">
      <c r="A409" s="28">
        <v>43921</v>
      </c>
      <c r="B409" s="29">
        <v>1583.400024</v>
      </c>
      <c r="C409" s="29">
        <v>14.097999570000001</v>
      </c>
      <c r="D409" s="29">
        <v>20.479999540000001</v>
      </c>
      <c r="E409" s="29">
        <v>7813.5</v>
      </c>
      <c r="F409" s="29">
        <v>2584.5900879999999</v>
      </c>
      <c r="G409" s="29">
        <v>21917.160159999999</v>
      </c>
      <c r="H409" s="29">
        <v>11.382410999999999</v>
      </c>
      <c r="I409" s="29">
        <v>8.9810724260000008</v>
      </c>
      <c r="J409" s="29">
        <v>11.88697243</v>
      </c>
      <c r="L409" s="30">
        <f t="shared" si="33"/>
        <v>-2.3797765721331632E-2</v>
      </c>
      <c r="M409" s="30">
        <f t="shared" si="33"/>
        <v>1.7052159575190462E-3</v>
      </c>
      <c r="N409" s="30">
        <f t="shared" si="33"/>
        <v>1.9412612597715651E-2</v>
      </c>
      <c r="O409" s="30">
        <f t="shared" si="32"/>
        <v>-9.5715138198245731E-3</v>
      </c>
      <c r="P409" s="30">
        <f t="shared" si="32"/>
        <v>-1.601272174414059E-2</v>
      </c>
      <c r="Q409" s="30">
        <f t="shared" si="32"/>
        <v>-1.8377367323255345E-2</v>
      </c>
      <c r="R409" s="30">
        <f t="shared" si="32"/>
        <v>3.6805945176474619E-3</v>
      </c>
      <c r="S409" s="30">
        <f t="shared" si="32"/>
        <v>1.9211045805307414E-3</v>
      </c>
      <c r="T409" s="30">
        <f t="shared" si="32"/>
        <v>3.9081431495662233E-3</v>
      </c>
      <c r="U409" s="63">
        <f t="shared" si="31"/>
        <v>-5.4231372574092785E-3</v>
      </c>
    </row>
    <row r="410" spans="1:21">
      <c r="A410" s="28">
        <v>43922</v>
      </c>
      <c r="B410" s="29">
        <v>1578.1999510000001</v>
      </c>
      <c r="C410" s="29">
        <v>13.925999640000001</v>
      </c>
      <c r="D410" s="29">
        <v>20.309999470000001</v>
      </c>
      <c r="E410" s="29">
        <v>7486.2900390000004</v>
      </c>
      <c r="F410" s="29">
        <v>2470.5</v>
      </c>
      <c r="G410" s="29">
        <v>20943.509770000001</v>
      </c>
      <c r="H410" s="29">
        <v>11.391688350000001</v>
      </c>
      <c r="I410" s="29">
        <v>8.9991970059999993</v>
      </c>
      <c r="J410" s="29">
        <v>11.877901080000001</v>
      </c>
      <c r="L410" s="30">
        <f t="shared" si="33"/>
        <v>-3.2841183031332433E-3</v>
      </c>
      <c r="M410" s="30">
        <f t="shared" si="33"/>
        <v>-1.2200307507882813E-2</v>
      </c>
      <c r="N410" s="30">
        <f t="shared" si="33"/>
        <v>-8.3007848544122131E-3</v>
      </c>
      <c r="O410" s="30">
        <f t="shared" si="32"/>
        <v>-4.187751468612011E-2</v>
      </c>
      <c r="P410" s="30">
        <f t="shared" si="32"/>
        <v>-4.4142430372115515E-2</v>
      </c>
      <c r="Q410" s="30">
        <f t="shared" si="32"/>
        <v>-4.442411256258294E-2</v>
      </c>
      <c r="R410" s="30">
        <f t="shared" si="32"/>
        <v>8.15060183646521E-4</v>
      </c>
      <c r="S410" s="30">
        <f t="shared" si="32"/>
        <v>2.0180863866021692E-3</v>
      </c>
      <c r="T410" s="30">
        <f t="shared" si="32"/>
        <v>-7.6313376290038093E-4</v>
      </c>
      <c r="U410" s="63">
        <f t="shared" si="31"/>
        <v>-2.2251058819740266E-2</v>
      </c>
    </row>
    <row r="411" spans="1:21">
      <c r="A411" s="28">
        <v>43923</v>
      </c>
      <c r="B411" s="29">
        <v>1625.6999510000001</v>
      </c>
      <c r="C411" s="29">
        <v>14.59599972</v>
      </c>
      <c r="D411" s="29">
        <v>25.31999969</v>
      </c>
      <c r="E411" s="29">
        <v>7635.6601559999999</v>
      </c>
      <c r="F411" s="29">
        <v>2526.8999020000001</v>
      </c>
      <c r="G411" s="29">
        <v>21413.439450000002</v>
      </c>
      <c r="H411" s="29">
        <v>11.391688350000001</v>
      </c>
      <c r="I411" s="29">
        <v>8.9991970059999993</v>
      </c>
      <c r="J411" s="29">
        <v>11.88697243</v>
      </c>
      <c r="L411" s="30">
        <f t="shared" si="33"/>
        <v>3.0097580455443751E-2</v>
      </c>
      <c r="M411" s="30">
        <f t="shared" si="33"/>
        <v>4.8111453204087606E-2</v>
      </c>
      <c r="N411" s="30">
        <f t="shared" si="33"/>
        <v>0.24667653130175093</v>
      </c>
      <c r="O411" s="30">
        <f t="shared" si="32"/>
        <v>1.9952488645490929E-2</v>
      </c>
      <c r="P411" s="30">
        <f t="shared" si="32"/>
        <v>2.2829347095729702E-2</v>
      </c>
      <c r="Q411" s="30">
        <f t="shared" si="32"/>
        <v>2.2437962173519788E-2</v>
      </c>
      <c r="R411" s="30">
        <f t="shared" si="32"/>
        <v>0</v>
      </c>
      <c r="S411" s="30">
        <f t="shared" si="32"/>
        <v>0</v>
      </c>
      <c r="T411" s="30">
        <f t="shared" si="32"/>
        <v>7.6371658080853777E-4</v>
      </c>
      <c r="U411" s="63">
        <f t="shared" si="31"/>
        <v>3.775437023156638E-2</v>
      </c>
    </row>
    <row r="412" spans="1:21">
      <c r="A412" s="28">
        <v>43924</v>
      </c>
      <c r="B412" s="29">
        <v>1633.6999510000001</v>
      </c>
      <c r="C412" s="29">
        <v>14.43599987</v>
      </c>
      <c r="D412" s="29">
        <v>28.340000150000002</v>
      </c>
      <c r="E412" s="29">
        <v>7528.1098629999997</v>
      </c>
      <c r="F412" s="29">
        <v>2488.6499020000001</v>
      </c>
      <c r="G412" s="29">
        <v>21052.529299999998</v>
      </c>
      <c r="H412" s="29">
        <v>11.391688350000001</v>
      </c>
      <c r="I412" s="29">
        <v>9.0173187259999992</v>
      </c>
      <c r="J412" s="29">
        <v>11.88697243</v>
      </c>
      <c r="L412" s="30">
        <f t="shared" si="33"/>
        <v>4.9209572744828289E-3</v>
      </c>
      <c r="M412" s="30">
        <f t="shared" si="33"/>
        <v>-1.096189730538033E-2</v>
      </c>
      <c r="N412" s="30">
        <f t="shared" si="33"/>
        <v>0.11927332136551083</v>
      </c>
      <c r="O412" s="30">
        <f t="shared" si="32"/>
        <v>-1.4085264509249851E-2</v>
      </c>
      <c r="P412" s="30">
        <f t="shared" si="32"/>
        <v>-1.513712512700871E-2</v>
      </c>
      <c r="Q412" s="30">
        <f t="shared" si="32"/>
        <v>-1.6854375535640731E-2</v>
      </c>
      <c r="R412" s="30">
        <f t="shared" si="32"/>
        <v>0</v>
      </c>
      <c r="S412" s="30">
        <f t="shared" si="32"/>
        <v>2.0137041102574749E-3</v>
      </c>
      <c r="T412" s="30">
        <f t="shared" si="32"/>
        <v>0</v>
      </c>
      <c r="U412" s="63">
        <f t="shared" si="31"/>
        <v>1.1021246731598758E-3</v>
      </c>
    </row>
    <row r="413" spans="1:21">
      <c r="A413" s="28">
        <v>43927</v>
      </c>
      <c r="B413" s="29">
        <v>1677</v>
      </c>
      <c r="C413" s="29">
        <v>15.11100006</v>
      </c>
      <c r="D413" s="29">
        <v>26.079999919999999</v>
      </c>
      <c r="E413" s="29">
        <v>8081.6601559999999</v>
      </c>
      <c r="F413" s="29">
        <v>2663.679932</v>
      </c>
      <c r="G413" s="29">
        <v>22679.990229999999</v>
      </c>
      <c r="H413" s="29">
        <v>11.382410999999999</v>
      </c>
      <c r="I413" s="29">
        <v>9.0082607269999997</v>
      </c>
      <c r="J413" s="29">
        <v>11.88697243</v>
      </c>
      <c r="L413" s="30">
        <f t="shared" si="33"/>
        <v>2.6504284935245037E-2</v>
      </c>
      <c r="M413" s="30">
        <f t="shared" si="33"/>
        <v>4.6758118320764375E-2</v>
      </c>
      <c r="N413" s="30">
        <f t="shared" si="33"/>
        <v>-7.9745949824915674E-2</v>
      </c>
      <c r="O413" s="30">
        <f t="shared" si="32"/>
        <v>7.3531112466975523E-2</v>
      </c>
      <c r="P413" s="30">
        <f t="shared" si="32"/>
        <v>7.0331318944997889E-2</v>
      </c>
      <c r="Q413" s="30">
        <f t="shared" si="32"/>
        <v>7.7304769740897727E-2</v>
      </c>
      <c r="R413" s="30">
        <f t="shared" si="32"/>
        <v>-8.1439640156599769E-4</v>
      </c>
      <c r="S413" s="30">
        <f t="shared" si="32"/>
        <v>-1.0045113492419544E-3</v>
      </c>
      <c r="T413" s="30">
        <f t="shared" si="32"/>
        <v>0</v>
      </c>
      <c r="U413" s="63">
        <f t="shared" si="31"/>
        <v>3.4856333855832311E-2</v>
      </c>
    </row>
    <row r="414" spans="1:21">
      <c r="A414" s="28">
        <v>43928</v>
      </c>
      <c r="B414" s="29">
        <v>1664.8000489999999</v>
      </c>
      <c r="C414" s="29">
        <v>15.42199993</v>
      </c>
      <c r="D414" s="29">
        <v>23.629999160000001</v>
      </c>
      <c r="E414" s="29">
        <v>8049.3100590000004</v>
      </c>
      <c r="F414" s="29">
        <v>2659.4099120000001</v>
      </c>
      <c r="G414" s="29">
        <v>22653.859380000002</v>
      </c>
      <c r="H414" s="29">
        <v>11.400964739999999</v>
      </c>
      <c r="I414" s="29">
        <v>9.0173187259999992</v>
      </c>
      <c r="J414" s="29">
        <v>11.90512466</v>
      </c>
      <c r="L414" s="30">
        <f t="shared" si="33"/>
        <v>-7.2748664281455655E-3</v>
      </c>
      <c r="M414" s="30">
        <f t="shared" si="33"/>
        <v>2.0581024999347441E-2</v>
      </c>
      <c r="N414" s="30">
        <f t="shared" si="33"/>
        <v>-9.3941747220680161E-2</v>
      </c>
      <c r="O414" s="30">
        <f t="shared" si="32"/>
        <v>-4.0029024204862873E-3</v>
      </c>
      <c r="P414" s="30">
        <f t="shared" si="32"/>
        <v>-1.6030529601932519E-3</v>
      </c>
      <c r="Q414" s="30">
        <f t="shared" si="32"/>
        <v>-1.1521543763909348E-3</v>
      </c>
      <c r="R414" s="30">
        <f t="shared" si="32"/>
        <v>1.6300360266379155E-3</v>
      </c>
      <c r="S414" s="30">
        <f t="shared" si="32"/>
        <v>1.0055214069071283E-3</v>
      </c>
      <c r="T414" s="30">
        <f t="shared" si="32"/>
        <v>1.5270692438209554E-3</v>
      </c>
      <c r="U414" s="63">
        <f t="shared" si="31"/>
        <v>-5.0534495390156661E-3</v>
      </c>
    </row>
    <row r="415" spans="1:21">
      <c r="A415" s="28">
        <v>43929</v>
      </c>
      <c r="B415" s="29">
        <v>1665.400024</v>
      </c>
      <c r="C415" s="29">
        <v>15.147000309999999</v>
      </c>
      <c r="D415" s="29">
        <v>25.090000150000002</v>
      </c>
      <c r="E415" s="29">
        <v>8229.5400389999995</v>
      </c>
      <c r="F415" s="29">
        <v>2749.9799800000001</v>
      </c>
      <c r="G415" s="29">
        <v>23433.570309999999</v>
      </c>
      <c r="H415" s="29">
        <v>11.400964739999999</v>
      </c>
      <c r="I415" s="29">
        <v>9.0354490280000004</v>
      </c>
      <c r="J415" s="29">
        <v>11.923274989999999</v>
      </c>
      <c r="L415" s="30">
        <f t="shared" si="33"/>
        <v>3.6038862466414301E-4</v>
      </c>
      <c r="M415" s="30">
        <f t="shared" si="33"/>
        <v>-1.7831644485035381E-2</v>
      </c>
      <c r="N415" s="30">
        <f t="shared" si="33"/>
        <v>6.1785909517569459E-2</v>
      </c>
      <c r="O415" s="30">
        <f t="shared" si="32"/>
        <v>2.2390736433178127E-2</v>
      </c>
      <c r="P415" s="30">
        <f t="shared" si="32"/>
        <v>3.4056452745897747E-2</v>
      </c>
      <c r="Q415" s="30">
        <f t="shared" si="32"/>
        <v>3.4418458988421552E-2</v>
      </c>
      <c r="R415" s="30">
        <f t="shared" si="32"/>
        <v>0</v>
      </c>
      <c r="S415" s="30">
        <f t="shared" si="32"/>
        <v>2.0106089793328064E-3</v>
      </c>
      <c r="T415" s="30">
        <f t="shared" si="32"/>
        <v>1.5245812638133849E-3</v>
      </c>
      <c r="U415" s="63">
        <f t="shared" si="31"/>
        <v>1.6551567648261399E-2</v>
      </c>
    </row>
    <row r="416" spans="1:21">
      <c r="A416" s="28">
        <v>43930</v>
      </c>
      <c r="B416" s="29">
        <v>1736.1999510000001</v>
      </c>
      <c r="C416" s="29">
        <v>15.994999890000001</v>
      </c>
      <c r="D416" s="29">
        <v>22.760000229999999</v>
      </c>
      <c r="E416" s="29">
        <v>8238.5302730000003</v>
      </c>
      <c r="F416" s="29">
        <v>2789.820068</v>
      </c>
      <c r="G416" s="29">
        <v>23719.369139999999</v>
      </c>
      <c r="H416" s="29">
        <v>11.465898510000001</v>
      </c>
      <c r="I416" s="29">
        <v>9.1170110700000002</v>
      </c>
      <c r="J416" s="29">
        <v>12.04123592</v>
      </c>
      <c r="L416" s="30">
        <f t="shared" si="33"/>
        <v>4.2512264909154274E-2</v>
      </c>
      <c r="M416" s="30">
        <f t="shared" si="33"/>
        <v>5.5984654561613389E-2</v>
      </c>
      <c r="N416" s="30">
        <f t="shared" si="33"/>
        <v>-9.2865679795542055E-2</v>
      </c>
      <c r="O416" s="30">
        <f t="shared" si="32"/>
        <v>1.0924345658926971E-3</v>
      </c>
      <c r="P416" s="30">
        <f t="shared" si="32"/>
        <v>1.4487410195618944E-2</v>
      </c>
      <c r="Q416" s="30">
        <f t="shared" si="32"/>
        <v>1.2196128298812337E-2</v>
      </c>
      <c r="R416" s="30">
        <f t="shared" si="32"/>
        <v>5.6954627508130073E-3</v>
      </c>
      <c r="S416" s="30">
        <f t="shared" si="32"/>
        <v>9.0268941529354496E-3</v>
      </c>
      <c r="T416" s="30">
        <f t="shared" si="32"/>
        <v>9.8933330061525826E-3</v>
      </c>
      <c r="U416" s="63">
        <f t="shared" si="31"/>
        <v>1.1135266607701318E-2</v>
      </c>
    </row>
    <row r="417" spans="1:21">
      <c r="A417" s="28">
        <v>43934</v>
      </c>
      <c r="B417" s="29">
        <v>1744.8000489999999</v>
      </c>
      <c r="C417" s="29">
        <v>15.47900009</v>
      </c>
      <c r="D417" s="29">
        <v>22.409999849999998</v>
      </c>
      <c r="E417" s="29">
        <v>8332.7402340000008</v>
      </c>
      <c r="F417" s="29">
        <v>2761.6298830000001</v>
      </c>
      <c r="G417" s="29">
        <v>23390.769530000001</v>
      </c>
      <c r="H417" s="29">
        <v>11.484455110000001</v>
      </c>
      <c r="I417" s="29">
        <v>9.1351337430000008</v>
      </c>
      <c r="J417" s="29">
        <v>12.05938435</v>
      </c>
      <c r="L417" s="30">
        <f t="shared" si="33"/>
        <v>4.953402973572496E-3</v>
      </c>
      <c r="M417" s="30">
        <f t="shared" si="33"/>
        <v>-3.2260068993348434E-2</v>
      </c>
      <c r="N417" s="30">
        <f t="shared" si="33"/>
        <v>-1.5377872428079531E-2</v>
      </c>
      <c r="O417" s="30">
        <f t="shared" si="32"/>
        <v>1.1435287348370071E-2</v>
      </c>
      <c r="P417" s="30">
        <f t="shared" si="32"/>
        <v>-1.0104660627883844E-2</v>
      </c>
      <c r="Q417" s="30">
        <f t="shared" si="32"/>
        <v>-1.3853640375529719E-2</v>
      </c>
      <c r="R417" s="30">
        <f t="shared" si="32"/>
        <v>1.6184165579187226E-3</v>
      </c>
      <c r="S417" s="30">
        <f t="shared" si="32"/>
        <v>1.9877866617530326E-3</v>
      </c>
      <c r="T417" s="30">
        <f t="shared" si="32"/>
        <v>1.5071899695824342E-3</v>
      </c>
      <c r="U417" s="63">
        <f t="shared" si="31"/>
        <v>-7.5408911530624448E-3</v>
      </c>
    </row>
    <row r="418" spans="1:21">
      <c r="A418" s="28">
        <v>43935</v>
      </c>
      <c r="B418" s="29">
        <v>1756.6999510000001</v>
      </c>
      <c r="C418" s="29">
        <v>16.072000500000001</v>
      </c>
      <c r="D418" s="29">
        <v>20.11000061</v>
      </c>
      <c r="E418" s="29">
        <v>8692.1601559999999</v>
      </c>
      <c r="F418" s="29">
        <v>2846.0600589999999</v>
      </c>
      <c r="G418" s="29">
        <v>23949.759770000001</v>
      </c>
      <c r="H418" s="29">
        <v>11.50301075</v>
      </c>
      <c r="I418" s="29">
        <v>9.1623229980000005</v>
      </c>
      <c r="J418" s="29">
        <v>12.10475254</v>
      </c>
      <c r="L418" s="30">
        <f t="shared" si="33"/>
        <v>6.8202095746274782E-3</v>
      </c>
      <c r="M418" s="30">
        <f t="shared" si="33"/>
        <v>3.8309994608960674E-2</v>
      </c>
      <c r="N418" s="30">
        <f t="shared" si="33"/>
        <v>-0.10263272000869728</v>
      </c>
      <c r="O418" s="30">
        <f t="shared" si="32"/>
        <v>4.313346053120215E-2</v>
      </c>
      <c r="P418" s="30">
        <f t="shared" si="32"/>
        <v>3.0572589223390789E-2</v>
      </c>
      <c r="Q418" s="30">
        <f t="shared" si="32"/>
        <v>2.3897898668235884E-2</v>
      </c>
      <c r="R418" s="30">
        <f t="shared" si="32"/>
        <v>1.6157179267339838E-3</v>
      </c>
      <c r="S418" s="30">
        <f t="shared" si="32"/>
        <v>2.9763390186634542E-3</v>
      </c>
      <c r="T418" s="30">
        <f t="shared" si="32"/>
        <v>3.7620651837007024E-3</v>
      </c>
      <c r="U418" s="63">
        <f t="shared" si="31"/>
        <v>1.4370807025343914E-2</v>
      </c>
    </row>
    <row r="419" spans="1:21">
      <c r="A419" s="28">
        <v>43936</v>
      </c>
      <c r="B419" s="29">
        <v>1727.1999510000001</v>
      </c>
      <c r="C419" s="29">
        <v>15.446999549999999</v>
      </c>
      <c r="D419" s="29">
        <v>19.870000839999999</v>
      </c>
      <c r="E419" s="29">
        <v>8591.9599610000005</v>
      </c>
      <c r="F419" s="29">
        <v>2783.360107</v>
      </c>
      <c r="G419" s="29">
        <v>23504.349610000001</v>
      </c>
      <c r="H419" s="29">
        <v>11.54939079</v>
      </c>
      <c r="I419" s="29">
        <v>9.2076377869999995</v>
      </c>
      <c r="J419" s="29">
        <v>12.14105034</v>
      </c>
      <c r="L419" s="30">
        <f t="shared" si="33"/>
        <v>-1.6792850698952422E-2</v>
      </c>
      <c r="M419" s="30">
        <f t="shared" si="33"/>
        <v>-3.8887564121218299E-2</v>
      </c>
      <c r="N419" s="30">
        <f t="shared" si="33"/>
        <v>-1.1934349215318107E-2</v>
      </c>
      <c r="O419" s="30">
        <f t="shared" si="32"/>
        <v>-1.1527651723125865E-2</v>
      </c>
      <c r="P419" s="30">
        <f t="shared" si="32"/>
        <v>-2.2030438817243536E-2</v>
      </c>
      <c r="Q419" s="30">
        <f t="shared" si="32"/>
        <v>-1.8597688005118518E-2</v>
      </c>
      <c r="R419" s="30">
        <f t="shared" si="32"/>
        <v>4.0319913636523985E-3</v>
      </c>
      <c r="S419" s="30">
        <f t="shared" si="32"/>
        <v>4.9457751063666233E-3</v>
      </c>
      <c r="T419" s="30">
        <f t="shared" si="32"/>
        <v>2.9986404001283162E-3</v>
      </c>
      <c r="U419" s="63">
        <f t="shared" si="31"/>
        <v>-1.5370722790253788E-2</v>
      </c>
    </row>
    <row r="420" spans="1:21">
      <c r="A420" s="28">
        <v>43937</v>
      </c>
      <c r="B420" s="29">
        <v>1720.400024</v>
      </c>
      <c r="C420" s="29">
        <v>15.56400013</v>
      </c>
      <c r="D420" s="29">
        <v>19.870000839999999</v>
      </c>
      <c r="E420" s="29">
        <v>8757.8300780000009</v>
      </c>
      <c r="F420" s="29">
        <v>2799.5500489999999</v>
      </c>
      <c r="G420" s="29">
        <v>23537.679690000001</v>
      </c>
      <c r="H420" s="29">
        <v>11.56794453</v>
      </c>
      <c r="I420" s="29">
        <v>9.2166948319999999</v>
      </c>
      <c r="J420" s="29">
        <v>12.150121690000001</v>
      </c>
      <c r="L420" s="30">
        <f t="shared" si="33"/>
        <v>-3.9369657207685149E-3</v>
      </c>
      <c r="M420" s="30">
        <f t="shared" si="33"/>
        <v>7.5743240375767407E-3</v>
      </c>
      <c r="N420" s="30">
        <f t="shared" si="33"/>
        <v>0</v>
      </c>
      <c r="O420" s="30">
        <f t="shared" si="32"/>
        <v>1.9305271178276628E-2</v>
      </c>
      <c r="P420" s="30">
        <f t="shared" si="32"/>
        <v>5.8166896763673925E-3</v>
      </c>
      <c r="Q420" s="30">
        <f t="shared" si="32"/>
        <v>1.4180388120936804E-3</v>
      </c>
      <c r="R420" s="30">
        <f t="shared" si="32"/>
        <v>1.6064691495298877E-3</v>
      </c>
      <c r="S420" s="30">
        <f t="shared" si="32"/>
        <v>9.8364479679990957E-4</v>
      </c>
      <c r="T420" s="30">
        <f t="shared" si="32"/>
        <v>7.4716352753378956E-4</v>
      </c>
      <c r="U420" s="63">
        <f t="shared" si="31"/>
        <v>5.2570019977560218E-3</v>
      </c>
    </row>
    <row r="421" spans="1:21">
      <c r="A421" s="28">
        <v>43938</v>
      </c>
      <c r="B421" s="29">
        <v>1689.1999510000001</v>
      </c>
      <c r="C421" s="29">
        <v>15.23700047</v>
      </c>
      <c r="D421" s="29">
        <v>18.270000459999999</v>
      </c>
      <c r="E421" s="29">
        <v>8832.4101559999999</v>
      </c>
      <c r="F421" s="29">
        <v>2874.5600589999999</v>
      </c>
      <c r="G421" s="29">
        <v>24242.490229999999</v>
      </c>
      <c r="H421" s="29">
        <v>11.54011631</v>
      </c>
      <c r="I421" s="29">
        <v>9.1985721589999994</v>
      </c>
      <c r="J421" s="29">
        <v>12.113827710000001</v>
      </c>
      <c r="L421" s="30">
        <f t="shared" si="33"/>
        <v>-1.8135359547053809E-2</v>
      </c>
      <c r="M421" s="30">
        <f t="shared" si="33"/>
        <v>-2.1010001109528442E-2</v>
      </c>
      <c r="N421" s="30">
        <f t="shared" si="33"/>
        <v>-8.0523417833937128E-2</v>
      </c>
      <c r="O421" s="30">
        <f t="shared" si="32"/>
        <v>8.515816970158685E-3</v>
      </c>
      <c r="P421" s="30">
        <f t="shared" si="32"/>
        <v>2.6793594930297315E-2</v>
      </c>
      <c r="Q421" s="30">
        <f t="shared" si="32"/>
        <v>2.9943926048897618E-2</v>
      </c>
      <c r="R421" s="30">
        <f t="shared" si="32"/>
        <v>-2.4056322130375785E-3</v>
      </c>
      <c r="S421" s="30">
        <f t="shared" si="32"/>
        <v>-1.9662876259154416E-3</v>
      </c>
      <c r="T421" s="30">
        <f t="shared" si="32"/>
        <v>-2.9871289297350723E-3</v>
      </c>
      <c r="U421" s="63">
        <f t="shared" si="31"/>
        <v>-7.6211677644793217E-4</v>
      </c>
    </row>
    <row r="422" spans="1:21">
      <c r="A422" s="28">
        <v>43941</v>
      </c>
      <c r="B422" s="29">
        <v>1701.599976</v>
      </c>
      <c r="C422" s="29">
        <v>15.555999760000001</v>
      </c>
      <c r="D422" s="29">
        <v>-37.630001069999999</v>
      </c>
      <c r="E422" s="29">
        <v>8726.5097659999992</v>
      </c>
      <c r="F422" s="29">
        <v>2823.1599120000001</v>
      </c>
      <c r="G422" s="29">
        <v>23650.439450000002</v>
      </c>
      <c r="H422" s="29">
        <v>11.54939079</v>
      </c>
      <c r="I422" s="29">
        <v>9.1985721589999994</v>
      </c>
      <c r="J422" s="29">
        <v>12.10475254</v>
      </c>
      <c r="L422" s="30">
        <f t="shared" si="33"/>
        <v>7.3407680320254354E-3</v>
      </c>
      <c r="M422" s="30">
        <f t="shared" si="33"/>
        <v>2.0935832523473197E-2</v>
      </c>
      <c r="N422" s="30">
        <f t="shared" si="33"/>
        <v>-3.0596606525755941</v>
      </c>
      <c r="O422" s="30">
        <f t="shared" si="32"/>
        <v>-1.1989976476359687E-2</v>
      </c>
      <c r="P422" s="30">
        <f t="shared" si="32"/>
        <v>-1.7881048210862893E-2</v>
      </c>
      <c r="Q422" s="30">
        <f t="shared" si="32"/>
        <v>-2.4422028198544443E-2</v>
      </c>
      <c r="R422" s="30">
        <f t="shared" si="32"/>
        <v>8.0367300908079642E-4</v>
      </c>
      <c r="S422" s="30">
        <f t="shared" si="32"/>
        <v>0</v>
      </c>
      <c r="T422" s="30">
        <f t="shared" si="32"/>
        <v>-7.4915792243845925E-4</v>
      </c>
      <c r="U422" s="63">
        <f t="shared" si="31"/>
        <v>-0.23587103813132659</v>
      </c>
    </row>
    <row r="423" spans="1:21">
      <c r="A423" s="28">
        <v>43942</v>
      </c>
      <c r="B423" s="29">
        <v>1678.1999510000001</v>
      </c>
      <c r="C423" s="29">
        <v>14.817999840000001</v>
      </c>
      <c r="D423" s="29">
        <v>10.010000229999999</v>
      </c>
      <c r="E423" s="29">
        <v>8403</v>
      </c>
      <c r="F423" s="29">
        <v>2736.5600589999999</v>
      </c>
      <c r="G423" s="29">
        <v>23018.880860000001</v>
      </c>
      <c r="H423" s="29">
        <v>11.558670040000001</v>
      </c>
      <c r="I423" s="29">
        <v>9.2076377869999995</v>
      </c>
      <c r="J423" s="29">
        <v>12.10475254</v>
      </c>
      <c r="L423" s="30">
        <f t="shared" si="33"/>
        <v>-1.3751777932559106E-2</v>
      </c>
      <c r="M423" s="30">
        <f t="shared" si="33"/>
        <v>-4.7441497260604204E-2</v>
      </c>
      <c r="N423" s="30">
        <f t="shared" si="33"/>
        <v>-1.2660111598556487</v>
      </c>
      <c r="O423" s="30">
        <f t="shared" si="32"/>
        <v>-3.7072068292463234E-2</v>
      </c>
      <c r="P423" s="30">
        <f t="shared" si="32"/>
        <v>-3.0674795512610764E-2</v>
      </c>
      <c r="Q423" s="30">
        <f t="shared" si="32"/>
        <v>-2.6703883931425199E-2</v>
      </c>
      <c r="R423" s="30">
        <f t="shared" si="32"/>
        <v>8.0344064624049416E-4</v>
      </c>
      <c r="S423" s="30">
        <f t="shared" si="32"/>
        <v>9.8554730487498965E-4</v>
      </c>
      <c r="T423" s="30">
        <f t="shared" si="32"/>
        <v>0</v>
      </c>
      <c r="U423" s="63">
        <f t="shared" si="31"/>
        <v>-0.11826620101005077</v>
      </c>
    </row>
    <row r="424" spans="1:21">
      <c r="A424" s="28">
        <v>43943</v>
      </c>
      <c r="B424" s="29">
        <v>1728.6999510000001</v>
      </c>
      <c r="C424" s="29">
        <v>15.277000429999999</v>
      </c>
      <c r="D424" s="29">
        <v>13.77999973</v>
      </c>
      <c r="E424" s="29">
        <v>8664.6396480000003</v>
      </c>
      <c r="F424" s="29">
        <v>2799.3100589999999</v>
      </c>
      <c r="G424" s="29">
        <v>23475.820309999999</v>
      </c>
      <c r="H424" s="29">
        <v>11.54011631</v>
      </c>
      <c r="I424" s="29">
        <v>9.1985721589999994</v>
      </c>
      <c r="J424" s="29">
        <v>12.09567547</v>
      </c>
      <c r="L424" s="30">
        <f t="shared" si="33"/>
        <v>3.009176586491269E-2</v>
      </c>
      <c r="M424" s="30">
        <f t="shared" si="33"/>
        <v>3.0975880345265105E-2</v>
      </c>
      <c r="N424" s="30">
        <f t="shared" si="33"/>
        <v>0.3766233180196441</v>
      </c>
      <c r="O424" s="30">
        <f t="shared" si="32"/>
        <v>3.1136456979650173E-2</v>
      </c>
      <c r="P424" s="30">
        <f t="shared" si="32"/>
        <v>2.2930247700439832E-2</v>
      </c>
      <c r="Q424" s="30">
        <f t="shared" si="32"/>
        <v>1.9850637082623024E-2</v>
      </c>
      <c r="R424" s="30">
        <f t="shared" si="32"/>
        <v>-1.6051786179372973E-3</v>
      </c>
      <c r="S424" s="30">
        <f t="shared" si="32"/>
        <v>-9.8457695770781672E-4</v>
      </c>
      <c r="T424" s="30">
        <f t="shared" si="32"/>
        <v>-7.4987654394464975E-4</v>
      </c>
      <c r="U424" s="63">
        <f t="shared" si="31"/>
        <v>4.5910927595217081E-2</v>
      </c>
    </row>
    <row r="425" spans="1:21">
      <c r="A425" s="28">
        <v>43944</v>
      </c>
      <c r="B425" s="29">
        <v>1733.3000489999999</v>
      </c>
      <c r="C425" s="29">
        <v>15.347999570000001</v>
      </c>
      <c r="D425" s="29">
        <v>16.5</v>
      </c>
      <c r="E425" s="29">
        <v>8641.5</v>
      </c>
      <c r="F425" s="29">
        <v>2797.8000489999999</v>
      </c>
      <c r="G425" s="29">
        <v>23515.259770000001</v>
      </c>
      <c r="H425" s="29">
        <v>11.56794453</v>
      </c>
      <c r="I425" s="29">
        <v>9.2076377869999995</v>
      </c>
      <c r="J425" s="29">
        <v>12.13197613</v>
      </c>
      <c r="L425" s="30">
        <f t="shared" si="33"/>
        <v>2.6610158676403373E-3</v>
      </c>
      <c r="M425" s="30">
        <f t="shared" si="33"/>
        <v>4.6474529031614864E-3</v>
      </c>
      <c r="N425" s="30">
        <f t="shared" si="33"/>
        <v>0.19738754160338434</v>
      </c>
      <c r="O425" s="30">
        <f t="shared" si="32"/>
        <v>-2.6705839988788727E-3</v>
      </c>
      <c r="P425" s="30">
        <f t="shared" si="32"/>
        <v>-5.3942220339087132E-4</v>
      </c>
      <c r="Q425" s="30">
        <f t="shared" si="32"/>
        <v>1.6800034878099446E-3</v>
      </c>
      <c r="R425" s="30">
        <f t="shared" si="32"/>
        <v>2.4114332345062106E-3</v>
      </c>
      <c r="S425" s="30">
        <f t="shared" si="32"/>
        <v>9.8554730487498965E-4</v>
      </c>
      <c r="T425" s="30">
        <f t="shared" si="32"/>
        <v>3.0011271458161293E-3</v>
      </c>
      <c r="U425" s="63">
        <f t="shared" si="31"/>
        <v>1.5886387489735598E-2</v>
      </c>
    </row>
    <row r="426" spans="1:21">
      <c r="A426" s="28">
        <v>43945</v>
      </c>
      <c r="B426" s="29">
        <v>1723.5</v>
      </c>
      <c r="C426" s="29">
        <v>15.25399971</v>
      </c>
      <c r="D426" s="29">
        <v>16.940000529999999</v>
      </c>
      <c r="E426" s="29">
        <v>8786.5996090000008</v>
      </c>
      <c r="F426" s="29">
        <v>2836.73999</v>
      </c>
      <c r="G426" s="29">
        <v>23775.269530000001</v>
      </c>
      <c r="H426" s="29">
        <v>11.56794453</v>
      </c>
      <c r="I426" s="29">
        <v>9.2166948319999999</v>
      </c>
      <c r="J426" s="29">
        <v>12.13197613</v>
      </c>
      <c r="L426" s="30">
        <f t="shared" si="33"/>
        <v>-5.6539829936853581E-3</v>
      </c>
      <c r="M426" s="30">
        <f t="shared" si="33"/>
        <v>-6.1245675419314693E-3</v>
      </c>
      <c r="N426" s="30">
        <f t="shared" si="33"/>
        <v>2.6666698787878751E-2</v>
      </c>
      <c r="O426" s="30">
        <f t="shared" si="32"/>
        <v>1.6791021119018756E-2</v>
      </c>
      <c r="P426" s="30">
        <f t="shared" si="32"/>
        <v>1.3918057158487152E-2</v>
      </c>
      <c r="Q426" s="30">
        <f t="shared" si="32"/>
        <v>1.1057065179935321E-2</v>
      </c>
      <c r="R426" s="30">
        <f t="shared" si="32"/>
        <v>0</v>
      </c>
      <c r="S426" s="30">
        <f t="shared" si="32"/>
        <v>9.8364479679990957E-4</v>
      </c>
      <c r="T426" s="30">
        <f t="shared" si="32"/>
        <v>0</v>
      </c>
      <c r="U426" s="63">
        <f t="shared" si="31"/>
        <v>7.4793660232598206E-3</v>
      </c>
    </row>
    <row r="427" spans="1:21">
      <c r="A427" s="28">
        <v>43948</v>
      </c>
      <c r="B427" s="29">
        <v>1711.900024</v>
      </c>
      <c r="C427" s="29">
        <v>15.20100021</v>
      </c>
      <c r="D427" s="29">
        <v>12.77999973</v>
      </c>
      <c r="E427" s="29">
        <v>8837.6601559999999</v>
      </c>
      <c r="F427" s="29">
        <v>2878.4799800000001</v>
      </c>
      <c r="G427" s="29">
        <v>24133.779299999998</v>
      </c>
      <c r="H427" s="29">
        <v>11.52156067</v>
      </c>
      <c r="I427" s="29">
        <v>9.1895112989999994</v>
      </c>
      <c r="J427" s="29">
        <v>12.09567547</v>
      </c>
      <c r="L427" s="30">
        <f t="shared" si="33"/>
        <v>-6.7304763562517911E-3</v>
      </c>
      <c r="M427" s="30">
        <f t="shared" si="33"/>
        <v>-3.4744657799655743E-3</v>
      </c>
      <c r="N427" s="30">
        <f t="shared" si="33"/>
        <v>-0.24557264875126894</v>
      </c>
      <c r="O427" s="30">
        <f t="shared" si="32"/>
        <v>5.8111839929178011E-3</v>
      </c>
      <c r="P427" s="30">
        <f t="shared" si="32"/>
        <v>1.4714069723394063E-2</v>
      </c>
      <c r="Q427" s="30">
        <f t="shared" si="32"/>
        <v>1.507910434191384E-2</v>
      </c>
      <c r="R427" s="30">
        <f t="shared" si="32"/>
        <v>-4.0096890056577905E-3</v>
      </c>
      <c r="S427" s="30">
        <f t="shared" si="32"/>
        <v>-2.9493797392119436E-3</v>
      </c>
      <c r="T427" s="30">
        <f t="shared" si="32"/>
        <v>-2.9921473312362057E-3</v>
      </c>
      <c r="U427" s="63">
        <f t="shared" si="31"/>
        <v>-1.4646341922209379E-2</v>
      </c>
    </row>
    <row r="428" spans="1:21">
      <c r="A428" s="28">
        <v>43949</v>
      </c>
      <c r="B428" s="29">
        <v>1710.5</v>
      </c>
      <c r="C428" s="29">
        <v>15.161999700000001</v>
      </c>
      <c r="D428" s="29">
        <v>12.34000015</v>
      </c>
      <c r="E428" s="29">
        <v>8677.5996090000008</v>
      </c>
      <c r="F428" s="29">
        <v>2863.389893</v>
      </c>
      <c r="G428" s="29">
        <v>24101.550780000001</v>
      </c>
      <c r="H428" s="29">
        <v>11.558670040000001</v>
      </c>
      <c r="I428" s="29">
        <v>9.2166948319999999</v>
      </c>
      <c r="J428" s="29">
        <v>12.13197613</v>
      </c>
      <c r="L428" s="30">
        <f t="shared" si="33"/>
        <v>-8.1781878636155714E-4</v>
      </c>
      <c r="M428" s="30">
        <f t="shared" si="33"/>
        <v>-2.5656541978298364E-3</v>
      </c>
      <c r="N428" s="30">
        <f t="shared" si="33"/>
        <v>-3.442876285569374E-2</v>
      </c>
      <c r="O428" s="30">
        <f t="shared" si="32"/>
        <v>-1.8111190538519617E-2</v>
      </c>
      <c r="P428" s="30">
        <f t="shared" si="32"/>
        <v>-5.2423803899446231E-3</v>
      </c>
      <c r="Q428" s="30">
        <f t="shared" si="32"/>
        <v>-1.3354112341615876E-3</v>
      </c>
      <c r="R428" s="30">
        <f t="shared" si="32"/>
        <v>3.2208631332930615E-3</v>
      </c>
      <c r="S428" s="30">
        <f t="shared" si="32"/>
        <v>2.9581043121367223E-3</v>
      </c>
      <c r="T428" s="30">
        <f t="shared" si="32"/>
        <v>3.0011271458161293E-3</v>
      </c>
      <c r="U428" s="63">
        <f t="shared" si="31"/>
        <v>-6.0019935978182313E-3</v>
      </c>
    </row>
    <row r="429" spans="1:21">
      <c r="A429" s="28">
        <v>43950</v>
      </c>
      <c r="B429" s="29">
        <v>1703.400024</v>
      </c>
      <c r="C429" s="29">
        <v>15.15999985</v>
      </c>
      <c r="D429" s="29">
        <v>15.06000042</v>
      </c>
      <c r="E429" s="29">
        <v>8982.7597659999992</v>
      </c>
      <c r="F429" s="29">
        <v>2939.51001</v>
      </c>
      <c r="G429" s="29">
        <v>24633.859380000002</v>
      </c>
      <c r="H429" s="29">
        <v>11.558670040000001</v>
      </c>
      <c r="I429" s="29">
        <v>9.2166948319999999</v>
      </c>
      <c r="J429" s="29">
        <v>12.14105034</v>
      </c>
      <c r="L429" s="30">
        <f t="shared" si="33"/>
        <v>-4.1508190587546956E-3</v>
      </c>
      <c r="M429" s="30">
        <f t="shared" si="33"/>
        <v>-1.3189882862219005E-4</v>
      </c>
      <c r="N429" s="30">
        <f t="shared" si="33"/>
        <v>0.22042141304187912</v>
      </c>
      <c r="O429" s="30">
        <f t="shared" si="32"/>
        <v>3.5166425134838031E-2</v>
      </c>
      <c r="P429" s="30">
        <f t="shared" si="32"/>
        <v>2.6583916212768344E-2</v>
      </c>
      <c r="Q429" s="30">
        <f t="shared" si="32"/>
        <v>2.2086072587566452E-2</v>
      </c>
      <c r="R429" s="30">
        <f t="shared" si="32"/>
        <v>0</v>
      </c>
      <c r="S429" s="30">
        <f t="shared" si="32"/>
        <v>0</v>
      </c>
      <c r="T429" s="30">
        <f t="shared" si="32"/>
        <v>7.4795811521255473E-4</v>
      </c>
      <c r="U429" s="63">
        <f t="shared" si="31"/>
        <v>2.9462566589599497E-2</v>
      </c>
    </row>
    <row r="430" spans="1:21">
      <c r="A430" s="28">
        <v>43951</v>
      </c>
      <c r="B430" s="29">
        <v>1684.1999510000001</v>
      </c>
      <c r="C430" s="29">
        <v>14.897999759999999</v>
      </c>
      <c r="D430" s="29">
        <v>18.840000150000002</v>
      </c>
      <c r="E430" s="29">
        <v>9000.5097659999992</v>
      </c>
      <c r="F430" s="29">
        <v>2912.429932</v>
      </c>
      <c r="G430" s="29">
        <v>24345.720700000002</v>
      </c>
      <c r="H430" s="29">
        <v>11.57168102</v>
      </c>
      <c r="I430" s="29">
        <v>9.2421188349999994</v>
      </c>
      <c r="J430" s="29">
        <v>12.12104225</v>
      </c>
      <c r="L430" s="30">
        <f t="shared" si="33"/>
        <v>-1.1271617194717143E-2</v>
      </c>
      <c r="M430" s="30">
        <f t="shared" si="33"/>
        <v>-1.7282328007410919E-2</v>
      </c>
      <c r="N430" s="30">
        <f t="shared" si="33"/>
        <v>0.25099599100808012</v>
      </c>
      <c r="O430" s="30">
        <f t="shared" si="32"/>
        <v>1.9760074256003346E-3</v>
      </c>
      <c r="P430" s="30">
        <f t="shared" si="32"/>
        <v>-9.2124462607290347E-3</v>
      </c>
      <c r="Q430" s="30">
        <f t="shared" si="32"/>
        <v>-1.169685494892192E-2</v>
      </c>
      <c r="R430" s="30">
        <f t="shared" si="32"/>
        <v>1.1256468049500867E-3</v>
      </c>
      <c r="S430" s="30">
        <f t="shared" si="32"/>
        <v>2.7584729085017301E-3</v>
      </c>
      <c r="T430" s="30">
        <f t="shared" si="32"/>
        <v>-1.6479702694321974E-3</v>
      </c>
      <c r="U430" s="63">
        <f t="shared" si="31"/>
        <v>1.302622865317409E-2</v>
      </c>
    </row>
    <row r="431" spans="1:21">
      <c r="A431" s="28">
        <v>43952</v>
      </c>
      <c r="B431" s="29">
        <v>1694.5</v>
      </c>
      <c r="C431" s="29">
        <v>14.86299992</v>
      </c>
      <c r="D431" s="29">
        <v>19.780000690000001</v>
      </c>
      <c r="E431" s="29">
        <v>8718.1796880000002</v>
      </c>
      <c r="F431" s="29">
        <v>2830.709961</v>
      </c>
      <c r="G431" s="29">
        <v>23723.689450000002</v>
      </c>
      <c r="H431" s="29">
        <v>11.57168102</v>
      </c>
      <c r="I431" s="29">
        <v>9.2330389020000005</v>
      </c>
      <c r="J431" s="29">
        <v>12.12104225</v>
      </c>
      <c r="L431" s="30">
        <f t="shared" si="33"/>
        <v>6.1156924947565194E-3</v>
      </c>
      <c r="M431" s="30">
        <f t="shared" si="33"/>
        <v>-2.3492979301805716E-3</v>
      </c>
      <c r="N431" s="30">
        <f t="shared" si="33"/>
        <v>4.9893871152649538E-2</v>
      </c>
      <c r="O431" s="30">
        <f t="shared" si="32"/>
        <v>-3.136823194909677E-2</v>
      </c>
      <c r="P431" s="30">
        <f t="shared" si="32"/>
        <v>-2.8059034176963649E-2</v>
      </c>
      <c r="Q431" s="30">
        <f t="shared" si="32"/>
        <v>-2.5549921387211127E-2</v>
      </c>
      <c r="R431" s="30">
        <f t="shared" si="32"/>
        <v>0</v>
      </c>
      <c r="S431" s="30">
        <f t="shared" si="32"/>
        <v>-9.8245144453379396E-4</v>
      </c>
      <c r="T431" s="30">
        <f t="shared" si="32"/>
        <v>0</v>
      </c>
      <c r="U431" s="63">
        <f t="shared" si="31"/>
        <v>-9.4207527640340696E-3</v>
      </c>
    </row>
    <row r="432" spans="1:21">
      <c r="A432" s="28">
        <v>43955</v>
      </c>
      <c r="B432" s="29">
        <v>1706.900024</v>
      </c>
      <c r="C432" s="29">
        <v>14.722000120000001</v>
      </c>
      <c r="D432" s="29">
        <v>20.38999939</v>
      </c>
      <c r="E432" s="29">
        <v>8834.1103519999997</v>
      </c>
      <c r="F432" s="29">
        <v>2842.73999</v>
      </c>
      <c r="G432" s="29">
        <v>23749.759770000001</v>
      </c>
      <c r="H432" s="29">
        <v>11.5530901</v>
      </c>
      <c r="I432" s="29">
        <v>9.2239618300000004</v>
      </c>
      <c r="J432" s="29">
        <v>12.111948010000001</v>
      </c>
      <c r="L432" s="30">
        <f t="shared" si="33"/>
        <v>7.3178070227206682E-3</v>
      </c>
      <c r="M432" s="30">
        <f t="shared" si="33"/>
        <v>-9.4866312829798849E-3</v>
      </c>
      <c r="N432" s="30">
        <f t="shared" si="33"/>
        <v>3.0839164748279746E-2</v>
      </c>
      <c r="O432" s="30">
        <f t="shared" si="32"/>
        <v>1.3297576804888633E-2</v>
      </c>
      <c r="P432" s="30">
        <f t="shared" si="32"/>
        <v>4.2498274870061969E-3</v>
      </c>
      <c r="Q432" s="30">
        <f t="shared" si="32"/>
        <v>1.0989150762128475E-3</v>
      </c>
      <c r="R432" s="30">
        <f t="shared" si="32"/>
        <v>-1.6065876658600819E-3</v>
      </c>
      <c r="S432" s="30">
        <f t="shared" si="32"/>
        <v>-9.831077391034837E-4</v>
      </c>
      <c r="T432" s="30">
        <f t="shared" si="32"/>
        <v>-7.5028531477971949E-4</v>
      </c>
      <c r="U432" s="63">
        <f t="shared" si="31"/>
        <v>3.9300961480557024E-3</v>
      </c>
    </row>
    <row r="433" spans="1:21">
      <c r="A433" s="28">
        <v>43956</v>
      </c>
      <c r="B433" s="29">
        <v>1704.400024</v>
      </c>
      <c r="C433" s="29">
        <v>15.057000159999999</v>
      </c>
      <c r="D433" s="29">
        <v>24.559999470000001</v>
      </c>
      <c r="E433" s="29">
        <v>8930.6201170000004</v>
      </c>
      <c r="F433" s="29">
        <v>2868.4399410000001</v>
      </c>
      <c r="G433" s="29">
        <v>23883.089840000001</v>
      </c>
      <c r="H433" s="29">
        <v>11.54379559</v>
      </c>
      <c r="I433" s="29">
        <v>9.2239618300000004</v>
      </c>
      <c r="J433" s="29">
        <v>12.10286045</v>
      </c>
      <c r="L433" s="30">
        <f t="shared" si="33"/>
        <v>-1.4646434851769419E-3</v>
      </c>
      <c r="M433" s="30">
        <f t="shared" si="33"/>
        <v>2.2755062985286623E-2</v>
      </c>
      <c r="N433" s="30">
        <f t="shared" si="33"/>
        <v>0.20451202573576932</v>
      </c>
      <c r="O433" s="30">
        <f t="shared" si="32"/>
        <v>1.0924672791545076E-2</v>
      </c>
      <c r="P433" s="30">
        <f t="shared" si="32"/>
        <v>9.0405563260818056E-3</v>
      </c>
      <c r="Q433" s="30">
        <f t="shared" si="32"/>
        <v>5.6139544690645415E-3</v>
      </c>
      <c r="R433" s="30">
        <f t="shared" si="32"/>
        <v>-8.0450424254896458E-4</v>
      </c>
      <c r="S433" s="30">
        <f t="shared" si="32"/>
        <v>0</v>
      </c>
      <c r="T433" s="30">
        <f t="shared" si="32"/>
        <v>-7.5029714398522351E-4</v>
      </c>
      <c r="U433" s="63">
        <f t="shared" si="31"/>
        <v>2.2987889036253668E-2</v>
      </c>
    </row>
    <row r="434" spans="1:21">
      <c r="A434" s="28">
        <v>43957</v>
      </c>
      <c r="B434" s="29">
        <v>1684.1999510000001</v>
      </c>
      <c r="C434" s="29">
        <v>14.98700047</v>
      </c>
      <c r="D434" s="29">
        <v>23.989999770000001</v>
      </c>
      <c r="E434" s="29">
        <v>8984.8603519999997</v>
      </c>
      <c r="F434" s="29">
        <v>2848.419922</v>
      </c>
      <c r="G434" s="29">
        <v>23664.640630000002</v>
      </c>
      <c r="H434" s="29">
        <v>11.506619450000001</v>
      </c>
      <c r="I434" s="29">
        <v>9.196728706</v>
      </c>
      <c r="J434" s="29">
        <v>12.066485399999999</v>
      </c>
      <c r="L434" s="30">
        <f t="shared" si="33"/>
        <v>-1.1851720673291877E-2</v>
      </c>
      <c r="M434" s="30">
        <f t="shared" si="33"/>
        <v>-4.6489798270680227E-3</v>
      </c>
      <c r="N434" s="30">
        <f t="shared" si="33"/>
        <v>-2.3208457341224897E-2</v>
      </c>
      <c r="O434" s="30">
        <f t="shared" si="32"/>
        <v>6.0735127336510875E-3</v>
      </c>
      <c r="P434" s="30">
        <f t="shared" si="32"/>
        <v>-6.9794102061696561E-3</v>
      </c>
      <c r="Q434" s="30">
        <f t="shared" si="32"/>
        <v>-9.1466058815444784E-3</v>
      </c>
      <c r="R434" s="30">
        <f t="shared" si="32"/>
        <v>-3.2204433723864723E-3</v>
      </c>
      <c r="S434" s="30">
        <f t="shared" si="32"/>
        <v>-2.9524324256663403E-3</v>
      </c>
      <c r="T434" s="30">
        <f t="shared" si="32"/>
        <v>-3.0054919785512668E-3</v>
      </c>
      <c r="U434" s="63">
        <f t="shared" si="31"/>
        <v>-5.6452092223408202E-3</v>
      </c>
    </row>
    <row r="435" spans="1:21">
      <c r="A435" s="28">
        <v>43958</v>
      </c>
      <c r="B435" s="29">
        <v>1721.8000489999999</v>
      </c>
      <c r="C435" s="29">
        <v>15.56200027</v>
      </c>
      <c r="D435" s="29">
        <v>23.549999239999998</v>
      </c>
      <c r="E435" s="29">
        <v>9101.8798829999996</v>
      </c>
      <c r="F435" s="29">
        <v>2881.1899410000001</v>
      </c>
      <c r="G435" s="29">
        <v>23875.890630000002</v>
      </c>
      <c r="H435" s="29">
        <v>11.5530901</v>
      </c>
      <c r="I435" s="29">
        <v>9.2330389020000005</v>
      </c>
      <c r="J435" s="29">
        <v>12.111948010000001</v>
      </c>
      <c r="L435" s="30">
        <f t="shared" si="33"/>
        <v>2.232519836951341E-2</v>
      </c>
      <c r="M435" s="30">
        <f t="shared" si="33"/>
        <v>3.8366569825029284E-2</v>
      </c>
      <c r="N435" s="30">
        <f t="shared" si="33"/>
        <v>-1.8340997674799131E-2</v>
      </c>
      <c r="O435" s="30">
        <f t="shared" si="32"/>
        <v>1.302407899683744E-2</v>
      </c>
      <c r="P435" s="30">
        <f t="shared" si="32"/>
        <v>1.1504630601302246E-2</v>
      </c>
      <c r="Q435" s="30">
        <f t="shared" si="32"/>
        <v>8.9268205379884336E-3</v>
      </c>
      <c r="R435" s="30">
        <f t="shared" si="32"/>
        <v>4.0386014504025791E-3</v>
      </c>
      <c r="S435" s="30">
        <f t="shared" si="32"/>
        <v>3.9481643050220949E-3</v>
      </c>
      <c r="T435" s="30">
        <f t="shared" si="32"/>
        <v>3.7676762116665152E-3</v>
      </c>
      <c r="U435" s="63">
        <f t="shared" si="31"/>
        <v>1.2018457320738035E-2</v>
      </c>
    </row>
    <row r="436" spans="1:21">
      <c r="A436" s="28">
        <v>43959</v>
      </c>
      <c r="B436" s="29">
        <v>1709.900024</v>
      </c>
      <c r="C436" s="29">
        <v>15.739999770000001</v>
      </c>
      <c r="D436" s="29">
        <v>24.739999770000001</v>
      </c>
      <c r="E436" s="29">
        <v>9220.3496090000008</v>
      </c>
      <c r="F436" s="29">
        <v>2929.8000489999999</v>
      </c>
      <c r="G436" s="29">
        <v>24331.320309999999</v>
      </c>
      <c r="H436" s="29">
        <v>11.515913960000001</v>
      </c>
      <c r="I436" s="29">
        <v>9.2058019640000008</v>
      </c>
      <c r="J436" s="29">
        <v>12.066485399999999</v>
      </c>
      <c r="L436" s="30">
        <f t="shared" si="33"/>
        <v>-6.9113861431885359E-3</v>
      </c>
      <c r="M436" s="30">
        <f t="shared" si="33"/>
        <v>1.1438086165770356E-2</v>
      </c>
      <c r="N436" s="30">
        <f t="shared" si="33"/>
        <v>5.0530809698658974E-2</v>
      </c>
      <c r="O436" s="30">
        <f t="shared" si="32"/>
        <v>1.3015962364134603E-2</v>
      </c>
      <c r="P436" s="30">
        <f t="shared" si="32"/>
        <v>1.6871538841735756E-2</v>
      </c>
      <c r="Q436" s="30">
        <f t="shared" si="32"/>
        <v>1.907487712427991E-2</v>
      </c>
      <c r="R436" s="30">
        <f t="shared" si="32"/>
        <v>-3.2178525120305501E-3</v>
      </c>
      <c r="S436" s="30">
        <f t="shared" si="32"/>
        <v>-2.949942948263784E-3</v>
      </c>
      <c r="T436" s="30">
        <f t="shared" si="32"/>
        <v>-3.7535341104887321E-3</v>
      </c>
      <c r="U436" s="63">
        <f t="shared" si="31"/>
        <v>1.1592875554928567E-2</v>
      </c>
    </row>
    <row r="437" spans="1:21">
      <c r="A437" s="28">
        <v>43962</v>
      </c>
      <c r="B437" s="29">
        <v>1695.3000489999999</v>
      </c>
      <c r="C437" s="29">
        <v>15.635999679999999</v>
      </c>
      <c r="D437" s="29">
        <v>24.13999939</v>
      </c>
      <c r="E437" s="29">
        <v>9298.9199219999991</v>
      </c>
      <c r="F437" s="29">
        <v>2930.1899410000001</v>
      </c>
      <c r="G437" s="29">
        <v>24221.990229999999</v>
      </c>
      <c r="H437" s="29">
        <v>11.47873688</v>
      </c>
      <c r="I437" s="29">
        <v>9.1785678859999997</v>
      </c>
      <c r="J437" s="29">
        <v>12.030114169999999</v>
      </c>
      <c r="L437" s="30">
        <f t="shared" si="33"/>
        <v>-8.5384962834529343E-3</v>
      </c>
      <c r="M437" s="30">
        <f t="shared" si="33"/>
        <v>-6.6073755730430284E-3</v>
      </c>
      <c r="N437" s="30">
        <f t="shared" si="33"/>
        <v>-2.4252238705659512E-2</v>
      </c>
      <c r="O437" s="30">
        <f t="shared" si="32"/>
        <v>8.5214028026991961E-3</v>
      </c>
      <c r="P437" s="30">
        <f t="shared" si="32"/>
        <v>1.3307802357820364E-4</v>
      </c>
      <c r="Q437" s="30">
        <f t="shared" si="32"/>
        <v>-4.4933887108077331E-3</v>
      </c>
      <c r="R437" s="30">
        <f t="shared" si="32"/>
        <v>-3.2283221400519757E-3</v>
      </c>
      <c r="S437" s="30">
        <f t="shared" si="32"/>
        <v>-2.9583601848597318E-3</v>
      </c>
      <c r="T437" s="30">
        <f t="shared" si="32"/>
        <v>-3.0142356116388269E-3</v>
      </c>
      <c r="U437" s="63">
        <f t="shared" si="31"/>
        <v>-3.2066758788069673E-3</v>
      </c>
    </row>
    <row r="438" spans="1:21">
      <c r="A438" s="28">
        <v>43963</v>
      </c>
      <c r="B438" s="29">
        <v>1704.400024</v>
      </c>
      <c r="C438" s="29">
        <v>15.68700027</v>
      </c>
      <c r="D438" s="29">
        <v>25.780000690000001</v>
      </c>
      <c r="E438" s="29">
        <v>9112.4501949999994</v>
      </c>
      <c r="F438" s="29">
        <v>2870.1201169999999</v>
      </c>
      <c r="G438" s="29">
        <v>23764.779299999998</v>
      </c>
      <c r="H438" s="29">
        <v>11.506619450000001</v>
      </c>
      <c r="I438" s="29">
        <v>9.2058019640000008</v>
      </c>
      <c r="J438" s="29">
        <v>12.066485399999999</v>
      </c>
      <c r="L438" s="30">
        <f t="shared" si="33"/>
        <v>5.3677666117970535E-3</v>
      </c>
      <c r="M438" s="30">
        <f t="shared" si="33"/>
        <v>3.26174156074166E-3</v>
      </c>
      <c r="N438" s="30">
        <f t="shared" si="33"/>
        <v>6.7937089537764228E-2</v>
      </c>
      <c r="O438" s="30">
        <f t="shared" si="32"/>
        <v>-2.0052837164328818E-2</v>
      </c>
      <c r="P438" s="30">
        <f t="shared" si="32"/>
        <v>-2.0500317457065598E-2</v>
      </c>
      <c r="Q438" s="30">
        <f t="shared" si="32"/>
        <v>-1.8875861382923298E-2</v>
      </c>
      <c r="R438" s="30">
        <f t="shared" si="32"/>
        <v>2.429062560758144E-3</v>
      </c>
      <c r="S438" s="30">
        <f t="shared" si="32"/>
        <v>2.9671380479237008E-3</v>
      </c>
      <c r="T438" s="30">
        <f t="shared" si="32"/>
        <v>3.0233486969475365E-3</v>
      </c>
      <c r="U438" s="63">
        <f t="shared" si="31"/>
        <v>-2.5135346451869061E-3</v>
      </c>
    </row>
    <row r="439" spans="1:21">
      <c r="A439" s="28">
        <v>43964</v>
      </c>
      <c r="B439" s="29">
        <v>1713.900024</v>
      </c>
      <c r="C439" s="29">
        <v>15.66300011</v>
      </c>
      <c r="D439" s="29">
        <v>25.290000920000001</v>
      </c>
      <c r="E439" s="29">
        <v>9000.0800780000009</v>
      </c>
      <c r="F439" s="29">
        <v>2820</v>
      </c>
      <c r="G439" s="29">
        <v>23247.970700000002</v>
      </c>
      <c r="H439" s="29">
        <v>11.525210380000001</v>
      </c>
      <c r="I439" s="29">
        <v>9.2148828510000005</v>
      </c>
      <c r="J439" s="29">
        <v>12.08467007</v>
      </c>
      <c r="L439" s="30">
        <f t="shared" si="33"/>
        <v>5.5738088865457946E-3</v>
      </c>
      <c r="M439" s="30">
        <f t="shared" si="33"/>
        <v>-1.5299394139680622E-3</v>
      </c>
      <c r="N439" s="30">
        <f t="shared" si="33"/>
        <v>-1.900697272634555E-2</v>
      </c>
      <c r="O439" s="30">
        <f t="shared" si="32"/>
        <v>-1.2331493132511806E-2</v>
      </c>
      <c r="P439" s="30">
        <f t="shared" si="32"/>
        <v>-1.7462724540040497E-2</v>
      </c>
      <c r="Q439" s="30">
        <f t="shared" si="32"/>
        <v>-2.1746829350946073E-2</v>
      </c>
      <c r="R439" s="30">
        <f t="shared" si="32"/>
        <v>1.6156726205105443E-3</v>
      </c>
      <c r="S439" s="30">
        <f t="shared" si="32"/>
        <v>9.8643084388649882E-4</v>
      </c>
      <c r="T439" s="30">
        <f t="shared" si="32"/>
        <v>1.5070394897258588E-3</v>
      </c>
      <c r="U439" s="63">
        <f t="shared" si="31"/>
        <v>-8.4865814723500792E-3</v>
      </c>
    </row>
    <row r="440" spans="1:21">
      <c r="A440" s="28">
        <v>43965</v>
      </c>
      <c r="B440" s="29">
        <v>1738.099976</v>
      </c>
      <c r="C440" s="29">
        <v>16.135999680000001</v>
      </c>
      <c r="D440" s="29">
        <v>27.559999470000001</v>
      </c>
      <c r="E440" s="29">
        <v>9094.4199219999991</v>
      </c>
      <c r="F440" s="29">
        <v>2852.5</v>
      </c>
      <c r="G440" s="29">
        <v>23625.339840000001</v>
      </c>
      <c r="H440" s="29">
        <v>11.54379559</v>
      </c>
      <c r="I440" s="29">
        <v>9.2421188349999994</v>
      </c>
      <c r="J440" s="29">
        <v>12.10286045</v>
      </c>
      <c r="L440" s="30">
        <f t="shared" si="33"/>
        <v>1.4119815427460436E-2</v>
      </c>
      <c r="M440" s="30">
        <f t="shared" si="33"/>
        <v>3.0198529443795197E-2</v>
      </c>
      <c r="N440" s="30">
        <f t="shared" si="33"/>
        <v>8.9758737343691664E-2</v>
      </c>
      <c r="O440" s="30">
        <f t="shared" si="32"/>
        <v>1.0482111623718149E-2</v>
      </c>
      <c r="P440" s="30">
        <f t="shared" si="32"/>
        <v>1.1524822695035519E-2</v>
      </c>
      <c r="Q440" s="30">
        <f t="shared" si="32"/>
        <v>1.6232347539907988E-2</v>
      </c>
      <c r="R440" s="30">
        <f t="shared" si="32"/>
        <v>1.612570129934543E-3</v>
      </c>
      <c r="S440" s="30">
        <f t="shared" si="32"/>
        <v>2.9556516822177858E-3</v>
      </c>
      <c r="T440" s="30">
        <f t="shared" si="32"/>
        <v>1.5052442387448739E-3</v>
      </c>
      <c r="U440" s="63">
        <f t="shared" si="31"/>
        <v>1.7982652304864198E-2</v>
      </c>
    </row>
    <row r="441" spans="1:21">
      <c r="A441" s="28">
        <v>43966</v>
      </c>
      <c r="B441" s="29">
        <v>1753.400024</v>
      </c>
      <c r="C441" s="29">
        <v>17.04599953</v>
      </c>
      <c r="D441" s="29">
        <v>29.43000031</v>
      </c>
      <c r="E441" s="29">
        <v>9152.6396480000003</v>
      </c>
      <c r="F441" s="29">
        <v>2863.6999510000001</v>
      </c>
      <c r="G441" s="29">
        <v>23685.41992</v>
      </c>
      <c r="H441" s="29">
        <v>11.54379559</v>
      </c>
      <c r="I441" s="29">
        <v>9.2330389020000005</v>
      </c>
      <c r="J441" s="29">
        <v>12.10286045</v>
      </c>
      <c r="L441" s="30">
        <f t="shared" si="33"/>
        <v>8.8027433469108907E-3</v>
      </c>
      <c r="M441" s="30">
        <f t="shared" si="33"/>
        <v>5.6395628907201178E-2</v>
      </c>
      <c r="N441" s="30">
        <f t="shared" si="33"/>
        <v>6.7851991145194246E-2</v>
      </c>
      <c r="O441" s="30">
        <f t="shared" si="33"/>
        <v>6.4016975793215192E-3</v>
      </c>
      <c r="P441" s="30">
        <f t="shared" si="33"/>
        <v>3.9263631901840235E-3</v>
      </c>
      <c r="Q441" s="30">
        <f t="shared" si="33"/>
        <v>2.5430355883506728E-3</v>
      </c>
      <c r="R441" s="30">
        <f t="shared" si="32"/>
        <v>0</v>
      </c>
      <c r="S441" s="30">
        <f t="shared" si="32"/>
        <v>-9.8245144453379396E-4</v>
      </c>
      <c r="T441" s="30">
        <f t="shared" si="32"/>
        <v>0</v>
      </c>
      <c r="U441" s="63">
        <f t="shared" si="31"/>
        <v>1.607975563424819E-2</v>
      </c>
    </row>
    <row r="442" spans="1:21">
      <c r="A442" s="28">
        <v>43969</v>
      </c>
      <c r="B442" s="29">
        <v>1731.8000489999999</v>
      </c>
      <c r="C442" s="29">
        <v>17.4640007</v>
      </c>
      <c r="D442" s="29">
        <v>31.81999969</v>
      </c>
      <c r="E442" s="29">
        <v>9331.9296880000002</v>
      </c>
      <c r="F442" s="29">
        <v>2953.9099120000001</v>
      </c>
      <c r="G442" s="29">
        <v>24597.369139999999</v>
      </c>
      <c r="H442" s="29">
        <v>11.506619450000001</v>
      </c>
      <c r="I442" s="29">
        <v>9.2148828510000005</v>
      </c>
      <c r="J442" s="29">
        <v>12.08467007</v>
      </c>
      <c r="L442" s="30">
        <f t="shared" si="33"/>
        <v>-1.2318908808227613E-2</v>
      </c>
      <c r="M442" s="30">
        <f t="shared" si="33"/>
        <v>2.4521951280377596E-2</v>
      </c>
      <c r="N442" s="30">
        <f t="shared" si="33"/>
        <v>8.1209628094631725E-2</v>
      </c>
      <c r="O442" s="30">
        <f t="shared" si="33"/>
        <v>1.9588888768190316E-2</v>
      </c>
      <c r="P442" s="30">
        <f t="shared" si="33"/>
        <v>3.1501191655396221E-2</v>
      </c>
      <c r="Q442" s="30">
        <f t="shared" si="33"/>
        <v>3.8502556555053857E-2</v>
      </c>
      <c r="R442" s="30">
        <f t="shared" si="32"/>
        <v>-3.2204433723864723E-3</v>
      </c>
      <c r="S442" s="30">
        <f t="shared" si="32"/>
        <v>-1.9664220190892534E-3</v>
      </c>
      <c r="T442" s="30">
        <f t="shared" si="32"/>
        <v>-1.5029818839231712E-3</v>
      </c>
      <c r="U442" s="63">
        <f t="shared" si="31"/>
        <v>2.1799356104263125E-2</v>
      </c>
    </row>
    <row r="443" spans="1:21">
      <c r="A443" s="28">
        <v>43970</v>
      </c>
      <c r="B443" s="29">
        <v>1744.1999510000001</v>
      </c>
      <c r="C443" s="29">
        <v>17.892000199999998</v>
      </c>
      <c r="D443" s="29">
        <v>32.5</v>
      </c>
      <c r="E443" s="29">
        <v>9298.5400389999995</v>
      </c>
      <c r="F443" s="29">
        <v>2922.9399410000001</v>
      </c>
      <c r="G443" s="29">
        <v>24206.859380000002</v>
      </c>
      <c r="H443" s="29">
        <v>11.54379559</v>
      </c>
      <c r="I443" s="29">
        <v>9.2421188349999994</v>
      </c>
      <c r="J443" s="29">
        <v>12.13013458</v>
      </c>
      <c r="L443" s="30">
        <f t="shared" si="33"/>
        <v>7.1601233682607734E-3</v>
      </c>
      <c r="M443" s="30">
        <f t="shared" si="33"/>
        <v>2.450752879321616E-2</v>
      </c>
      <c r="N443" s="30">
        <f t="shared" si="33"/>
        <v>2.1370217367214561E-2</v>
      </c>
      <c r="O443" s="30">
        <f t="shared" si="33"/>
        <v>-3.5780004903955831E-3</v>
      </c>
      <c r="P443" s="30">
        <f t="shared" si="33"/>
        <v>-1.0484399295383806E-2</v>
      </c>
      <c r="Q443" s="30">
        <f t="shared" si="33"/>
        <v>-1.5876078363395107E-2</v>
      </c>
      <c r="R443" s="30">
        <f t="shared" si="32"/>
        <v>3.2308481358527263E-3</v>
      </c>
      <c r="S443" s="30">
        <f t="shared" si="32"/>
        <v>2.9556516822177858E-3</v>
      </c>
      <c r="T443" s="30">
        <f t="shared" si="32"/>
        <v>3.7621639429665787E-3</v>
      </c>
      <c r="U443" s="63">
        <f t="shared" si="31"/>
        <v>2.4833497869374043E-3</v>
      </c>
    </row>
    <row r="444" spans="1:21">
      <c r="A444" s="28">
        <v>43971</v>
      </c>
      <c r="B444" s="29">
        <v>1750.599976</v>
      </c>
      <c r="C444" s="29">
        <v>18.002000809999998</v>
      </c>
      <c r="D444" s="29">
        <v>33.490001679999999</v>
      </c>
      <c r="E444" s="29">
        <v>9485.0195309999999</v>
      </c>
      <c r="F444" s="29">
        <v>2971.610107</v>
      </c>
      <c r="G444" s="29">
        <v>24575.900389999999</v>
      </c>
      <c r="H444" s="29">
        <v>11.57168102</v>
      </c>
      <c r="I444" s="29">
        <v>9.2875146869999998</v>
      </c>
      <c r="J444" s="29">
        <v>12.166508670000001</v>
      </c>
      <c r="L444" s="30">
        <f t="shared" si="33"/>
        <v>3.6693184152025715E-3</v>
      </c>
      <c r="M444" s="30">
        <f t="shared" si="33"/>
        <v>6.1480331304712976E-3</v>
      </c>
      <c r="N444" s="30">
        <f t="shared" si="33"/>
        <v>3.0461590153846085E-2</v>
      </c>
      <c r="O444" s="30">
        <f t="shared" si="33"/>
        <v>2.0054706568758851E-2</v>
      </c>
      <c r="P444" s="30">
        <f t="shared" si="33"/>
        <v>1.6651100256048545E-2</v>
      </c>
      <c r="Q444" s="30">
        <f t="shared" si="33"/>
        <v>1.5245307299339483E-2</v>
      </c>
      <c r="R444" s="30">
        <f t="shared" si="32"/>
        <v>2.4156205628029781E-3</v>
      </c>
      <c r="S444" s="30">
        <f t="shared" si="32"/>
        <v>4.9118446549383243E-3</v>
      </c>
      <c r="T444" s="30">
        <f t="shared" si="32"/>
        <v>2.9986551064300482E-3</v>
      </c>
      <c r="U444" s="63">
        <f t="shared" si="31"/>
        <v>1.2369891597329921E-2</v>
      </c>
    </row>
    <row r="445" spans="1:21">
      <c r="A445" s="28">
        <v>43972</v>
      </c>
      <c r="B445" s="29">
        <v>1720.5</v>
      </c>
      <c r="C445" s="29">
        <v>17.334999079999999</v>
      </c>
      <c r="D445" s="29">
        <v>33.91999817</v>
      </c>
      <c r="E445" s="29">
        <v>9377.9902340000008</v>
      </c>
      <c r="F445" s="29">
        <v>2948.51001</v>
      </c>
      <c r="G445" s="29">
        <v>24474.119139999999</v>
      </c>
      <c r="H445" s="29">
        <v>11.580976489999999</v>
      </c>
      <c r="I445" s="29">
        <v>9.2875146869999998</v>
      </c>
      <c r="J445" s="29">
        <v>12.166508670000001</v>
      </c>
      <c r="L445" s="30">
        <f t="shared" si="33"/>
        <v>-1.7194091404466039E-2</v>
      </c>
      <c r="M445" s="30">
        <f t="shared" si="33"/>
        <v>-3.7051533162329564E-2</v>
      </c>
      <c r="N445" s="30">
        <f t="shared" si="33"/>
        <v>1.2839548176457383E-2</v>
      </c>
      <c r="O445" s="30">
        <f t="shared" si="33"/>
        <v>-1.1284035488824617E-2</v>
      </c>
      <c r="P445" s="30">
        <f t="shared" si="33"/>
        <v>-7.7735961880008864E-3</v>
      </c>
      <c r="Q445" s="30">
        <f t="shared" si="33"/>
        <v>-4.1415064508242283E-3</v>
      </c>
      <c r="R445" s="30">
        <f t="shared" si="32"/>
        <v>8.0329469710882506E-4</v>
      </c>
      <c r="S445" s="30">
        <f t="shared" si="32"/>
        <v>0</v>
      </c>
      <c r="T445" s="30">
        <f t="shared" si="32"/>
        <v>0</v>
      </c>
      <c r="U445" s="63">
        <f t="shared" si="31"/>
        <v>-9.4041576621327495E-3</v>
      </c>
    </row>
    <row r="446" spans="1:21">
      <c r="A446" s="28">
        <v>43973</v>
      </c>
      <c r="B446" s="29">
        <v>1734.599976</v>
      </c>
      <c r="C446" s="29">
        <v>17.663999560000001</v>
      </c>
      <c r="D446" s="29">
        <v>33.25</v>
      </c>
      <c r="E446" s="29">
        <v>9413.9902340000008</v>
      </c>
      <c r="F446" s="29">
        <v>2955.4499510000001</v>
      </c>
      <c r="G446" s="29">
        <v>24465.160159999999</v>
      </c>
      <c r="H446" s="29">
        <v>11.590268139999999</v>
      </c>
      <c r="I446" s="29">
        <v>9.2965898510000002</v>
      </c>
      <c r="J446" s="29">
        <v>12.175601009999999</v>
      </c>
      <c r="L446" s="30">
        <f t="shared" si="33"/>
        <v>8.1952781168264099E-3</v>
      </c>
      <c r="M446" s="30">
        <f t="shared" si="33"/>
        <v>1.8978973029169621E-2</v>
      </c>
      <c r="N446" s="30">
        <f t="shared" si="33"/>
        <v>-1.9752305605740483E-2</v>
      </c>
      <c r="O446" s="30">
        <f t="shared" si="33"/>
        <v>3.8387755906890142E-3</v>
      </c>
      <c r="P446" s="30">
        <f t="shared" si="33"/>
        <v>2.3537111885199025E-3</v>
      </c>
      <c r="Q446" s="30">
        <f t="shared" si="33"/>
        <v>-3.6605934410760543E-4</v>
      </c>
      <c r="R446" s="30">
        <f t="shared" si="33"/>
        <v>8.0232008138714228E-4</v>
      </c>
      <c r="S446" s="30">
        <f t="shared" si="33"/>
        <v>9.7713589758341435E-4</v>
      </c>
      <c r="T446" s="30">
        <f t="shared" si="33"/>
        <v>7.4732532122534501E-4</v>
      </c>
      <c r="U446" s="63">
        <f t="shared" si="31"/>
        <v>3.2294834229403494E-3</v>
      </c>
    </row>
    <row r="447" spans="1:21">
      <c r="A447" s="28">
        <v>43977</v>
      </c>
      <c r="B447" s="29">
        <v>1704.8000489999999</v>
      </c>
      <c r="C447" s="29">
        <v>17.565000529999999</v>
      </c>
      <c r="D447" s="29">
        <v>34.349998470000003</v>
      </c>
      <c r="E447" s="29">
        <v>9389.9804690000001</v>
      </c>
      <c r="F447" s="29">
        <v>2991.7700199999999</v>
      </c>
      <c r="G447" s="29">
        <v>24995.109380000002</v>
      </c>
      <c r="H447" s="29">
        <v>11.580976489999999</v>
      </c>
      <c r="I447" s="29">
        <v>9.2965898510000002</v>
      </c>
      <c r="J447" s="29">
        <v>12.175601009999999</v>
      </c>
      <c r="L447" s="30">
        <f t="shared" si="33"/>
        <v>-1.7179711410303833E-2</v>
      </c>
      <c r="M447" s="30">
        <f t="shared" si="33"/>
        <v>-5.6045647908746776E-3</v>
      </c>
      <c r="N447" s="30">
        <f t="shared" si="33"/>
        <v>3.3082660751879711E-2</v>
      </c>
      <c r="O447" s="30">
        <f t="shared" si="33"/>
        <v>-2.5504344494947651E-3</v>
      </c>
      <c r="P447" s="30">
        <f t="shared" si="33"/>
        <v>1.2289184253555296E-2</v>
      </c>
      <c r="Q447" s="30">
        <f t="shared" si="33"/>
        <v>2.1661383638373222E-2</v>
      </c>
      <c r="R447" s="30">
        <f t="shared" si="33"/>
        <v>-8.0167687992760417E-4</v>
      </c>
      <c r="S447" s="30">
        <f t="shared" si="33"/>
        <v>0</v>
      </c>
      <c r="T447" s="30">
        <f t="shared" si="33"/>
        <v>0</v>
      </c>
      <c r="U447" s="63">
        <f t="shared" si="31"/>
        <v>4.8058542903145736E-3</v>
      </c>
    </row>
    <row r="448" spans="1:21">
      <c r="A448" s="28">
        <v>43978</v>
      </c>
      <c r="B448" s="29">
        <v>1710.3000489999999</v>
      </c>
      <c r="C448" s="29">
        <v>17.68600082</v>
      </c>
      <c r="D448" s="29">
        <v>32.810001370000002</v>
      </c>
      <c r="E448" s="29">
        <v>9442.0498050000006</v>
      </c>
      <c r="F448" s="29">
        <v>3036.1298830000001</v>
      </c>
      <c r="G448" s="29">
        <v>25548.269530000001</v>
      </c>
      <c r="H448" s="29">
        <v>11.580976489999999</v>
      </c>
      <c r="I448" s="29">
        <v>9.3056688310000002</v>
      </c>
      <c r="J448" s="29">
        <v>12.184694289999999</v>
      </c>
      <c r="L448" s="30">
        <f t="shared" si="33"/>
        <v>3.2261847969949908E-3</v>
      </c>
      <c r="M448" s="30">
        <f t="shared" si="33"/>
        <v>6.8887154198111755E-3</v>
      </c>
      <c r="N448" s="30">
        <f t="shared" si="33"/>
        <v>-4.4832523103166211E-2</v>
      </c>
      <c r="O448" s="30">
        <f t="shared" si="33"/>
        <v>5.5452017362445094E-3</v>
      </c>
      <c r="P448" s="30">
        <f t="shared" si="33"/>
        <v>1.4827297119582861E-2</v>
      </c>
      <c r="Q448" s="30">
        <f t="shared" si="33"/>
        <v>2.2130735320671002E-2</v>
      </c>
      <c r="R448" s="30">
        <f t="shared" si="33"/>
        <v>0</v>
      </c>
      <c r="S448" s="30">
        <f t="shared" si="33"/>
        <v>9.765925081683946E-4</v>
      </c>
      <c r="T448" s="30">
        <f t="shared" si="33"/>
        <v>7.4684444673667194E-4</v>
      </c>
      <c r="U448" s="63">
        <f t="shared" si="31"/>
        <v>3.8906581069456177E-3</v>
      </c>
    </row>
    <row r="449" spans="1:21">
      <c r="A449" s="28">
        <v>43979</v>
      </c>
      <c r="B449" s="29">
        <v>1713.3000489999999</v>
      </c>
      <c r="C449" s="29">
        <v>17.895000459999999</v>
      </c>
      <c r="D449" s="29">
        <v>33.709999080000003</v>
      </c>
      <c r="E449" s="29">
        <v>9416.7099610000005</v>
      </c>
      <c r="F449" s="29">
        <v>3029.7299800000001</v>
      </c>
      <c r="G449" s="29">
        <v>25400.640630000002</v>
      </c>
      <c r="H449" s="29">
        <v>11.580976489999999</v>
      </c>
      <c r="I449" s="29">
        <v>9.2965898510000002</v>
      </c>
      <c r="J449" s="29">
        <v>12.19378757</v>
      </c>
      <c r="L449" s="30">
        <f t="shared" si="33"/>
        <v>1.7540781816349771E-3</v>
      </c>
      <c r="M449" s="30">
        <f t="shared" si="33"/>
        <v>1.1817235684149274E-2</v>
      </c>
      <c r="N449" s="30">
        <f t="shared" si="33"/>
        <v>2.7430590442550917E-2</v>
      </c>
      <c r="O449" s="30">
        <f t="shared" si="33"/>
        <v>-2.6837227639470163E-3</v>
      </c>
      <c r="P449" s="30">
        <f t="shared" si="33"/>
        <v>-2.1079147620906014E-3</v>
      </c>
      <c r="Q449" s="30">
        <f t="shared" si="33"/>
        <v>-5.7784305049172202E-3</v>
      </c>
      <c r="R449" s="30">
        <f t="shared" si="33"/>
        <v>0</v>
      </c>
      <c r="S449" s="30">
        <f t="shared" si="33"/>
        <v>-9.7563970574099379E-4</v>
      </c>
      <c r="T449" s="30">
        <f t="shared" si="33"/>
        <v>7.4628708637058949E-4</v>
      </c>
      <c r="U449" s="63">
        <f t="shared" si="31"/>
        <v>2.7966890447598735E-3</v>
      </c>
    </row>
    <row r="450" spans="1:21">
      <c r="A450" s="28">
        <v>43980</v>
      </c>
      <c r="B450" s="29">
        <v>1736.900024</v>
      </c>
      <c r="C450" s="29">
        <v>18.440000529999999</v>
      </c>
      <c r="D450" s="29">
        <v>35.490001679999999</v>
      </c>
      <c r="E450" s="29">
        <v>9555.5302730000003</v>
      </c>
      <c r="F450" s="29">
        <v>3044.3100589999999</v>
      </c>
      <c r="G450" s="29">
        <v>25383.109380000002</v>
      </c>
      <c r="H450" s="29">
        <v>11.62194729</v>
      </c>
      <c r="I450" s="29">
        <v>9.3438549040000005</v>
      </c>
      <c r="J450" s="29">
        <v>12.21930218</v>
      </c>
      <c r="L450" s="30">
        <f t="shared" si="33"/>
        <v>1.3774572068549595E-2</v>
      </c>
      <c r="M450" s="30">
        <f t="shared" si="33"/>
        <v>3.0455437607739499E-2</v>
      </c>
      <c r="N450" s="30">
        <f t="shared" si="33"/>
        <v>5.2803401025782293E-2</v>
      </c>
      <c r="O450" s="30">
        <f t="shared" si="33"/>
        <v>1.4741912257564938E-2</v>
      </c>
      <c r="P450" s="30">
        <f t="shared" si="33"/>
        <v>4.8123361145206989E-3</v>
      </c>
      <c r="Q450" s="30">
        <f t="shared" si="33"/>
        <v>-6.9018928519837264E-4</v>
      </c>
      <c r="R450" s="30">
        <f t="shared" si="33"/>
        <v>3.5377673061833814E-3</v>
      </c>
      <c r="S450" s="30">
        <f t="shared" si="33"/>
        <v>5.0841280251721077E-3</v>
      </c>
      <c r="T450" s="30">
        <f t="shared" si="33"/>
        <v>2.0924269718107791E-3</v>
      </c>
      <c r="U450" s="63">
        <f t="shared" si="31"/>
        <v>1.3539010758224284E-2</v>
      </c>
    </row>
    <row r="451" spans="1:21">
      <c r="A451" s="28">
        <v>43983</v>
      </c>
      <c r="B451" s="29">
        <v>1737.8000489999999</v>
      </c>
      <c r="C451" s="29">
        <v>18.76799965</v>
      </c>
      <c r="D451" s="29">
        <v>35.439998629999998</v>
      </c>
      <c r="E451" s="29">
        <v>9598.8896480000003</v>
      </c>
      <c r="F451" s="29">
        <v>3055.7299800000001</v>
      </c>
      <c r="G451" s="29">
        <v>25475.019530000001</v>
      </c>
      <c r="H451" s="29">
        <v>11.62194729</v>
      </c>
      <c r="I451" s="29">
        <v>9.3347682949999999</v>
      </c>
      <c r="J451" s="29">
        <v>12.22841549</v>
      </c>
      <c r="L451" s="30">
        <f t="shared" si="33"/>
        <v>5.1817893232986023E-4</v>
      </c>
      <c r="M451" s="30">
        <f t="shared" si="33"/>
        <v>1.7787370421512794E-2</v>
      </c>
      <c r="N451" s="30">
        <f t="shared" si="33"/>
        <v>-1.4089334357000327E-3</v>
      </c>
      <c r="O451" s="30">
        <f t="shared" si="33"/>
        <v>4.5376210174872256E-3</v>
      </c>
      <c r="P451" s="30">
        <f t="shared" si="33"/>
        <v>3.7512345256156543E-3</v>
      </c>
      <c r="Q451" s="30">
        <f t="shared" si="33"/>
        <v>3.6209176986179425E-3</v>
      </c>
      <c r="R451" s="30">
        <f t="shared" si="33"/>
        <v>0</v>
      </c>
      <c r="S451" s="30">
        <f t="shared" si="33"/>
        <v>-9.7246897488856288E-4</v>
      </c>
      <c r="T451" s="30">
        <f t="shared" si="33"/>
        <v>7.4581263854134328E-4</v>
      </c>
      <c r="U451" s="63">
        <f t="shared" si="31"/>
        <v>4.3590206694405437E-3</v>
      </c>
    </row>
    <row r="452" spans="1:21">
      <c r="A452" s="28">
        <v>43984</v>
      </c>
      <c r="B452" s="29">
        <v>1725.1999510000001</v>
      </c>
      <c r="C452" s="29">
        <v>18.207000730000001</v>
      </c>
      <c r="D452" s="29">
        <v>36.810001370000002</v>
      </c>
      <c r="E452" s="29">
        <v>9657.3095699999994</v>
      </c>
      <c r="F452" s="29">
        <v>3080.820068</v>
      </c>
      <c r="G452" s="29">
        <v>25742.650389999999</v>
      </c>
      <c r="H452" s="29">
        <v>11.62194729</v>
      </c>
      <c r="I452" s="29">
        <v>9.3438549040000005</v>
      </c>
      <c r="J452" s="29">
        <v>12.237527849999999</v>
      </c>
      <c r="L452" s="30">
        <f t="shared" si="33"/>
        <v>-7.2506028568997127E-3</v>
      </c>
      <c r="M452" s="30">
        <f t="shared" si="33"/>
        <v>-2.9891247360503859E-2</v>
      </c>
      <c r="N452" s="30">
        <f t="shared" si="33"/>
        <v>3.8656963683974199E-2</v>
      </c>
      <c r="O452" s="30">
        <f t="shared" si="33"/>
        <v>6.0861124715785309E-3</v>
      </c>
      <c r="P452" s="30">
        <f t="shared" si="33"/>
        <v>8.2108328171064393E-3</v>
      </c>
      <c r="Q452" s="30">
        <f t="shared" si="33"/>
        <v>1.0505619423954782E-2</v>
      </c>
      <c r="R452" s="30">
        <f t="shared" si="33"/>
        <v>0</v>
      </c>
      <c r="S452" s="30">
        <f t="shared" si="33"/>
        <v>9.7341559135077915E-4</v>
      </c>
      <c r="T452" s="30">
        <f t="shared" si="33"/>
        <v>7.4517912868188318E-4</v>
      </c>
      <c r="U452" s="63">
        <f t="shared" ref="U452:U515" si="34">SUMPRODUCT($L$2:$T$2,L452:T452)</f>
        <v>1.7420822865988406E-3</v>
      </c>
    </row>
    <row r="453" spans="1:21">
      <c r="A453" s="28">
        <v>43985</v>
      </c>
      <c r="B453" s="29">
        <v>1697.8000489999999</v>
      </c>
      <c r="C453" s="29">
        <v>17.92099953</v>
      </c>
      <c r="D453" s="29">
        <v>37.290000919999997</v>
      </c>
      <c r="E453" s="29">
        <v>9704.6904300000006</v>
      </c>
      <c r="F453" s="29">
        <v>3122.8701169999999</v>
      </c>
      <c r="G453" s="29">
        <v>26269.890630000002</v>
      </c>
      <c r="H453" s="29">
        <v>11.60332775</v>
      </c>
      <c r="I453" s="29">
        <v>9.3347682949999999</v>
      </c>
      <c r="J453" s="29">
        <v>12.22841549</v>
      </c>
      <c r="L453" s="30">
        <f t="shared" si="33"/>
        <v>-1.5882160200687445E-2</v>
      </c>
      <c r="M453" s="30">
        <f t="shared" si="33"/>
        <v>-1.5708309360846662E-2</v>
      </c>
      <c r="N453" s="30">
        <f t="shared" si="33"/>
        <v>1.3039922090065215E-2</v>
      </c>
      <c r="O453" s="30">
        <f t="shared" si="33"/>
        <v>4.9062173741627468E-3</v>
      </c>
      <c r="P453" s="30">
        <f t="shared" si="33"/>
        <v>1.3648979191211774E-2</v>
      </c>
      <c r="Q453" s="30">
        <f t="shared" si="33"/>
        <v>2.048119490465572E-2</v>
      </c>
      <c r="R453" s="30">
        <f t="shared" si="33"/>
        <v>-1.6021015700200536E-3</v>
      </c>
      <c r="S453" s="30">
        <f t="shared" si="33"/>
        <v>-9.7246897488856288E-4</v>
      </c>
      <c r="T453" s="30">
        <f t="shared" si="33"/>
        <v>-7.4462425023202883E-4</v>
      </c>
      <c r="U453" s="63">
        <f t="shared" si="34"/>
        <v>2.85035713574581E-3</v>
      </c>
    </row>
    <row r="454" spans="1:21">
      <c r="A454" s="28">
        <v>43986</v>
      </c>
      <c r="B454" s="29">
        <v>1718.900024</v>
      </c>
      <c r="C454" s="29">
        <v>18.024000170000001</v>
      </c>
      <c r="D454" s="29">
        <v>37.409999849999998</v>
      </c>
      <c r="E454" s="29">
        <v>9629.6601559999999</v>
      </c>
      <c r="F454" s="29">
        <v>3112.3500979999999</v>
      </c>
      <c r="G454" s="29">
        <v>26281.820309999999</v>
      </c>
      <c r="H454" s="29">
        <v>11.575386999999999</v>
      </c>
      <c r="I454" s="29">
        <v>9.3165864939999992</v>
      </c>
      <c r="J454" s="29">
        <v>12.21018982</v>
      </c>
      <c r="L454" s="30">
        <f t="shared" si="33"/>
        <v>1.2427832719422938E-2</v>
      </c>
      <c r="M454" s="30">
        <f t="shared" si="33"/>
        <v>5.747482992094044E-3</v>
      </c>
      <c r="N454" s="30">
        <f t="shared" si="33"/>
        <v>3.2179921437234249E-3</v>
      </c>
      <c r="O454" s="30">
        <f t="shared" si="33"/>
        <v>-7.7313413077103599E-3</v>
      </c>
      <c r="P454" s="30">
        <f t="shared" si="33"/>
        <v>-3.3687020612007679E-3</v>
      </c>
      <c r="Q454" s="30">
        <f t="shared" si="33"/>
        <v>4.5411989596844116E-4</v>
      </c>
      <c r="R454" s="30">
        <f t="shared" si="33"/>
        <v>-2.4079945513907353E-3</v>
      </c>
      <c r="S454" s="30">
        <f t="shared" si="33"/>
        <v>-1.9477506484804064E-3</v>
      </c>
      <c r="T454" s="30">
        <f t="shared" si="33"/>
        <v>-1.4904359452705407E-3</v>
      </c>
      <c r="U454" s="63">
        <f t="shared" si="34"/>
        <v>-6.0788353407750491E-4</v>
      </c>
    </row>
    <row r="455" spans="1:21">
      <c r="A455" s="28">
        <v>43987</v>
      </c>
      <c r="B455" s="29">
        <v>1676.1999510000001</v>
      </c>
      <c r="C455" s="29">
        <v>17.443000789999999</v>
      </c>
      <c r="D455" s="29">
        <v>39.549999239999998</v>
      </c>
      <c r="E455" s="29">
        <v>9824.3896480000003</v>
      </c>
      <c r="F455" s="29">
        <v>3193.929932</v>
      </c>
      <c r="G455" s="29">
        <v>27110.980469999999</v>
      </c>
      <c r="H455" s="29">
        <v>11.58470249</v>
      </c>
      <c r="I455" s="29">
        <v>9.3165864939999992</v>
      </c>
      <c r="J455" s="29">
        <v>12.22841549</v>
      </c>
      <c r="L455" s="30">
        <f t="shared" si="33"/>
        <v>-2.4841510503114672E-2</v>
      </c>
      <c r="M455" s="30">
        <f t="shared" si="33"/>
        <v>-3.2234763344434758E-2</v>
      </c>
      <c r="N455" s="30">
        <f t="shared" si="33"/>
        <v>5.7203940085019722E-2</v>
      </c>
      <c r="O455" s="30">
        <f t="shared" si="33"/>
        <v>2.0221844680434531E-2</v>
      </c>
      <c r="P455" s="30">
        <f t="shared" si="33"/>
        <v>2.6211650820524124E-2</v>
      </c>
      <c r="Q455" s="30">
        <f t="shared" si="33"/>
        <v>3.1548810174480524E-2</v>
      </c>
      <c r="R455" s="30">
        <f t="shared" si="33"/>
        <v>8.0476704580156877E-4</v>
      </c>
      <c r="S455" s="30">
        <f t="shared" si="33"/>
        <v>0</v>
      </c>
      <c r="T455" s="30">
        <f t="shared" si="33"/>
        <v>1.492660660372902E-3</v>
      </c>
      <c r="U455" s="63">
        <f t="shared" si="34"/>
        <v>9.6110749252612485E-3</v>
      </c>
    </row>
    <row r="456" spans="1:21">
      <c r="A456" s="28">
        <v>43990</v>
      </c>
      <c r="B456" s="29">
        <v>1698.3000489999999</v>
      </c>
      <c r="C456" s="29">
        <v>17.868000030000001</v>
      </c>
      <c r="D456" s="29">
        <v>38.189998629999998</v>
      </c>
      <c r="E456" s="29">
        <v>9901.5195309999999</v>
      </c>
      <c r="F456" s="29">
        <v>3232.389893</v>
      </c>
      <c r="G456" s="29">
        <v>27572.439450000002</v>
      </c>
      <c r="H456" s="29">
        <v>11.59401321</v>
      </c>
      <c r="I456" s="29">
        <v>9.3438549040000005</v>
      </c>
      <c r="J456" s="29">
        <v>12.25575066</v>
      </c>
      <c r="L456" s="30">
        <f t="shared" si="33"/>
        <v>1.3184643029499732E-2</v>
      </c>
      <c r="M456" s="30">
        <f t="shared" si="33"/>
        <v>2.4365030141124011E-2</v>
      </c>
      <c r="N456" s="30">
        <f t="shared" si="33"/>
        <v>-3.4386868170266038E-2</v>
      </c>
      <c r="O456" s="30">
        <f t="shared" si="33"/>
        <v>7.8508574846378743E-3</v>
      </c>
      <c r="P456" s="30">
        <f t="shared" si="33"/>
        <v>1.2041579439382666E-2</v>
      </c>
      <c r="Q456" s="30">
        <f t="shared" si="33"/>
        <v>1.7021109970944748E-2</v>
      </c>
      <c r="R456" s="30">
        <f t="shared" si="33"/>
        <v>8.0370816669983469E-4</v>
      </c>
      <c r="S456" s="30">
        <f t="shared" si="33"/>
        <v>2.9268670470201652E-3</v>
      </c>
      <c r="T456" s="30">
        <f t="shared" si="33"/>
        <v>2.2353811924655798E-3</v>
      </c>
      <c r="U456" s="63">
        <f t="shared" si="34"/>
        <v>7.5641009691478278E-3</v>
      </c>
    </row>
    <row r="457" spans="1:21">
      <c r="A457" s="28">
        <v>43991</v>
      </c>
      <c r="B457" s="29">
        <v>1714.6999510000001</v>
      </c>
      <c r="C457" s="29">
        <v>17.774000170000001</v>
      </c>
      <c r="D457" s="29">
        <v>38.939998629999998</v>
      </c>
      <c r="E457" s="29">
        <v>9967.1699219999991</v>
      </c>
      <c r="F457" s="29">
        <v>3207.179932</v>
      </c>
      <c r="G457" s="29">
        <v>27272.300780000001</v>
      </c>
      <c r="H457" s="29">
        <v>11.61263561</v>
      </c>
      <c r="I457" s="29">
        <v>9.3620357510000005</v>
      </c>
      <c r="J457" s="29">
        <v>12.264863009999999</v>
      </c>
      <c r="L457" s="30">
        <f t="shared" si="33"/>
        <v>9.6566575556873424E-3</v>
      </c>
      <c r="M457" s="30">
        <f t="shared" si="33"/>
        <v>-5.26079358865994E-3</v>
      </c>
      <c r="N457" s="30">
        <f t="shared" si="33"/>
        <v>1.9638649565460797E-2</v>
      </c>
      <c r="O457" s="30">
        <f t="shared" si="33"/>
        <v>6.6303349495457908E-3</v>
      </c>
      <c r="P457" s="30">
        <f t="shared" si="33"/>
        <v>-7.7991708409292926E-3</v>
      </c>
      <c r="Q457" s="30">
        <f t="shared" si="33"/>
        <v>-1.0885459393038976E-2</v>
      </c>
      <c r="R457" s="30">
        <f t="shared" si="33"/>
        <v>1.6062082785914811E-3</v>
      </c>
      <c r="S457" s="30">
        <f t="shared" si="33"/>
        <v>1.9457544222156731E-3</v>
      </c>
      <c r="T457" s="30">
        <f t="shared" si="33"/>
        <v>7.4351626863133902E-4</v>
      </c>
      <c r="U457" s="63">
        <f t="shared" si="34"/>
        <v>-3.6725776909940993E-4</v>
      </c>
    </row>
    <row r="458" spans="1:21">
      <c r="A458" s="28">
        <v>43992</v>
      </c>
      <c r="B458" s="29">
        <v>1713.3000489999999</v>
      </c>
      <c r="C458" s="29">
        <v>17.775999070000001</v>
      </c>
      <c r="D458" s="29">
        <v>39.599998470000003</v>
      </c>
      <c r="E458" s="29">
        <v>10094.259770000001</v>
      </c>
      <c r="F458" s="29">
        <v>3190.139893</v>
      </c>
      <c r="G458" s="29">
        <v>26989.990229999999</v>
      </c>
      <c r="H458" s="29">
        <v>11.64988995</v>
      </c>
      <c r="I458" s="29">
        <v>9.3983936309999994</v>
      </c>
      <c r="J458" s="29">
        <v>12.310425759999999</v>
      </c>
      <c r="L458" s="30">
        <f t="shared" si="33"/>
        <v>-8.1641222371509059E-4</v>
      </c>
      <c r="M458" s="30">
        <f t="shared" si="33"/>
        <v>1.1246202210424272E-4</v>
      </c>
      <c r="N458" s="30">
        <f t="shared" si="33"/>
        <v>1.6949149029798161E-2</v>
      </c>
      <c r="O458" s="30">
        <f t="shared" si="33"/>
        <v>1.2750845926633891E-2</v>
      </c>
      <c r="P458" s="30">
        <f t="shared" si="33"/>
        <v>-5.3130910523544461E-3</v>
      </c>
      <c r="Q458" s="30">
        <f t="shared" si="33"/>
        <v>-1.0351548711542313E-2</v>
      </c>
      <c r="R458" s="30">
        <f t="shared" ref="R458:T503" si="35">(H458/H457)-1</f>
        <v>3.208086540485322E-3</v>
      </c>
      <c r="S458" s="30">
        <f t="shared" si="35"/>
        <v>3.8835442383473584E-3</v>
      </c>
      <c r="T458" s="30">
        <f t="shared" si="35"/>
        <v>3.7149008482892931E-3</v>
      </c>
      <c r="U458" s="63">
        <f t="shared" si="34"/>
        <v>1.7569655661945536E-3</v>
      </c>
    </row>
    <row r="459" spans="1:21">
      <c r="A459" s="28">
        <v>43993</v>
      </c>
      <c r="B459" s="29">
        <v>1732</v>
      </c>
      <c r="C459" s="29">
        <v>17.868999479999999</v>
      </c>
      <c r="D459" s="29">
        <v>36.340000150000002</v>
      </c>
      <c r="E459" s="29">
        <v>9588.4804690000001</v>
      </c>
      <c r="F459" s="29">
        <v>3002.1000979999999</v>
      </c>
      <c r="G459" s="29">
        <v>25128.16992</v>
      </c>
      <c r="H459" s="29">
        <v>11.659201619999999</v>
      </c>
      <c r="I459" s="29">
        <v>9.4074802399999999</v>
      </c>
      <c r="J459" s="29">
        <v>12.310425759999999</v>
      </c>
      <c r="L459" s="30">
        <f t="shared" ref="L459:Q501" si="36">(B459/B458)-1</f>
        <v>1.0914580321709888E-2</v>
      </c>
      <c r="M459" s="30">
        <f t="shared" si="36"/>
        <v>5.2317965158399371E-3</v>
      </c>
      <c r="N459" s="30">
        <f t="shared" si="36"/>
        <v>-8.2323193079658741E-2</v>
      </c>
      <c r="O459" s="30">
        <f t="shared" si="36"/>
        <v>-5.0105635531905945E-2</v>
      </c>
      <c r="P459" s="30">
        <f t="shared" si="36"/>
        <v>-5.8944059291132778E-2</v>
      </c>
      <c r="Q459" s="30">
        <f t="shared" si="36"/>
        <v>-6.8981881584030513E-2</v>
      </c>
      <c r="R459" s="30">
        <f t="shared" si="35"/>
        <v>7.9929252893928826E-4</v>
      </c>
      <c r="S459" s="30">
        <f t="shared" si="35"/>
        <v>9.6682575307638352E-4</v>
      </c>
      <c r="T459" s="30">
        <f t="shared" si="35"/>
        <v>0</v>
      </c>
      <c r="U459" s="63">
        <f t="shared" si="34"/>
        <v>-3.0715451035085758E-2</v>
      </c>
    </row>
    <row r="460" spans="1:21">
      <c r="A460" s="28">
        <v>43994</v>
      </c>
      <c r="B460" s="29">
        <v>1729.3000489999999</v>
      </c>
      <c r="C460" s="29">
        <v>17.461999890000001</v>
      </c>
      <c r="D460" s="29">
        <v>36.259998320000001</v>
      </c>
      <c r="E460" s="29">
        <v>9663.7802730000003</v>
      </c>
      <c r="F460" s="29">
        <v>3041.3100589999999</v>
      </c>
      <c r="G460" s="29">
        <v>25605.539059999999</v>
      </c>
      <c r="H460" s="29">
        <v>11.64057541</v>
      </c>
      <c r="I460" s="29">
        <v>9.3893032069999993</v>
      </c>
      <c r="J460" s="29">
        <v>12.292197229999999</v>
      </c>
      <c r="L460" s="30">
        <f t="shared" si="36"/>
        <v>-1.5588631639723571E-3</v>
      </c>
      <c r="M460" s="30">
        <f t="shared" si="36"/>
        <v>-2.277685387229067E-2</v>
      </c>
      <c r="N460" s="30">
        <f t="shared" si="36"/>
        <v>-2.2014812787500837E-3</v>
      </c>
      <c r="O460" s="30">
        <f t="shared" si="36"/>
        <v>7.8531529832539526E-3</v>
      </c>
      <c r="P460" s="30">
        <f t="shared" si="36"/>
        <v>1.3060843982557913E-2</v>
      </c>
      <c r="Q460" s="30">
        <f t="shared" si="36"/>
        <v>1.8997369944559805E-2</v>
      </c>
      <c r="R460" s="30">
        <f t="shared" si="35"/>
        <v>-1.5975544987615331E-3</v>
      </c>
      <c r="S460" s="30">
        <f t="shared" si="35"/>
        <v>-1.9321893361745612E-3</v>
      </c>
      <c r="T460" s="30">
        <f t="shared" si="35"/>
        <v>-1.4807392006886966E-3</v>
      </c>
      <c r="U460" s="63">
        <f t="shared" si="34"/>
        <v>1.3377658256324863E-3</v>
      </c>
    </row>
    <row r="461" spans="1:21">
      <c r="A461" s="28">
        <v>43997</v>
      </c>
      <c r="B461" s="29">
        <v>1720.3000489999999</v>
      </c>
      <c r="C461" s="29">
        <v>17.378999709999999</v>
      </c>
      <c r="D461" s="29">
        <v>37.119998930000001</v>
      </c>
      <c r="E461" s="29">
        <v>9776.8896480000003</v>
      </c>
      <c r="F461" s="29">
        <v>3066.5900879999999</v>
      </c>
      <c r="G461" s="29">
        <v>25763.160159999999</v>
      </c>
      <c r="H461" s="29">
        <v>11.631263730000001</v>
      </c>
      <c r="I461" s="29">
        <v>9.3802118300000004</v>
      </c>
      <c r="J461" s="29">
        <v>12.292197229999999</v>
      </c>
      <c r="L461" s="30">
        <f t="shared" si="36"/>
        <v>-5.204417825122043E-3</v>
      </c>
      <c r="M461" s="30">
        <f t="shared" si="36"/>
        <v>-4.7531886681281277E-3</v>
      </c>
      <c r="N461" s="30">
        <f t="shared" si="36"/>
        <v>2.3717613067997467E-2</v>
      </c>
      <c r="O461" s="30">
        <f t="shared" si="36"/>
        <v>1.1704464692354533E-2</v>
      </c>
      <c r="P461" s="30">
        <f t="shared" si="36"/>
        <v>8.3122169425606796E-3</v>
      </c>
      <c r="Q461" s="30">
        <f t="shared" si="36"/>
        <v>6.1557423036733283E-3</v>
      </c>
      <c r="R461" s="30">
        <f t="shared" si="35"/>
        <v>-7.9993296482583354E-4</v>
      </c>
      <c r="S461" s="30">
        <f t="shared" si="35"/>
        <v>-9.6826961485507734E-4</v>
      </c>
      <c r="T461" s="30">
        <f t="shared" si="35"/>
        <v>0</v>
      </c>
      <c r="U461" s="63">
        <f t="shared" si="34"/>
        <v>4.7434543777036776E-3</v>
      </c>
    </row>
    <row r="462" spans="1:21">
      <c r="A462" s="28">
        <v>43998</v>
      </c>
      <c r="B462" s="29">
        <v>1729.599976</v>
      </c>
      <c r="C462" s="29">
        <v>17.631999969999999</v>
      </c>
      <c r="D462" s="29">
        <v>38.380001069999999</v>
      </c>
      <c r="E462" s="29">
        <v>9949.3701170000004</v>
      </c>
      <c r="F462" s="29">
        <v>3124.73999</v>
      </c>
      <c r="G462" s="29">
        <v>26289.980469999999</v>
      </c>
      <c r="H462" s="29">
        <v>11.64057541</v>
      </c>
      <c r="I462" s="29">
        <v>9.3893032069999993</v>
      </c>
      <c r="J462" s="29">
        <v>12.310425759999999</v>
      </c>
      <c r="L462" s="30">
        <f t="shared" si="36"/>
        <v>5.4059912428683354E-3</v>
      </c>
      <c r="M462" s="30">
        <f t="shared" si="36"/>
        <v>1.4557814846755557E-2</v>
      </c>
      <c r="N462" s="30">
        <f t="shared" si="36"/>
        <v>3.3944024146554508E-2</v>
      </c>
      <c r="O462" s="30">
        <f t="shared" si="36"/>
        <v>1.7641650382673957E-2</v>
      </c>
      <c r="P462" s="30">
        <f t="shared" si="36"/>
        <v>1.8962398081031173E-2</v>
      </c>
      <c r="Q462" s="30">
        <f t="shared" si="36"/>
        <v>2.0448590418575385E-2</v>
      </c>
      <c r="R462" s="30">
        <f t="shared" si="35"/>
        <v>8.0057336985506211E-4</v>
      </c>
      <c r="S462" s="30">
        <f t="shared" si="35"/>
        <v>9.6920806957934147E-4</v>
      </c>
      <c r="T462" s="30">
        <f t="shared" si="35"/>
        <v>1.4829350407354891E-3</v>
      </c>
      <c r="U462" s="63">
        <f t="shared" si="34"/>
        <v>1.3879366414135362E-2</v>
      </c>
    </row>
    <row r="463" spans="1:21">
      <c r="A463" s="28">
        <v>43999</v>
      </c>
      <c r="B463" s="29">
        <v>1729.1999510000001</v>
      </c>
      <c r="C463" s="29">
        <v>17.756999969999999</v>
      </c>
      <c r="D463" s="29">
        <v>37.959999080000003</v>
      </c>
      <c r="E463" s="29">
        <v>9982.4804690000001</v>
      </c>
      <c r="F463" s="29">
        <v>3113.48999</v>
      </c>
      <c r="G463" s="29">
        <v>26119.609380000002</v>
      </c>
      <c r="H463" s="29">
        <v>11.64057541</v>
      </c>
      <c r="I463" s="29">
        <v>9.3983936309999994</v>
      </c>
      <c r="J463" s="29">
        <v>12.319537159999999</v>
      </c>
      <c r="L463" s="30">
        <f t="shared" si="36"/>
        <v>-2.3128180246911878E-4</v>
      </c>
      <c r="M463" s="30">
        <f t="shared" si="36"/>
        <v>7.0893829521712082E-3</v>
      </c>
      <c r="N463" s="30">
        <f t="shared" si="36"/>
        <v>-1.0943251127949916E-2</v>
      </c>
      <c r="O463" s="30">
        <f t="shared" si="36"/>
        <v>3.3278842389656837E-3</v>
      </c>
      <c r="P463" s="30">
        <f t="shared" si="36"/>
        <v>-3.600299556444031E-3</v>
      </c>
      <c r="Q463" s="30">
        <f t="shared" si="36"/>
        <v>-6.4804570773421277E-3</v>
      </c>
      <c r="R463" s="30">
        <f t="shared" si="35"/>
        <v>0</v>
      </c>
      <c r="S463" s="30">
        <f t="shared" si="35"/>
        <v>9.6816811637556732E-4</v>
      </c>
      <c r="T463" s="30">
        <f t="shared" si="35"/>
        <v>7.4013687078200441E-4</v>
      </c>
      <c r="U463" s="63">
        <f t="shared" si="34"/>
        <v>-4.8902415305141097E-4</v>
      </c>
    </row>
    <row r="464" spans="1:21">
      <c r="A464" s="28">
        <v>44000</v>
      </c>
      <c r="B464" s="29">
        <v>1724.8000489999999</v>
      </c>
      <c r="C464" s="29">
        <v>17.493000030000001</v>
      </c>
      <c r="D464" s="29">
        <v>38.840000150000002</v>
      </c>
      <c r="E464" s="29">
        <v>10012.049800000001</v>
      </c>
      <c r="F464" s="29">
        <v>3115.3400879999999</v>
      </c>
      <c r="G464" s="29">
        <v>26080.099610000001</v>
      </c>
      <c r="H464" s="29">
        <v>11.659201619999999</v>
      </c>
      <c r="I464" s="29">
        <v>9.4074802399999999</v>
      </c>
      <c r="J464" s="29">
        <v>12.328647610000001</v>
      </c>
      <c r="L464" s="30">
        <f t="shared" si="36"/>
        <v>-2.5444726605825529E-3</v>
      </c>
      <c r="M464" s="30">
        <f t="shared" si="36"/>
        <v>-1.4867372892156339E-2</v>
      </c>
      <c r="N464" s="30">
        <f t="shared" si="36"/>
        <v>2.318232590431335E-2</v>
      </c>
      <c r="O464" s="30">
        <f t="shared" si="36"/>
        <v>2.9621225998714973E-3</v>
      </c>
      <c r="P464" s="30">
        <f t="shared" si="36"/>
        <v>5.9421999297959438E-4</v>
      </c>
      <c r="Q464" s="30">
        <f t="shared" si="36"/>
        <v>-1.5126478128059118E-3</v>
      </c>
      <c r="R464" s="30">
        <f t="shared" si="35"/>
        <v>1.6001107629093347E-3</v>
      </c>
      <c r="S464" s="30">
        <f t="shared" si="35"/>
        <v>9.6682575307638352E-4</v>
      </c>
      <c r="T464" s="30">
        <f t="shared" si="35"/>
        <v>7.3951236005709298E-4</v>
      </c>
      <c r="U464" s="63">
        <f t="shared" si="34"/>
        <v>1.0198131916285189E-4</v>
      </c>
    </row>
    <row r="465" spans="1:21">
      <c r="A465" s="28">
        <v>44001</v>
      </c>
      <c r="B465" s="29">
        <v>1745.900024</v>
      </c>
      <c r="C465" s="29">
        <v>17.832000730000001</v>
      </c>
      <c r="D465" s="29">
        <v>39.75</v>
      </c>
      <c r="E465" s="29">
        <v>10008.639649999999</v>
      </c>
      <c r="F465" s="29">
        <v>3097.73999</v>
      </c>
      <c r="G465" s="29">
        <v>25871.460940000001</v>
      </c>
      <c r="H465" s="29">
        <v>11.668513300000001</v>
      </c>
      <c r="I465" s="29">
        <v>9.4165716170000007</v>
      </c>
      <c r="J465" s="29">
        <v>12.346873280000001</v>
      </c>
      <c r="L465" s="30">
        <f t="shared" si="36"/>
        <v>1.2233287569903162E-2</v>
      </c>
      <c r="M465" s="30">
        <f t="shared" si="36"/>
        <v>1.9379220226297456E-2</v>
      </c>
      <c r="N465" s="30">
        <f t="shared" si="36"/>
        <v>2.3429450218475312E-2</v>
      </c>
      <c r="O465" s="30">
        <f t="shared" si="36"/>
        <v>-3.4060457829543367E-4</v>
      </c>
      <c r="P465" s="30">
        <f t="shared" si="36"/>
        <v>-5.6494949196056465E-3</v>
      </c>
      <c r="Q465" s="30">
        <f t="shared" si="36"/>
        <v>-7.9999184481642782E-3</v>
      </c>
      <c r="R465" s="30">
        <f t="shared" si="35"/>
        <v>7.9865502831921731E-4</v>
      </c>
      <c r="S465" s="30">
        <f t="shared" si="35"/>
        <v>9.663987346308911E-4</v>
      </c>
      <c r="T465" s="30">
        <f t="shared" si="35"/>
        <v>1.4783186750522148E-3</v>
      </c>
      <c r="U465" s="63">
        <f t="shared" si="34"/>
        <v>3.6687010899031291E-3</v>
      </c>
    </row>
    <row r="466" spans="1:21">
      <c r="A466" s="28">
        <v>44004</v>
      </c>
      <c r="B466" s="29">
        <v>1756.6999510000001</v>
      </c>
      <c r="C466" s="29">
        <v>17.88699913</v>
      </c>
      <c r="D466" s="29">
        <v>40.459999080000003</v>
      </c>
      <c r="E466" s="29">
        <v>10130.33008</v>
      </c>
      <c r="F466" s="29">
        <v>3117.860107</v>
      </c>
      <c r="G466" s="29">
        <v>26024.960940000001</v>
      </c>
      <c r="H466" s="29">
        <v>11.659201619999999</v>
      </c>
      <c r="I466" s="29">
        <v>9.4165716170000007</v>
      </c>
      <c r="J466" s="29">
        <v>12.33776188</v>
      </c>
      <c r="L466" s="30">
        <f t="shared" si="36"/>
        <v>6.1858794040545728E-3</v>
      </c>
      <c r="M466" s="30">
        <f t="shared" si="36"/>
        <v>3.0842529020016496E-3</v>
      </c>
      <c r="N466" s="30">
        <f t="shared" si="36"/>
        <v>1.7861612075471767E-2</v>
      </c>
      <c r="O466" s="30">
        <f t="shared" si="36"/>
        <v>1.2158538448329592E-2</v>
      </c>
      <c r="P466" s="30">
        <f t="shared" si="36"/>
        <v>6.4950954776550329E-3</v>
      </c>
      <c r="Q466" s="30">
        <f t="shared" si="36"/>
        <v>5.9331786618463944E-3</v>
      </c>
      <c r="R466" s="30">
        <f t="shared" si="35"/>
        <v>-7.9801768748055668E-4</v>
      </c>
      <c r="S466" s="30">
        <f t="shared" si="35"/>
        <v>0</v>
      </c>
      <c r="T466" s="30">
        <f t="shared" si="35"/>
        <v>-7.3795201371018582E-4</v>
      </c>
      <c r="U466" s="63">
        <f t="shared" si="34"/>
        <v>5.6449644695210459E-3</v>
      </c>
    </row>
    <row r="467" spans="1:21">
      <c r="A467" s="28">
        <v>44005</v>
      </c>
      <c r="B467" s="29">
        <v>1772.099976</v>
      </c>
      <c r="C467" s="29">
        <v>18.051000599999998</v>
      </c>
      <c r="D467" s="29">
        <v>40.369998930000001</v>
      </c>
      <c r="E467" s="29">
        <v>10209.820309999999</v>
      </c>
      <c r="F467" s="29">
        <v>3131.290039</v>
      </c>
      <c r="G467" s="29">
        <v>26156.099610000001</v>
      </c>
      <c r="H467" s="29">
        <v>11.64988995</v>
      </c>
      <c r="I467" s="29">
        <v>9.4165716170000007</v>
      </c>
      <c r="J467" s="29">
        <v>12.33776188</v>
      </c>
      <c r="L467" s="30">
        <f t="shared" si="36"/>
        <v>8.766451545258791E-3</v>
      </c>
      <c r="M467" s="30">
        <f t="shared" si="36"/>
        <v>9.1687526123336305E-3</v>
      </c>
      <c r="N467" s="30">
        <f t="shared" si="36"/>
        <v>-2.224422937381898E-3</v>
      </c>
      <c r="O467" s="30">
        <f t="shared" si="36"/>
        <v>7.8467561641386574E-3</v>
      </c>
      <c r="P467" s="30">
        <f t="shared" si="36"/>
        <v>4.3074196850103608E-3</v>
      </c>
      <c r="Q467" s="30">
        <f t="shared" si="36"/>
        <v>5.0389574187004182E-3</v>
      </c>
      <c r="R467" s="30">
        <f t="shared" si="35"/>
        <v>-7.9865417062741084E-4</v>
      </c>
      <c r="S467" s="30">
        <f t="shared" si="35"/>
        <v>0</v>
      </c>
      <c r="T467" s="30">
        <f t="shared" si="35"/>
        <v>0</v>
      </c>
      <c r="U467" s="63">
        <f t="shared" si="34"/>
        <v>4.0594144350367695E-3</v>
      </c>
    </row>
    <row r="468" spans="1:21">
      <c r="A468" s="28">
        <v>44006</v>
      </c>
      <c r="B468" s="29">
        <v>1765.8000489999999</v>
      </c>
      <c r="C468" s="29">
        <v>17.658000950000002</v>
      </c>
      <c r="D468" s="29">
        <v>38.009998320000001</v>
      </c>
      <c r="E468" s="29">
        <v>10002.700199999999</v>
      </c>
      <c r="F468" s="29">
        <v>3050.330078</v>
      </c>
      <c r="G468" s="29">
        <v>25445.939450000002</v>
      </c>
      <c r="H468" s="29">
        <v>11.659201619999999</v>
      </c>
      <c r="I468" s="29">
        <v>9.4165716170000007</v>
      </c>
      <c r="J468" s="29">
        <v>12.33776188</v>
      </c>
      <c r="L468" s="30">
        <f t="shared" si="36"/>
        <v>-3.5550629678469114E-3</v>
      </c>
      <c r="M468" s="30">
        <f t="shared" si="36"/>
        <v>-2.1771626886987971E-2</v>
      </c>
      <c r="N468" s="30">
        <f t="shared" si="36"/>
        <v>-5.8459268579425738E-2</v>
      </c>
      <c r="O468" s="30">
        <f t="shared" si="36"/>
        <v>-2.0286361925208052E-2</v>
      </c>
      <c r="P468" s="30">
        <f t="shared" si="36"/>
        <v>-2.5855145959540415E-2</v>
      </c>
      <c r="Q468" s="30">
        <f t="shared" si="36"/>
        <v>-2.7150843229259314E-2</v>
      </c>
      <c r="R468" s="30">
        <f t="shared" si="35"/>
        <v>7.9929252893928826E-4</v>
      </c>
      <c r="S468" s="30">
        <f t="shared" si="35"/>
        <v>0</v>
      </c>
      <c r="T468" s="30">
        <f t="shared" si="35"/>
        <v>0</v>
      </c>
      <c r="U468" s="63">
        <f t="shared" si="34"/>
        <v>-1.9037980279781878E-2</v>
      </c>
    </row>
    <row r="469" spans="1:21">
      <c r="A469" s="28">
        <v>44007</v>
      </c>
      <c r="B469" s="29">
        <v>1762.099976</v>
      </c>
      <c r="C469" s="29">
        <v>17.882999420000001</v>
      </c>
      <c r="D469" s="29">
        <v>38.72000122</v>
      </c>
      <c r="E469" s="29">
        <v>10101.83008</v>
      </c>
      <c r="F469" s="29">
        <v>3083.76001</v>
      </c>
      <c r="G469" s="29">
        <v>25745.599610000001</v>
      </c>
      <c r="H469" s="29">
        <v>11.659201619999999</v>
      </c>
      <c r="I469" s="29">
        <v>9.4165716170000007</v>
      </c>
      <c r="J469" s="29">
        <v>12.328647610000001</v>
      </c>
      <c r="L469" s="30">
        <f t="shared" si="36"/>
        <v>-2.0954088216813549E-3</v>
      </c>
      <c r="M469" s="30">
        <f t="shared" si="36"/>
        <v>1.2742012566263838E-2</v>
      </c>
      <c r="N469" s="30">
        <f t="shared" si="36"/>
        <v>1.8679372043708176E-2</v>
      </c>
      <c r="O469" s="30">
        <f t="shared" si="36"/>
        <v>9.9103120175489945E-3</v>
      </c>
      <c r="P469" s="30">
        <f t="shared" si="36"/>
        <v>1.0959447386073906E-2</v>
      </c>
      <c r="Q469" s="30">
        <f t="shared" si="36"/>
        <v>1.1776344928777993E-2</v>
      </c>
      <c r="R469" s="30">
        <f t="shared" si="35"/>
        <v>0</v>
      </c>
      <c r="S469" s="30">
        <f t="shared" si="35"/>
        <v>0</v>
      </c>
      <c r="T469" s="30">
        <f t="shared" si="35"/>
        <v>-7.3872960822607414E-4</v>
      </c>
      <c r="U469" s="63">
        <f t="shared" si="34"/>
        <v>8.0356481326315458E-3</v>
      </c>
    </row>
    <row r="470" spans="1:21">
      <c r="A470" s="28">
        <v>44008</v>
      </c>
      <c r="B470" s="29">
        <v>1772.5</v>
      </c>
      <c r="C470" s="29">
        <v>18.023000719999999</v>
      </c>
      <c r="D470" s="29">
        <v>38.490001679999999</v>
      </c>
      <c r="E470" s="29">
        <v>9849.3603519999997</v>
      </c>
      <c r="F470" s="29">
        <v>3009.0500489999999</v>
      </c>
      <c r="G470" s="29">
        <v>25015.550780000001</v>
      </c>
      <c r="H470" s="29">
        <v>11.67782497</v>
      </c>
      <c r="I470" s="29">
        <v>9.4256620410000007</v>
      </c>
      <c r="J470" s="29">
        <v>12.365093229999999</v>
      </c>
      <c r="L470" s="30">
        <f t="shared" si="36"/>
        <v>5.9020623924008753E-3</v>
      </c>
      <c r="M470" s="30">
        <f t="shared" si="36"/>
        <v>7.8287370430389913E-3</v>
      </c>
      <c r="N470" s="30">
        <f t="shared" si="36"/>
        <v>-5.9400705773015039E-3</v>
      </c>
      <c r="O470" s="30">
        <f t="shared" si="36"/>
        <v>-2.499247423492601E-2</v>
      </c>
      <c r="P470" s="30">
        <f t="shared" si="36"/>
        <v>-2.4226905063212123E-2</v>
      </c>
      <c r="Q470" s="30">
        <f t="shared" si="36"/>
        <v>-2.8356256644200939E-2</v>
      </c>
      <c r="R470" s="30">
        <f t="shared" si="35"/>
        <v>1.5973091989467392E-3</v>
      </c>
      <c r="S470" s="30">
        <f t="shared" si="35"/>
        <v>9.6536450522921591E-4</v>
      </c>
      <c r="T470" s="30">
        <f t="shared" si="35"/>
        <v>2.9561733900509424E-3</v>
      </c>
      <c r="U470" s="63">
        <f t="shared" si="34"/>
        <v>-9.6623022051733377E-3</v>
      </c>
    </row>
    <row r="471" spans="1:21">
      <c r="A471" s="28">
        <v>44011</v>
      </c>
      <c r="B471" s="29">
        <v>1774.8000489999999</v>
      </c>
      <c r="C471" s="29">
        <v>17.979999540000001</v>
      </c>
      <c r="D471" s="29">
        <v>39.700000760000002</v>
      </c>
      <c r="E471" s="29">
        <v>9961.1601559999999</v>
      </c>
      <c r="F471" s="29">
        <v>3053.23999</v>
      </c>
      <c r="G471" s="29">
        <v>25595.800780000001</v>
      </c>
      <c r="H471" s="29">
        <v>11.67782497</v>
      </c>
      <c r="I471" s="29">
        <v>9.4256620410000007</v>
      </c>
      <c r="J471" s="29">
        <v>12.35598469</v>
      </c>
      <c r="L471" s="30">
        <f t="shared" si="36"/>
        <v>1.2976299012694703E-3</v>
      </c>
      <c r="M471" s="30">
        <f t="shared" si="36"/>
        <v>-2.3859056917352461E-3</v>
      </c>
      <c r="N471" s="30">
        <f t="shared" si="36"/>
        <v>3.1436711540304696E-2</v>
      </c>
      <c r="O471" s="30">
        <f t="shared" si="36"/>
        <v>1.1350971028011747E-2</v>
      </c>
      <c r="P471" s="30">
        <f t="shared" si="36"/>
        <v>1.468567829727041E-2</v>
      </c>
      <c r="Q471" s="30">
        <f t="shared" si="36"/>
        <v>2.3195571630743927E-2</v>
      </c>
      <c r="R471" s="30">
        <f t="shared" si="35"/>
        <v>0</v>
      </c>
      <c r="S471" s="30">
        <f t="shared" si="35"/>
        <v>0</v>
      </c>
      <c r="T471" s="30">
        <f t="shared" si="35"/>
        <v>-7.3663334603091268E-4</v>
      </c>
      <c r="U471" s="63">
        <f t="shared" si="34"/>
        <v>8.5317094380721638E-3</v>
      </c>
    </row>
    <row r="472" spans="1:21">
      <c r="A472" s="28">
        <v>44012</v>
      </c>
      <c r="B472" s="29">
        <v>1793</v>
      </c>
      <c r="C472" s="29">
        <v>18.541000369999999</v>
      </c>
      <c r="D472" s="29">
        <v>39.270000459999999</v>
      </c>
      <c r="E472" s="29">
        <v>10156.849609999999</v>
      </c>
      <c r="F472" s="29">
        <v>3100.290039</v>
      </c>
      <c r="G472" s="29">
        <v>25812.880860000001</v>
      </c>
      <c r="H472" s="29">
        <v>11.69741535</v>
      </c>
      <c r="I472" s="29">
        <v>9.4338483810000007</v>
      </c>
      <c r="J472" s="29">
        <v>12.36237335</v>
      </c>
      <c r="L472" s="30">
        <f t="shared" si="36"/>
        <v>1.0254648691414348E-2</v>
      </c>
      <c r="M472" s="30">
        <f t="shared" si="36"/>
        <v>3.120138177712084E-2</v>
      </c>
      <c r="N472" s="30">
        <f t="shared" si="36"/>
        <v>-1.0831241606253372E-2</v>
      </c>
      <c r="O472" s="30">
        <f t="shared" si="36"/>
        <v>1.964524723379002E-2</v>
      </c>
      <c r="P472" s="30">
        <f t="shared" si="36"/>
        <v>1.5409875789030192E-2</v>
      </c>
      <c r="Q472" s="30">
        <f t="shared" si="36"/>
        <v>8.4810817940739192E-3</v>
      </c>
      <c r="R472" s="30">
        <f t="shared" si="35"/>
        <v>1.6775709560921115E-3</v>
      </c>
      <c r="S472" s="30">
        <f t="shared" si="35"/>
        <v>8.685161810799702E-4</v>
      </c>
      <c r="T472" s="30">
        <f t="shared" si="35"/>
        <v>5.1704984752620753E-4</v>
      </c>
      <c r="U472" s="63">
        <f t="shared" si="34"/>
        <v>1.2001267021127164E-2</v>
      </c>
    </row>
    <row r="473" spans="1:21">
      <c r="A473" s="28">
        <v>44013</v>
      </c>
      <c r="B473" s="29">
        <v>1773.1999510000001</v>
      </c>
      <c r="C473" s="29">
        <v>18.132999420000001</v>
      </c>
      <c r="D473" s="29">
        <v>39.819999690000003</v>
      </c>
      <c r="E473" s="29">
        <v>10279.25</v>
      </c>
      <c r="F473" s="29">
        <v>3115.860107</v>
      </c>
      <c r="G473" s="29">
        <v>25734.970700000002</v>
      </c>
      <c r="H473" s="29">
        <v>11.69741535</v>
      </c>
      <c r="I473" s="29">
        <v>9.4338483810000007</v>
      </c>
      <c r="J473" s="29">
        <v>12.37150574</v>
      </c>
      <c r="L473" s="30">
        <f t="shared" si="36"/>
        <v>-1.1042972113775806E-2</v>
      </c>
      <c r="M473" s="30">
        <f t="shared" si="36"/>
        <v>-2.2005336381965557E-2</v>
      </c>
      <c r="N473" s="30">
        <f t="shared" si="36"/>
        <v>1.4005582468995081E-2</v>
      </c>
      <c r="O473" s="30">
        <f t="shared" si="36"/>
        <v>1.2051019233315197E-2</v>
      </c>
      <c r="P473" s="30">
        <f t="shared" si="36"/>
        <v>5.0221327050492537E-3</v>
      </c>
      <c r="Q473" s="30">
        <f t="shared" si="36"/>
        <v>-3.0182667491690518E-3</v>
      </c>
      <c r="R473" s="30">
        <f t="shared" si="35"/>
        <v>0</v>
      </c>
      <c r="S473" s="30">
        <f t="shared" si="35"/>
        <v>0</v>
      </c>
      <c r="T473" s="30">
        <f t="shared" si="35"/>
        <v>7.3872465597379922E-4</v>
      </c>
      <c r="U473" s="63">
        <f t="shared" si="34"/>
        <v>6.2068691792269739E-5</v>
      </c>
    </row>
    <row r="474" spans="1:21">
      <c r="A474" s="28">
        <v>44014</v>
      </c>
      <c r="B474" s="29">
        <v>1784</v>
      </c>
      <c r="C474" s="29">
        <v>18.243999479999999</v>
      </c>
      <c r="D474" s="29">
        <v>40.650001529999997</v>
      </c>
      <c r="E474" s="29">
        <v>10341.889649999999</v>
      </c>
      <c r="F474" s="29">
        <v>3130.01001</v>
      </c>
      <c r="G474" s="29">
        <v>25827.359380000002</v>
      </c>
      <c r="H474" s="29">
        <v>11.71607208</v>
      </c>
      <c r="I474" s="29">
        <v>9.4520416259999998</v>
      </c>
      <c r="J474" s="29">
        <v>12.398893360000001</v>
      </c>
      <c r="L474" s="30">
        <f t="shared" si="36"/>
        <v>6.0907113120036716E-3</v>
      </c>
      <c r="M474" s="30">
        <f t="shared" si="36"/>
        <v>6.1214395604938243E-3</v>
      </c>
      <c r="N474" s="30">
        <f t="shared" si="36"/>
        <v>2.0843843457096556E-2</v>
      </c>
      <c r="O474" s="30">
        <f t="shared" si="36"/>
        <v>6.0937957535811549E-3</v>
      </c>
      <c r="P474" s="30">
        <f t="shared" si="36"/>
        <v>4.541251055594886E-3</v>
      </c>
      <c r="Q474" s="30">
        <f t="shared" si="36"/>
        <v>3.5900052530466464E-3</v>
      </c>
      <c r="R474" s="30">
        <f t="shared" si="35"/>
        <v>1.5949446473233486E-3</v>
      </c>
      <c r="S474" s="30">
        <f t="shared" si="35"/>
        <v>1.9285072501951106E-3</v>
      </c>
      <c r="T474" s="30">
        <f t="shared" si="35"/>
        <v>2.2137660989356434E-3</v>
      </c>
      <c r="U474" s="63">
        <f t="shared" si="34"/>
        <v>5.5837463899763825E-3</v>
      </c>
    </row>
    <row r="475" spans="1:21">
      <c r="A475" s="28">
        <v>44018</v>
      </c>
      <c r="B475" s="29">
        <v>1788.5</v>
      </c>
      <c r="C475" s="29">
        <v>18.503999709999999</v>
      </c>
      <c r="D475" s="29">
        <v>40.630001069999999</v>
      </c>
      <c r="E475" s="29">
        <v>10604.059569999999</v>
      </c>
      <c r="F475" s="29">
        <v>3179.719971</v>
      </c>
      <c r="G475" s="29">
        <v>26287.029299999998</v>
      </c>
      <c r="H475" s="29">
        <v>11.71607208</v>
      </c>
      <c r="I475" s="29">
        <v>9.4611396790000004</v>
      </c>
      <c r="J475" s="29">
        <v>12.398893360000001</v>
      </c>
      <c r="L475" s="30">
        <f t="shared" si="36"/>
        <v>2.5224215246637538E-3</v>
      </c>
      <c r="M475" s="30">
        <f t="shared" si="36"/>
        <v>1.4251273701527234E-2</v>
      </c>
      <c r="N475" s="30">
        <f t="shared" si="36"/>
        <v>-4.9201621764360937E-4</v>
      </c>
      <c r="O475" s="30">
        <f t="shared" si="36"/>
        <v>2.5350291762202382E-2</v>
      </c>
      <c r="P475" s="30">
        <f t="shared" si="36"/>
        <v>1.5881725886237597E-2</v>
      </c>
      <c r="Q475" s="30">
        <f t="shared" si="36"/>
        <v>1.7797790058086793E-2</v>
      </c>
      <c r="R475" s="30">
        <f t="shared" si="35"/>
        <v>0</v>
      </c>
      <c r="S475" s="30">
        <f t="shared" si="35"/>
        <v>9.6254897724690203E-4</v>
      </c>
      <c r="T475" s="30">
        <f t="shared" si="35"/>
        <v>0</v>
      </c>
      <c r="U475" s="63">
        <f t="shared" si="34"/>
        <v>1.0732890371257499E-2</v>
      </c>
    </row>
    <row r="476" spans="1:21">
      <c r="A476" s="28">
        <v>44019</v>
      </c>
      <c r="B476" s="29">
        <v>1804.1999510000001</v>
      </c>
      <c r="C476" s="29">
        <v>18.62800026</v>
      </c>
      <c r="D476" s="29">
        <v>40.619998930000001</v>
      </c>
      <c r="E476" s="29">
        <v>10524.009770000001</v>
      </c>
      <c r="F476" s="29">
        <v>3145.320068</v>
      </c>
      <c r="G476" s="29">
        <v>25890.179690000001</v>
      </c>
      <c r="H476" s="29">
        <v>11.7440567</v>
      </c>
      <c r="I476" s="29">
        <v>9.4793338780000003</v>
      </c>
      <c r="J476" s="29">
        <v>12.4262867</v>
      </c>
      <c r="L476" s="30">
        <f t="shared" si="36"/>
        <v>8.7782784456249541E-3</v>
      </c>
      <c r="M476" s="30">
        <f t="shared" si="36"/>
        <v>6.7012836112934071E-3</v>
      </c>
      <c r="N476" s="30">
        <f t="shared" si="36"/>
        <v>-2.4617621798150857E-4</v>
      </c>
      <c r="O476" s="30">
        <f t="shared" si="36"/>
        <v>-7.5489768302008375E-3</v>
      </c>
      <c r="P476" s="30">
        <f t="shared" si="36"/>
        <v>-1.0818532233573208E-2</v>
      </c>
      <c r="Q476" s="30">
        <f t="shared" si="36"/>
        <v>-1.5096784253213369E-2</v>
      </c>
      <c r="R476" s="30">
        <f t="shared" si="35"/>
        <v>2.3885667319998305E-3</v>
      </c>
      <c r="S476" s="30">
        <f t="shared" si="35"/>
        <v>1.9230451739744581E-3</v>
      </c>
      <c r="T476" s="30">
        <f t="shared" si="35"/>
        <v>2.2093374952616429E-3</v>
      </c>
      <c r="U476" s="63">
        <f t="shared" si="34"/>
        <v>-2.6180004786321397E-3</v>
      </c>
    </row>
    <row r="477" spans="1:21">
      <c r="A477" s="28">
        <v>44020</v>
      </c>
      <c r="B477" s="29">
        <v>1815.5</v>
      </c>
      <c r="C477" s="29">
        <v>19.080999370000001</v>
      </c>
      <c r="D477" s="29">
        <v>40.900001529999997</v>
      </c>
      <c r="E477" s="29">
        <v>10666.700199999999</v>
      </c>
      <c r="F477" s="29">
        <v>3169.9399410000001</v>
      </c>
      <c r="G477" s="29">
        <v>26067.279299999998</v>
      </c>
      <c r="H477" s="29">
        <v>11.73472404</v>
      </c>
      <c r="I477" s="29">
        <v>9.4793338780000003</v>
      </c>
      <c r="J477" s="29">
        <v>12.408027649999999</v>
      </c>
      <c r="L477" s="30">
        <f t="shared" si="36"/>
        <v>6.2631910580293049E-3</v>
      </c>
      <c r="M477" s="30">
        <f t="shared" si="36"/>
        <v>2.4318182503611396E-2</v>
      </c>
      <c r="N477" s="30">
        <f t="shared" si="36"/>
        <v>6.8932202702054468E-3</v>
      </c>
      <c r="O477" s="30">
        <f t="shared" si="36"/>
        <v>1.3558561149074055E-2</v>
      </c>
      <c r="P477" s="30">
        <f t="shared" si="36"/>
        <v>7.8274619014067071E-3</v>
      </c>
      <c r="Q477" s="30">
        <f t="shared" si="36"/>
        <v>6.8404164096398379E-3</v>
      </c>
      <c r="R477" s="30">
        <f t="shared" si="35"/>
        <v>-7.94670890851501E-4</v>
      </c>
      <c r="S477" s="30">
        <f t="shared" si="35"/>
        <v>0</v>
      </c>
      <c r="T477" s="30">
        <f t="shared" si="35"/>
        <v>-1.4693890814543309E-3</v>
      </c>
      <c r="U477" s="63">
        <f t="shared" si="34"/>
        <v>8.5646797909922062E-3</v>
      </c>
    </row>
    <row r="478" spans="1:21">
      <c r="A478" s="28">
        <v>44021</v>
      </c>
      <c r="B478" s="29">
        <v>1799.1999510000001</v>
      </c>
      <c r="C478" s="29">
        <v>18.881999969999999</v>
      </c>
      <c r="D478" s="29">
        <v>39.619998930000001</v>
      </c>
      <c r="E478" s="29">
        <v>10754.589840000001</v>
      </c>
      <c r="F478" s="29">
        <v>3152.0500489999999</v>
      </c>
      <c r="G478" s="29">
        <v>25706.089840000001</v>
      </c>
      <c r="H478" s="29">
        <v>11.762709620000001</v>
      </c>
      <c r="I478" s="29">
        <v>9.5066270829999997</v>
      </c>
      <c r="J478" s="29">
        <v>12.444547650000001</v>
      </c>
      <c r="L478" s="30">
        <f t="shared" si="36"/>
        <v>-8.9782698980996889E-3</v>
      </c>
      <c r="M478" s="30">
        <f t="shared" si="36"/>
        <v>-1.0429191686515016E-2</v>
      </c>
      <c r="N478" s="30">
        <f t="shared" si="36"/>
        <v>-3.129590591973741E-2</v>
      </c>
      <c r="O478" s="30">
        <f t="shared" si="36"/>
        <v>8.2396278466700945E-3</v>
      </c>
      <c r="P478" s="30">
        <f t="shared" si="36"/>
        <v>-5.6436059777070779E-3</v>
      </c>
      <c r="Q478" s="30">
        <f t="shared" si="36"/>
        <v>-1.3856047493226442E-2</v>
      </c>
      <c r="R478" s="30">
        <f t="shared" si="35"/>
        <v>2.3848519917986089E-3</v>
      </c>
      <c r="S478" s="30">
        <f t="shared" si="35"/>
        <v>2.8792323755304494E-3</v>
      </c>
      <c r="T478" s="30">
        <f t="shared" si="35"/>
        <v>2.9432558525932517E-3</v>
      </c>
      <c r="U478" s="63">
        <f t="shared" si="34"/>
        <v>-4.8943787472032711E-3</v>
      </c>
    </row>
    <row r="479" spans="1:21">
      <c r="A479" s="28">
        <v>44022</v>
      </c>
      <c r="B479" s="29">
        <v>1798.1999510000001</v>
      </c>
      <c r="C479" s="29">
        <v>18.982999800000002</v>
      </c>
      <c r="D479" s="29">
        <v>40.549999239999998</v>
      </c>
      <c r="E479" s="29">
        <v>10836.33008</v>
      </c>
      <c r="F479" s="29">
        <v>3185.040039</v>
      </c>
      <c r="G479" s="29">
        <v>26075.300780000001</v>
      </c>
      <c r="H479" s="29">
        <v>11.7440567</v>
      </c>
      <c r="I479" s="29">
        <v>9.497528076</v>
      </c>
      <c r="J479" s="29">
        <v>12.4262867</v>
      </c>
      <c r="L479" s="30">
        <f t="shared" si="36"/>
        <v>-5.558025940608502E-4</v>
      </c>
      <c r="M479" s="30">
        <f t="shared" si="36"/>
        <v>5.3490006440246596E-3</v>
      </c>
      <c r="N479" s="30">
        <f t="shared" si="36"/>
        <v>2.3473001895913947E-2</v>
      </c>
      <c r="O479" s="30">
        <f t="shared" si="36"/>
        <v>7.6004981329904631E-3</v>
      </c>
      <c r="P479" s="30">
        <f t="shared" si="36"/>
        <v>1.0466201198317426E-2</v>
      </c>
      <c r="Q479" s="30">
        <f t="shared" si="36"/>
        <v>1.4362781049083839E-2</v>
      </c>
      <c r="R479" s="30">
        <f t="shared" si="35"/>
        <v>-1.5857672766388387E-3</v>
      </c>
      <c r="S479" s="30">
        <f t="shared" si="35"/>
        <v>-9.571225336345579E-4</v>
      </c>
      <c r="T479" s="30">
        <f t="shared" si="35"/>
        <v>-1.4673855983828865E-3</v>
      </c>
      <c r="U479" s="63">
        <f t="shared" si="34"/>
        <v>6.7615338396597854E-3</v>
      </c>
    </row>
    <row r="480" spans="1:21">
      <c r="A480" s="28">
        <v>44025</v>
      </c>
      <c r="B480" s="29">
        <v>1811</v>
      </c>
      <c r="C480" s="29">
        <v>19.708999630000001</v>
      </c>
      <c r="D480" s="29">
        <v>40.099998470000003</v>
      </c>
      <c r="E480" s="29">
        <v>10602.20996</v>
      </c>
      <c r="F480" s="29">
        <v>3155.219971</v>
      </c>
      <c r="G480" s="29">
        <v>26085.800780000001</v>
      </c>
      <c r="H480" s="29">
        <v>11.762709620000001</v>
      </c>
      <c r="I480" s="29">
        <v>9.497528076</v>
      </c>
      <c r="J480" s="29">
        <v>12.453679080000001</v>
      </c>
      <c r="L480" s="30">
        <f t="shared" si="36"/>
        <v>7.1182567838918853E-3</v>
      </c>
      <c r="M480" s="30">
        <f t="shared" si="36"/>
        <v>3.824473674598039E-2</v>
      </c>
      <c r="N480" s="30">
        <f t="shared" si="36"/>
        <v>-1.1097429801086078E-2</v>
      </c>
      <c r="O480" s="30">
        <f t="shared" si="36"/>
        <v>-2.1605111534217847E-2</v>
      </c>
      <c r="P480" s="30">
        <f t="shared" si="36"/>
        <v>-9.3625410151397803E-3</v>
      </c>
      <c r="Q480" s="30">
        <f t="shared" si="36"/>
        <v>4.0267991877018794E-4</v>
      </c>
      <c r="R480" s="30">
        <f t="shared" si="35"/>
        <v>1.5882859284901407E-3</v>
      </c>
      <c r="S480" s="30">
        <f t="shared" si="35"/>
        <v>0</v>
      </c>
      <c r="T480" s="30">
        <f t="shared" si="35"/>
        <v>2.2043898278960583E-3</v>
      </c>
      <c r="U480" s="63">
        <f t="shared" si="34"/>
        <v>2.2971796820087535E-4</v>
      </c>
    </row>
    <row r="481" spans="1:21">
      <c r="A481" s="28">
        <v>44026</v>
      </c>
      <c r="B481" s="29">
        <v>1810.599976</v>
      </c>
      <c r="C481" s="29">
        <v>19.45100021</v>
      </c>
      <c r="D481" s="29">
        <v>40.290000919999997</v>
      </c>
      <c r="E481" s="29">
        <v>10689.51953</v>
      </c>
      <c r="F481" s="29">
        <v>3197.5200199999999</v>
      </c>
      <c r="G481" s="29">
        <v>26642.589840000001</v>
      </c>
      <c r="H481" s="29">
        <v>11.762709620000001</v>
      </c>
      <c r="I481" s="29">
        <v>9.5066270829999997</v>
      </c>
      <c r="J481" s="29">
        <v>12.444547650000001</v>
      </c>
      <c r="L481" s="30">
        <f t="shared" si="36"/>
        <v>-2.208856985090879E-4</v>
      </c>
      <c r="M481" s="30">
        <f t="shared" si="36"/>
        <v>-1.3090437102007302E-2</v>
      </c>
      <c r="N481" s="30">
        <f t="shared" si="36"/>
        <v>4.7382158915079131E-3</v>
      </c>
      <c r="O481" s="30">
        <f t="shared" si="36"/>
        <v>8.2350349907613918E-3</v>
      </c>
      <c r="P481" s="30">
        <f t="shared" si="36"/>
        <v>1.3406370835879811E-2</v>
      </c>
      <c r="Q481" s="30">
        <f t="shared" si="36"/>
        <v>2.134452626912986E-2</v>
      </c>
      <c r="R481" s="30">
        <f t="shared" si="35"/>
        <v>0</v>
      </c>
      <c r="S481" s="30">
        <f t="shared" si="35"/>
        <v>9.5803949482320405E-4</v>
      </c>
      <c r="T481" s="30">
        <f t="shared" si="35"/>
        <v>-7.3323151667403774E-4</v>
      </c>
      <c r="U481" s="63">
        <f t="shared" si="34"/>
        <v>4.1185199801860323E-3</v>
      </c>
    </row>
    <row r="482" spans="1:21">
      <c r="A482" s="28">
        <v>44027</v>
      </c>
      <c r="B482" s="29">
        <v>1811.400024</v>
      </c>
      <c r="C482" s="29">
        <v>19.684999470000001</v>
      </c>
      <c r="D482" s="29">
        <v>41.200000760000002</v>
      </c>
      <c r="E482" s="29">
        <v>10701.679690000001</v>
      </c>
      <c r="F482" s="29">
        <v>3226.5600589999999</v>
      </c>
      <c r="G482" s="29">
        <v>26870.099610000001</v>
      </c>
      <c r="H482" s="29">
        <v>11.762709620000001</v>
      </c>
      <c r="I482" s="29">
        <v>9.5066270829999997</v>
      </c>
      <c r="J482" s="29">
        <v>12.453679080000001</v>
      </c>
      <c r="L482" s="30">
        <f t="shared" si="36"/>
        <v>4.4186899956089043E-4</v>
      </c>
      <c r="M482" s="30">
        <f t="shared" si="36"/>
        <v>1.2030191634037291E-2</v>
      </c>
      <c r="N482" s="30">
        <f t="shared" si="36"/>
        <v>2.2586245202796285E-2</v>
      </c>
      <c r="O482" s="30">
        <f t="shared" si="36"/>
        <v>1.1375777897102424E-3</v>
      </c>
      <c r="P482" s="30">
        <f t="shared" si="36"/>
        <v>9.0820507200453093E-3</v>
      </c>
      <c r="Q482" s="30">
        <f t="shared" si="36"/>
        <v>8.5393263705326738E-3</v>
      </c>
      <c r="R482" s="30">
        <f t="shared" si="35"/>
        <v>0</v>
      </c>
      <c r="S482" s="30">
        <f t="shared" si="35"/>
        <v>0</v>
      </c>
      <c r="T482" s="30">
        <f t="shared" si="35"/>
        <v>7.3376953962656088E-4</v>
      </c>
      <c r="U482" s="63">
        <f t="shared" si="34"/>
        <v>6.8340598676219352E-3</v>
      </c>
    </row>
    <row r="483" spans="1:21">
      <c r="A483" s="28">
        <v>44028</v>
      </c>
      <c r="B483" s="29">
        <v>1798.6999510000001</v>
      </c>
      <c r="C483" s="29">
        <v>19.49699974</v>
      </c>
      <c r="D483" s="29">
        <v>40.75</v>
      </c>
      <c r="E483" s="29">
        <v>10626.45996</v>
      </c>
      <c r="F483" s="29">
        <v>3215.570068</v>
      </c>
      <c r="G483" s="29">
        <v>26734.710940000001</v>
      </c>
      <c r="H483" s="29">
        <v>11.772038459999999</v>
      </c>
      <c r="I483" s="29">
        <v>9.5157241819999996</v>
      </c>
      <c r="J483" s="29">
        <v>12.471937179999999</v>
      </c>
      <c r="L483" s="30">
        <f t="shared" si="36"/>
        <v>-7.0111918028770148E-3</v>
      </c>
      <c r="M483" s="30">
        <f t="shared" si="36"/>
        <v>-9.5504056419464245E-3</v>
      </c>
      <c r="N483" s="30">
        <f t="shared" si="36"/>
        <v>-1.0922348342209176E-2</v>
      </c>
      <c r="O483" s="30">
        <f t="shared" si="36"/>
        <v>-7.0287779282245388E-3</v>
      </c>
      <c r="P483" s="30">
        <f t="shared" si="36"/>
        <v>-3.4061014823960623E-3</v>
      </c>
      <c r="Q483" s="30">
        <f t="shared" si="36"/>
        <v>-5.0386366989727538E-3</v>
      </c>
      <c r="R483" s="30">
        <f t="shared" si="35"/>
        <v>7.930859726517081E-4</v>
      </c>
      <c r="S483" s="30">
        <f t="shared" si="35"/>
        <v>9.5692183153661681E-4</v>
      </c>
      <c r="T483" s="30">
        <f t="shared" si="35"/>
        <v>1.4660808169788542E-3</v>
      </c>
      <c r="U483" s="63">
        <f t="shared" si="34"/>
        <v>-4.3716700936973071E-3</v>
      </c>
    </row>
    <row r="484" spans="1:21">
      <c r="A484" s="28">
        <v>44029</v>
      </c>
      <c r="B484" s="29">
        <v>1808.3000489999999</v>
      </c>
      <c r="C484" s="29">
        <v>19.684999470000001</v>
      </c>
      <c r="D484" s="29">
        <v>40.590000150000002</v>
      </c>
      <c r="E484" s="29">
        <v>10645.219730000001</v>
      </c>
      <c r="F484" s="29">
        <v>3224.7299800000001</v>
      </c>
      <c r="G484" s="29">
        <v>26671.949219999999</v>
      </c>
      <c r="H484" s="29">
        <v>11.772038459999999</v>
      </c>
      <c r="I484" s="29">
        <v>9.5157241819999996</v>
      </c>
      <c r="J484" s="29">
        <v>12.471937179999999</v>
      </c>
      <c r="L484" s="30">
        <f t="shared" si="36"/>
        <v>5.3372425982791682E-3</v>
      </c>
      <c r="M484" s="30">
        <f t="shared" si="36"/>
        <v>9.6424953842668693E-3</v>
      </c>
      <c r="N484" s="30">
        <f t="shared" si="36"/>
        <v>-3.926376687116484E-3</v>
      </c>
      <c r="O484" s="30">
        <f t="shared" si="36"/>
        <v>1.7653828340402633E-3</v>
      </c>
      <c r="P484" s="30">
        <f t="shared" si="36"/>
        <v>2.848612160921471E-3</v>
      </c>
      <c r="Q484" s="30">
        <f t="shared" si="36"/>
        <v>-2.3475742880054717E-3</v>
      </c>
      <c r="R484" s="30">
        <f t="shared" si="35"/>
        <v>0</v>
      </c>
      <c r="S484" s="30">
        <f t="shared" si="35"/>
        <v>0</v>
      </c>
      <c r="T484" s="30">
        <f t="shared" si="35"/>
        <v>0</v>
      </c>
      <c r="U484" s="63">
        <f t="shared" si="34"/>
        <v>2.4931483607960915E-3</v>
      </c>
    </row>
    <row r="485" spans="1:21">
      <c r="A485" s="28">
        <v>44032</v>
      </c>
      <c r="B485" s="29">
        <v>1815.900024</v>
      </c>
      <c r="C485" s="29">
        <v>20.124000550000002</v>
      </c>
      <c r="D485" s="29">
        <v>40.810001370000002</v>
      </c>
      <c r="E485" s="29">
        <v>10952.08008</v>
      </c>
      <c r="F485" s="29">
        <v>3251.8400879999999</v>
      </c>
      <c r="G485" s="29">
        <v>26680.869139999999</v>
      </c>
      <c r="H485" s="29">
        <v>11.790697099999999</v>
      </c>
      <c r="I485" s="29">
        <v>9.5248146059999996</v>
      </c>
      <c r="J485" s="29">
        <v>12.490197179999999</v>
      </c>
      <c r="L485" s="30">
        <f t="shared" si="36"/>
        <v>4.202828509684009E-3</v>
      </c>
      <c r="M485" s="30">
        <f t="shared" si="36"/>
        <v>2.2301300067040453E-2</v>
      </c>
      <c r="N485" s="30">
        <f t="shared" si="36"/>
        <v>5.4200842371763258E-3</v>
      </c>
      <c r="O485" s="30">
        <f t="shared" si="36"/>
        <v>2.8826117053762257E-2</v>
      </c>
      <c r="P485" s="30">
        <f t="shared" si="36"/>
        <v>8.4069389276431039E-3</v>
      </c>
      <c r="Q485" s="30">
        <f t="shared" si="36"/>
        <v>3.3443075068961825E-4</v>
      </c>
      <c r="R485" s="30">
        <f t="shared" si="35"/>
        <v>1.5849965206451433E-3</v>
      </c>
      <c r="S485" s="30">
        <f t="shared" si="35"/>
        <v>9.5530553703904175E-4</v>
      </c>
      <c r="T485" s="30">
        <f t="shared" si="35"/>
        <v>1.4640869125994715E-3</v>
      </c>
      <c r="U485" s="63">
        <f t="shared" si="34"/>
        <v>1.029120767652637E-2</v>
      </c>
    </row>
    <row r="486" spans="1:21">
      <c r="A486" s="28">
        <v>44033</v>
      </c>
      <c r="B486" s="29">
        <v>1842.400024</v>
      </c>
      <c r="C486" s="29">
        <v>21.49699974</v>
      </c>
      <c r="D486" s="29">
        <v>41.959999080000003</v>
      </c>
      <c r="E486" s="29">
        <v>10833.070309999999</v>
      </c>
      <c r="F486" s="29">
        <v>3257.3000489999999</v>
      </c>
      <c r="G486" s="29">
        <v>26840.400389999999</v>
      </c>
      <c r="H486" s="29">
        <v>11.80002022</v>
      </c>
      <c r="I486" s="29">
        <v>9.5430164340000001</v>
      </c>
      <c r="J486" s="29">
        <v>12.517590520000001</v>
      </c>
      <c r="L486" s="30">
        <f t="shared" si="36"/>
        <v>1.4593314416961434E-2</v>
      </c>
      <c r="M486" s="30">
        <f t="shared" si="36"/>
        <v>6.8226950530469788E-2</v>
      </c>
      <c r="N486" s="30">
        <f t="shared" si="36"/>
        <v>2.8179310742326491E-2</v>
      </c>
      <c r="O486" s="30">
        <f t="shared" si="36"/>
        <v>-1.0866407945402834E-2</v>
      </c>
      <c r="P486" s="30">
        <f t="shared" si="36"/>
        <v>1.679037361077107E-3</v>
      </c>
      <c r="Q486" s="30">
        <f t="shared" si="36"/>
        <v>5.979237376522839E-3</v>
      </c>
      <c r="R486" s="30">
        <f t="shared" si="35"/>
        <v>7.9071830282217981E-4</v>
      </c>
      <c r="S486" s="30">
        <f t="shared" si="35"/>
        <v>1.9109902662604039E-3</v>
      </c>
      <c r="T486" s="30">
        <f t="shared" si="35"/>
        <v>2.1931871535114666E-3</v>
      </c>
      <c r="U486" s="63">
        <f t="shared" si="34"/>
        <v>1.3213245307861885E-2</v>
      </c>
    </row>
    <row r="487" spans="1:21">
      <c r="A487" s="28">
        <v>44034</v>
      </c>
      <c r="B487" s="29">
        <v>1864.099976</v>
      </c>
      <c r="C487" s="29">
        <v>23.083000179999999</v>
      </c>
      <c r="D487" s="29">
        <v>41.900001529999997</v>
      </c>
      <c r="E487" s="29">
        <v>10870.75</v>
      </c>
      <c r="F487" s="29">
        <v>3276.0200199999999</v>
      </c>
      <c r="G487" s="29">
        <v>27005.839840000001</v>
      </c>
      <c r="H487" s="29">
        <v>11.809350009999999</v>
      </c>
      <c r="I487" s="29">
        <v>9.5521125789999992</v>
      </c>
      <c r="J487" s="29">
        <v>12.526721</v>
      </c>
      <c r="L487" s="30">
        <f t="shared" si="36"/>
        <v>1.1778089295118255E-2</v>
      </c>
      <c r="M487" s="30">
        <f t="shared" si="36"/>
        <v>7.3777757788631826E-2</v>
      </c>
      <c r="N487" s="30">
        <f t="shared" si="36"/>
        <v>-1.4298749121899323E-3</v>
      </c>
      <c r="O487" s="30">
        <f t="shared" si="36"/>
        <v>3.4782096784895522E-3</v>
      </c>
      <c r="P487" s="30">
        <f t="shared" si="36"/>
        <v>5.7470821595777544E-3</v>
      </c>
      <c r="Q487" s="30">
        <f t="shared" si="36"/>
        <v>6.1638219846242848E-3</v>
      </c>
      <c r="R487" s="30">
        <f t="shared" si="35"/>
        <v>7.9065881465067989E-4</v>
      </c>
      <c r="S487" s="30">
        <f t="shared" si="35"/>
        <v>9.5317293676577819E-4</v>
      </c>
      <c r="T487" s="30">
        <f t="shared" si="35"/>
        <v>7.2941194117270847E-4</v>
      </c>
      <c r="U487" s="63">
        <f t="shared" si="34"/>
        <v>1.4308989744865051E-2</v>
      </c>
    </row>
    <row r="488" spans="1:21">
      <c r="A488" s="28">
        <v>44035</v>
      </c>
      <c r="B488" s="29">
        <v>1889.099976</v>
      </c>
      <c r="C488" s="29">
        <v>22.94499969</v>
      </c>
      <c r="D488" s="29">
        <v>41.069999690000003</v>
      </c>
      <c r="E488" s="29">
        <v>10580.589840000001</v>
      </c>
      <c r="F488" s="29">
        <v>3235.6599120000001</v>
      </c>
      <c r="G488" s="29">
        <v>26652.33008</v>
      </c>
      <c r="H488" s="29">
        <v>11.828006739999999</v>
      </c>
      <c r="I488" s="29">
        <v>9.5703077319999998</v>
      </c>
      <c r="J488" s="29">
        <v>12.544980049999999</v>
      </c>
      <c r="L488" s="30">
        <f t="shared" si="36"/>
        <v>1.3411297849831527E-2</v>
      </c>
      <c r="M488" s="30">
        <f t="shared" si="36"/>
        <v>-5.9784468623610421E-3</v>
      </c>
      <c r="N488" s="30">
        <f t="shared" si="36"/>
        <v>-1.9809112403151641E-2</v>
      </c>
      <c r="O488" s="30">
        <f t="shared" si="36"/>
        <v>-2.6691825311041084E-2</v>
      </c>
      <c r="P488" s="30">
        <f t="shared" si="36"/>
        <v>-1.231985999890195E-2</v>
      </c>
      <c r="Q488" s="30">
        <f t="shared" si="36"/>
        <v>-1.3090122806564075E-2</v>
      </c>
      <c r="R488" s="30">
        <f t="shared" si="35"/>
        <v>1.5798270001483594E-3</v>
      </c>
      <c r="S488" s="30">
        <f t="shared" si="35"/>
        <v>1.9048302508497539E-3</v>
      </c>
      <c r="T488" s="30">
        <f t="shared" si="35"/>
        <v>1.4576081003161434E-3</v>
      </c>
      <c r="U488" s="63">
        <f t="shared" si="34"/>
        <v>-8.4795049232961311E-3</v>
      </c>
    </row>
    <row r="489" spans="1:21">
      <c r="A489" s="28">
        <v>44036</v>
      </c>
      <c r="B489" s="29">
        <v>1897.3000489999999</v>
      </c>
      <c r="C489" s="29">
        <v>22.80800056</v>
      </c>
      <c r="D489" s="29">
        <v>41.290000919999997</v>
      </c>
      <c r="E489" s="29">
        <v>10483.12988</v>
      </c>
      <c r="F489" s="29">
        <v>3215.6298830000001</v>
      </c>
      <c r="G489" s="29">
        <v>26469.890630000002</v>
      </c>
      <c r="H489" s="29">
        <v>11.828006739999999</v>
      </c>
      <c r="I489" s="29">
        <v>9.5612087250000002</v>
      </c>
      <c r="J489" s="29">
        <v>12.5358448</v>
      </c>
      <c r="L489" s="30">
        <f t="shared" si="36"/>
        <v>4.3407300323845543E-3</v>
      </c>
      <c r="M489" s="30">
        <f t="shared" si="36"/>
        <v>-5.9707619024160774E-3</v>
      </c>
      <c r="N489" s="30">
        <f t="shared" si="36"/>
        <v>5.3567380487116179E-3</v>
      </c>
      <c r="O489" s="30">
        <f t="shared" si="36"/>
        <v>-9.2112029172090049E-3</v>
      </c>
      <c r="P489" s="30">
        <f t="shared" si="36"/>
        <v>-6.1903999631467421E-3</v>
      </c>
      <c r="Q489" s="30">
        <f t="shared" si="36"/>
        <v>-6.845159483331642E-3</v>
      </c>
      <c r="R489" s="30">
        <f t="shared" si="35"/>
        <v>0</v>
      </c>
      <c r="S489" s="30">
        <f t="shared" si="35"/>
        <v>-9.5075385816234537E-4</v>
      </c>
      <c r="T489" s="30">
        <f t="shared" si="35"/>
        <v>-7.2819964349002397E-4</v>
      </c>
      <c r="U489" s="63">
        <f t="shared" si="34"/>
        <v>-3.6267054335696477E-3</v>
      </c>
    </row>
    <row r="490" spans="1:21">
      <c r="A490" s="28">
        <v>44039</v>
      </c>
      <c r="B490" s="29">
        <v>1931</v>
      </c>
      <c r="C490" s="29">
        <v>24.475999829999999</v>
      </c>
      <c r="D490" s="29">
        <v>41.599998470000003</v>
      </c>
      <c r="E490" s="29">
        <v>10674.37988</v>
      </c>
      <c r="F490" s="29">
        <v>3239.4099120000001</v>
      </c>
      <c r="G490" s="29">
        <v>26584.769530000001</v>
      </c>
      <c r="H490" s="29">
        <v>11.809350009999999</v>
      </c>
      <c r="I490" s="29">
        <v>9.5521125789999992</v>
      </c>
      <c r="J490" s="29">
        <v>12.517590520000001</v>
      </c>
      <c r="L490" s="30">
        <f t="shared" si="36"/>
        <v>1.7762056675095783E-2</v>
      </c>
      <c r="M490" s="30">
        <f t="shared" si="36"/>
        <v>7.3132200501839995E-2</v>
      </c>
      <c r="N490" s="30">
        <f t="shared" si="36"/>
        <v>7.5078116515576721E-3</v>
      </c>
      <c r="O490" s="30">
        <f t="shared" si="36"/>
        <v>1.8243597302449954E-2</v>
      </c>
      <c r="P490" s="30">
        <f t="shared" si="36"/>
        <v>7.3951387022856974E-3</v>
      </c>
      <c r="Q490" s="30">
        <f t="shared" si="36"/>
        <v>4.3399839313955635E-3</v>
      </c>
      <c r="R490" s="30">
        <f t="shared" si="35"/>
        <v>-1.5773350835950328E-3</v>
      </c>
      <c r="S490" s="30">
        <f t="shared" si="35"/>
        <v>-9.5135942134771945E-4</v>
      </c>
      <c r="T490" s="30">
        <f t="shared" si="35"/>
        <v>-1.4561667196134609E-3</v>
      </c>
      <c r="U490" s="63">
        <f t="shared" si="34"/>
        <v>1.6833063506009747E-2</v>
      </c>
    </row>
    <row r="491" spans="1:21">
      <c r="A491" s="28">
        <v>44040</v>
      </c>
      <c r="B491" s="29">
        <v>1944.6999510000001</v>
      </c>
      <c r="C491" s="29">
        <v>24.26600075</v>
      </c>
      <c r="D491" s="29">
        <v>41.040000919999997</v>
      </c>
      <c r="E491" s="29">
        <v>10532.5</v>
      </c>
      <c r="F491" s="29">
        <v>3218.4399410000001</v>
      </c>
      <c r="G491" s="29">
        <v>26379.279299999998</v>
      </c>
      <c r="H491" s="29">
        <v>11.828006739999999</v>
      </c>
      <c r="I491" s="29">
        <v>9.5612087250000002</v>
      </c>
      <c r="J491" s="29">
        <v>12.5358448</v>
      </c>
      <c r="L491" s="30">
        <f t="shared" si="36"/>
        <v>7.0947441740032424E-3</v>
      </c>
      <c r="M491" s="30">
        <f t="shared" si="36"/>
        <v>-8.5797957778462886E-3</v>
      </c>
      <c r="N491" s="30">
        <f t="shared" si="36"/>
        <v>-1.3461480062405551E-2</v>
      </c>
      <c r="O491" s="30">
        <f t="shared" si="36"/>
        <v>-1.3291627391473382E-2</v>
      </c>
      <c r="P491" s="30">
        <f t="shared" si="36"/>
        <v>-6.4733922441613245E-3</v>
      </c>
      <c r="Q491" s="30">
        <f t="shared" si="36"/>
        <v>-7.7296223978212675E-3</v>
      </c>
      <c r="R491" s="30">
        <f t="shared" si="35"/>
        <v>1.5798270001483594E-3</v>
      </c>
      <c r="S491" s="30">
        <f t="shared" si="35"/>
        <v>9.5226536797721195E-4</v>
      </c>
      <c r="T491" s="30">
        <f t="shared" si="35"/>
        <v>1.4582902333186709E-3</v>
      </c>
      <c r="U491" s="63">
        <f t="shared" si="34"/>
        <v>-5.3566254730965258E-3</v>
      </c>
    </row>
    <row r="492" spans="1:21">
      <c r="A492" s="28">
        <v>44041</v>
      </c>
      <c r="B492" s="29">
        <v>1953.5</v>
      </c>
      <c r="C492" s="29">
        <v>24.292999269999999</v>
      </c>
      <c r="D492" s="29">
        <v>41.270000459999999</v>
      </c>
      <c r="E492" s="29">
        <v>10662.98047</v>
      </c>
      <c r="F492" s="29">
        <v>3258.4399410000001</v>
      </c>
      <c r="G492" s="29">
        <v>26539.570309999999</v>
      </c>
      <c r="H492" s="29">
        <v>11.828006739999999</v>
      </c>
      <c r="I492" s="29">
        <v>9.5612087250000002</v>
      </c>
      <c r="J492" s="29">
        <v>12.544980049999999</v>
      </c>
      <c r="L492" s="30">
        <f t="shared" si="36"/>
        <v>4.5251448664225258E-3</v>
      </c>
      <c r="M492" s="30">
        <f t="shared" si="36"/>
        <v>1.1126069053633003E-3</v>
      </c>
      <c r="N492" s="30">
        <f t="shared" si="36"/>
        <v>5.6042771648163736E-3</v>
      </c>
      <c r="O492" s="30">
        <f t="shared" si="36"/>
        <v>1.2388366484690216E-2</v>
      </c>
      <c r="P492" s="30">
        <f t="shared" si="36"/>
        <v>1.2428381679718825E-2</v>
      </c>
      <c r="Q492" s="30">
        <f t="shared" si="36"/>
        <v>6.0763983798450827E-3</v>
      </c>
      <c r="R492" s="30">
        <f t="shared" si="35"/>
        <v>0</v>
      </c>
      <c r="S492" s="30">
        <f t="shared" si="35"/>
        <v>0</v>
      </c>
      <c r="T492" s="30">
        <f t="shared" si="35"/>
        <v>7.287303046381588E-4</v>
      </c>
      <c r="U492" s="63">
        <f t="shared" si="34"/>
        <v>6.3911902648692166E-3</v>
      </c>
    </row>
    <row r="493" spans="1:21">
      <c r="A493" s="28">
        <v>44042</v>
      </c>
      <c r="B493" s="29">
        <v>1942.3000489999999</v>
      </c>
      <c r="C493" s="29">
        <v>23.340000150000002</v>
      </c>
      <c r="D493" s="29">
        <v>39.91999817</v>
      </c>
      <c r="E493" s="29">
        <v>10715.509770000001</v>
      </c>
      <c r="F493" s="29">
        <v>3246.219971</v>
      </c>
      <c r="G493" s="29">
        <v>26313.650389999999</v>
      </c>
      <c r="H493" s="29">
        <v>11.84666157</v>
      </c>
      <c r="I493" s="29">
        <v>9.579402924</v>
      </c>
      <c r="J493" s="29">
        <v>12.563241959999999</v>
      </c>
      <c r="L493" s="30">
        <f t="shared" si="36"/>
        <v>-5.733274123368326E-3</v>
      </c>
      <c r="M493" s="30">
        <f t="shared" si="36"/>
        <v>-3.9229372602701984E-2</v>
      </c>
      <c r="N493" s="30">
        <f t="shared" si="36"/>
        <v>-3.2711467772055358E-2</v>
      </c>
      <c r="O493" s="30">
        <f t="shared" si="36"/>
        <v>4.9263243187764871E-3</v>
      </c>
      <c r="P493" s="30">
        <f t="shared" si="36"/>
        <v>-3.7502517220709963E-3</v>
      </c>
      <c r="Q493" s="30">
        <f t="shared" si="36"/>
        <v>-8.5125688683389544E-3</v>
      </c>
      <c r="R493" s="30">
        <f t="shared" si="35"/>
        <v>1.5771744479071703E-3</v>
      </c>
      <c r="S493" s="30">
        <f t="shared" si="35"/>
        <v>1.9029182944649836E-3</v>
      </c>
      <c r="T493" s="30">
        <f t="shared" si="35"/>
        <v>1.4557145509370706E-3</v>
      </c>
      <c r="U493" s="63">
        <f t="shared" si="34"/>
        <v>-9.1324520189422498E-3</v>
      </c>
    </row>
    <row r="494" spans="1:21">
      <c r="A494" s="28">
        <v>44043</v>
      </c>
      <c r="B494" s="29">
        <v>1962.8000489999999</v>
      </c>
      <c r="C494" s="29">
        <v>24.18899918</v>
      </c>
      <c r="D494" s="29">
        <v>40.270000459999999</v>
      </c>
      <c r="E494" s="29">
        <v>10905.87988</v>
      </c>
      <c r="F494" s="29">
        <v>3271.1201169999999</v>
      </c>
      <c r="G494" s="29">
        <v>26428.320309999999</v>
      </c>
      <c r="H494" s="29">
        <v>11.86347771</v>
      </c>
      <c r="I494" s="29">
        <v>9.6012668609999992</v>
      </c>
      <c r="J494" s="29">
        <v>12.569644930000001</v>
      </c>
      <c r="L494" s="30">
        <f t="shared" si="36"/>
        <v>1.0554496979266581E-2</v>
      </c>
      <c r="M494" s="30">
        <f t="shared" si="36"/>
        <v>3.6375279543432226E-2</v>
      </c>
      <c r="N494" s="30">
        <f t="shared" si="36"/>
        <v>8.7675928367909606E-3</v>
      </c>
      <c r="O494" s="30">
        <f t="shared" si="36"/>
        <v>1.7765847270558632E-2</v>
      </c>
      <c r="P494" s="30">
        <f t="shared" si="36"/>
        <v>7.6705048402279097E-3</v>
      </c>
      <c r="Q494" s="30">
        <f t="shared" si="36"/>
        <v>4.3578111854665202E-3</v>
      </c>
      <c r="R494" s="30">
        <f t="shared" si="35"/>
        <v>1.4194834469303252E-3</v>
      </c>
      <c r="S494" s="30">
        <f t="shared" si="35"/>
        <v>2.2823903716611138E-3</v>
      </c>
      <c r="T494" s="30">
        <f t="shared" si="35"/>
        <v>5.0965905300470737E-4</v>
      </c>
      <c r="U494" s="63">
        <f t="shared" si="34"/>
        <v>1.1706121221073363E-2</v>
      </c>
    </row>
    <row r="495" spans="1:21">
      <c r="A495" s="28">
        <v>44046</v>
      </c>
      <c r="B495" s="29">
        <v>1966</v>
      </c>
      <c r="C495" s="29">
        <v>24.38999939</v>
      </c>
      <c r="D495" s="29">
        <v>41.009998320000001</v>
      </c>
      <c r="E495" s="29">
        <v>11055.08008</v>
      </c>
      <c r="F495" s="29">
        <v>3294.610107</v>
      </c>
      <c r="G495" s="29">
        <v>26664.400389999999</v>
      </c>
      <c r="H495" s="29">
        <v>11.86347771</v>
      </c>
      <c r="I495" s="29">
        <v>9.5921583179999992</v>
      </c>
      <c r="J495" s="29">
        <v>12.569644930000001</v>
      </c>
      <c r="L495" s="30">
        <f t="shared" si="36"/>
        <v>1.6302990218644009E-3</v>
      </c>
      <c r="M495" s="30">
        <f t="shared" si="36"/>
        <v>8.3095711610172707E-3</v>
      </c>
      <c r="N495" s="30">
        <f t="shared" si="36"/>
        <v>1.8375908903577987E-2</v>
      </c>
      <c r="O495" s="30">
        <f t="shared" si="36"/>
        <v>1.3680711840005966E-2</v>
      </c>
      <c r="P495" s="30">
        <f t="shared" si="36"/>
        <v>7.1810233680880131E-3</v>
      </c>
      <c r="Q495" s="30">
        <f t="shared" si="36"/>
        <v>8.9328446617422674E-3</v>
      </c>
      <c r="R495" s="30">
        <f t="shared" si="35"/>
        <v>0</v>
      </c>
      <c r="S495" s="30">
        <f t="shared" si="35"/>
        <v>-9.4868137005943431E-4</v>
      </c>
      <c r="T495" s="30">
        <f t="shared" si="35"/>
        <v>0</v>
      </c>
      <c r="U495" s="63">
        <f t="shared" si="34"/>
        <v>6.6731695854958441E-3</v>
      </c>
    </row>
    <row r="496" spans="1:21">
      <c r="A496" s="28">
        <v>44047</v>
      </c>
      <c r="B496" s="29">
        <v>2001.1999510000001</v>
      </c>
      <c r="C496" s="29">
        <v>26.01199913</v>
      </c>
      <c r="D496" s="29">
        <v>41.700000760000002</v>
      </c>
      <c r="E496" s="29">
        <v>11096.54004</v>
      </c>
      <c r="F496" s="29">
        <v>3306.51001</v>
      </c>
      <c r="G496" s="29">
        <v>26828.470700000002</v>
      </c>
      <c r="H496" s="29">
        <v>11.882161139999999</v>
      </c>
      <c r="I496" s="29">
        <v>9.6194849009999999</v>
      </c>
      <c r="J496" s="29">
        <v>12.60623741</v>
      </c>
      <c r="L496" s="30">
        <f t="shared" si="36"/>
        <v>1.7904349440488243E-2</v>
      </c>
      <c r="M496" s="30">
        <f t="shared" si="36"/>
        <v>6.6502656029791662E-2</v>
      </c>
      <c r="N496" s="30">
        <f t="shared" si="36"/>
        <v>1.6825224780940617E-2</v>
      </c>
      <c r="O496" s="30">
        <f t="shared" si="36"/>
        <v>3.7503084283401211E-3</v>
      </c>
      <c r="P496" s="30">
        <f t="shared" si="36"/>
        <v>3.6119305816237901E-3</v>
      </c>
      <c r="Q496" s="30">
        <f t="shared" si="36"/>
        <v>6.1531595535722072E-3</v>
      </c>
      <c r="R496" s="30">
        <f t="shared" si="35"/>
        <v>1.5748695666406576E-3</v>
      </c>
      <c r="S496" s="30">
        <f t="shared" si="35"/>
        <v>2.8488461193056924E-3</v>
      </c>
      <c r="T496" s="30">
        <f t="shared" si="35"/>
        <v>2.9111784942041918E-3</v>
      </c>
      <c r="U496" s="63">
        <f t="shared" si="34"/>
        <v>1.4777948823066321E-2</v>
      </c>
    </row>
    <row r="497" spans="1:21">
      <c r="A497" s="28">
        <v>44048</v>
      </c>
      <c r="B497" s="29">
        <v>2031.099976</v>
      </c>
      <c r="C497" s="29">
        <v>26.877000809999998</v>
      </c>
      <c r="D497" s="29">
        <v>42.189998629999998</v>
      </c>
      <c r="E497" s="29">
        <v>11125.440430000001</v>
      </c>
      <c r="F497" s="29">
        <v>3327.7700199999999</v>
      </c>
      <c r="G497" s="29">
        <v>27201.519530000001</v>
      </c>
      <c r="H497" s="29">
        <v>11.86347771</v>
      </c>
      <c r="I497" s="29">
        <v>9.6103773120000007</v>
      </c>
      <c r="J497" s="29">
        <v>12.587942119999999</v>
      </c>
      <c r="L497" s="30">
        <f t="shared" si="36"/>
        <v>1.4941048237113286E-2</v>
      </c>
      <c r="M497" s="30">
        <f t="shared" si="36"/>
        <v>3.3253948521103194E-2</v>
      </c>
      <c r="N497" s="30">
        <f t="shared" si="36"/>
        <v>1.175054822708832E-2</v>
      </c>
      <c r="O497" s="30">
        <f t="shared" si="36"/>
        <v>2.6044505670976825E-3</v>
      </c>
      <c r="P497" s="30">
        <f t="shared" si="36"/>
        <v>6.4297431236266522E-3</v>
      </c>
      <c r="Q497" s="30">
        <f t="shared" si="36"/>
        <v>1.3904960672991296E-2</v>
      </c>
      <c r="R497" s="30">
        <f t="shared" si="35"/>
        <v>-1.5723932523608042E-3</v>
      </c>
      <c r="S497" s="30">
        <f t="shared" si="35"/>
        <v>-9.4678551853144555E-4</v>
      </c>
      <c r="T497" s="30">
        <f t="shared" si="35"/>
        <v>-1.4512887077224867E-3</v>
      </c>
      <c r="U497" s="63">
        <f t="shared" si="34"/>
        <v>9.1157090994292925E-3</v>
      </c>
    </row>
    <row r="498" spans="1:21">
      <c r="A498" s="28">
        <v>44049</v>
      </c>
      <c r="B498" s="29">
        <v>2051.5</v>
      </c>
      <c r="C498" s="29">
        <v>28.38699913</v>
      </c>
      <c r="D498" s="29">
        <v>41.950000760000002</v>
      </c>
      <c r="E498" s="29">
        <v>11267.08008</v>
      </c>
      <c r="F498" s="29">
        <v>3349.1599120000001</v>
      </c>
      <c r="G498" s="29">
        <v>27386.980469999999</v>
      </c>
      <c r="H498" s="29">
        <v>11.882161139999999</v>
      </c>
      <c r="I498" s="29">
        <v>9.6194849009999999</v>
      </c>
      <c r="J498" s="29">
        <v>12.60623741</v>
      </c>
      <c r="L498" s="30">
        <f t="shared" si="36"/>
        <v>1.0043830555389599E-2</v>
      </c>
      <c r="M498" s="30">
        <f t="shared" si="36"/>
        <v>5.6181801335444481E-2</v>
      </c>
      <c r="N498" s="30">
        <f t="shared" si="36"/>
        <v>-5.6885014883442109E-3</v>
      </c>
      <c r="O498" s="30">
        <f t="shared" si="36"/>
        <v>1.2731149916372253E-2</v>
      </c>
      <c r="P498" s="30">
        <f t="shared" si="36"/>
        <v>6.4276953850315177E-3</v>
      </c>
      <c r="Q498" s="30">
        <f t="shared" si="36"/>
        <v>6.8180360216809621E-3</v>
      </c>
      <c r="R498" s="30">
        <f t="shared" si="35"/>
        <v>1.5748695666406576E-3</v>
      </c>
      <c r="S498" s="30">
        <f t="shared" si="35"/>
        <v>9.4768277085499619E-4</v>
      </c>
      <c r="T498" s="30">
        <f t="shared" si="35"/>
        <v>1.4533980078390574E-3</v>
      </c>
      <c r="U498" s="63">
        <f t="shared" si="34"/>
        <v>1.2613291923361457E-2</v>
      </c>
    </row>
    <row r="499" spans="1:21">
      <c r="A499" s="28">
        <v>44050</v>
      </c>
      <c r="B499" s="29">
        <v>2010.099976</v>
      </c>
      <c r="C499" s="29">
        <v>27.533000950000002</v>
      </c>
      <c r="D499" s="29">
        <v>41.22000122</v>
      </c>
      <c r="E499" s="29">
        <v>11139.389649999999</v>
      </c>
      <c r="F499" s="29">
        <v>3351.280029</v>
      </c>
      <c r="G499" s="29">
        <v>27433.480469999999</v>
      </c>
      <c r="H499" s="29">
        <v>11.872817039999999</v>
      </c>
      <c r="I499" s="29">
        <v>9.6194849009999999</v>
      </c>
      <c r="J499" s="29">
        <v>12.587942119999999</v>
      </c>
      <c r="L499" s="30">
        <f t="shared" si="36"/>
        <v>-2.0180367535949317E-2</v>
      </c>
      <c r="M499" s="30">
        <f t="shared" si="36"/>
        <v>-3.0084130276999743E-2</v>
      </c>
      <c r="N499" s="30">
        <f t="shared" si="36"/>
        <v>-1.7401657372461021E-2</v>
      </c>
      <c r="O499" s="30">
        <f t="shared" si="36"/>
        <v>-1.1333054269016984E-2</v>
      </c>
      <c r="P499" s="30">
        <f t="shared" si="36"/>
        <v>6.3302949268062569E-4</v>
      </c>
      <c r="Q499" s="30">
        <f t="shared" si="36"/>
        <v>1.697887069037618E-3</v>
      </c>
      <c r="R499" s="30">
        <f t="shared" si="35"/>
        <v>-7.8639734724217369E-4</v>
      </c>
      <c r="S499" s="30">
        <f t="shared" si="35"/>
        <v>0</v>
      </c>
      <c r="T499" s="30">
        <f t="shared" si="35"/>
        <v>-1.4512887077224867E-3</v>
      </c>
      <c r="U499" s="63">
        <f t="shared" si="34"/>
        <v>-8.2236496468908477E-3</v>
      </c>
    </row>
    <row r="500" spans="1:21">
      <c r="A500" s="28">
        <v>44053</v>
      </c>
      <c r="B500" s="29">
        <v>2024.400024</v>
      </c>
      <c r="C500" s="29">
        <v>29.249000550000002</v>
      </c>
      <c r="D500" s="29">
        <v>41.939998629999998</v>
      </c>
      <c r="E500" s="29">
        <v>11085.16992</v>
      </c>
      <c r="F500" s="29">
        <v>3360.469971</v>
      </c>
      <c r="G500" s="29">
        <v>27791.439450000002</v>
      </c>
      <c r="H500" s="29">
        <v>11.86347771</v>
      </c>
      <c r="I500" s="29">
        <v>9.6103773120000007</v>
      </c>
      <c r="J500" s="29">
        <v>12.57879543</v>
      </c>
      <c r="L500" s="30">
        <f t="shared" si="36"/>
        <v>7.1140978910195773E-3</v>
      </c>
      <c r="M500" s="30">
        <f t="shared" si="36"/>
        <v>6.2325193069809659E-2</v>
      </c>
      <c r="N500" s="30">
        <f t="shared" si="36"/>
        <v>1.7467185557739739E-2</v>
      </c>
      <c r="O500" s="30">
        <f t="shared" si="36"/>
        <v>-4.8673878644687196E-3</v>
      </c>
      <c r="P500" s="30">
        <f t="shared" si="36"/>
        <v>2.7422184718899345E-3</v>
      </c>
      <c r="Q500" s="30">
        <f t="shared" si="36"/>
        <v>1.3048252495393431E-2</v>
      </c>
      <c r="R500" s="30">
        <f t="shared" si="35"/>
        <v>-7.8661449667205563E-4</v>
      </c>
      <c r="S500" s="30">
        <f t="shared" si="35"/>
        <v>-9.4678551853144555E-4</v>
      </c>
      <c r="T500" s="30">
        <f t="shared" si="35"/>
        <v>-7.2662313766658215E-4</v>
      </c>
      <c r="U500" s="63">
        <f t="shared" si="34"/>
        <v>1.1586693019926105E-2</v>
      </c>
    </row>
    <row r="501" spans="1:21">
      <c r="A501" s="28">
        <v>44054</v>
      </c>
      <c r="B501" s="29">
        <v>1932.599976</v>
      </c>
      <c r="C501" s="29">
        <v>26.03700066</v>
      </c>
      <c r="D501" s="29">
        <v>41.61000061</v>
      </c>
      <c r="E501" s="29">
        <v>10876.08008</v>
      </c>
      <c r="F501" s="29">
        <v>3333.6899410000001</v>
      </c>
      <c r="G501" s="29">
        <v>27686.910159999999</v>
      </c>
      <c r="H501" s="29">
        <v>11.826113700000001</v>
      </c>
      <c r="I501" s="29">
        <v>9.5739374159999997</v>
      </c>
      <c r="J501" s="29">
        <v>12.551348689999999</v>
      </c>
      <c r="L501" s="30">
        <f t="shared" si="36"/>
        <v>-4.5346792586285822E-2</v>
      </c>
      <c r="M501" s="30">
        <f t="shared" si="36"/>
        <v>-0.10981571436976845</v>
      </c>
      <c r="N501" s="30">
        <f t="shared" si="36"/>
        <v>-7.8683364515884646E-3</v>
      </c>
      <c r="O501" s="30">
        <f t="shared" ref="O501:T563" si="37">(E501/E500)-1</f>
        <v>-1.8862123134689934E-2</v>
      </c>
      <c r="P501" s="30">
        <f t="shared" si="37"/>
        <v>-7.9691323627661959E-3</v>
      </c>
      <c r="Q501" s="30">
        <f t="shared" si="37"/>
        <v>-3.7612046035997437E-3</v>
      </c>
      <c r="R501" s="30">
        <f t="shared" si="35"/>
        <v>-3.1494989001836782E-3</v>
      </c>
      <c r="S501" s="30">
        <f t="shared" si="35"/>
        <v>-3.7917237603668497E-3</v>
      </c>
      <c r="T501" s="30">
        <f t="shared" si="35"/>
        <v>-2.1819847657702507E-3</v>
      </c>
      <c r="U501" s="63">
        <f t="shared" si="34"/>
        <v>-2.532103470946977E-2</v>
      </c>
    </row>
    <row r="502" spans="1:21">
      <c r="A502" s="28">
        <v>44055</v>
      </c>
      <c r="B502" s="29">
        <v>1934.900024</v>
      </c>
      <c r="C502" s="29">
        <v>25.954999919999999</v>
      </c>
      <c r="D502" s="29">
        <v>42.66999817</v>
      </c>
      <c r="E502" s="29">
        <v>11157.719730000001</v>
      </c>
      <c r="F502" s="29">
        <v>3380.3500979999999</v>
      </c>
      <c r="G502" s="29">
        <v>27976.839840000001</v>
      </c>
      <c r="H502" s="29">
        <v>11.79808807</v>
      </c>
      <c r="I502" s="29">
        <v>9.5739374159999997</v>
      </c>
      <c r="J502" s="29">
        <v>12.52390289</v>
      </c>
      <c r="L502" s="30">
        <f t="shared" ref="L502:Q556" si="38">(B502/B501)-1</f>
        <v>1.1901314439424215E-3</v>
      </c>
      <c r="M502" s="30">
        <f t="shared" si="38"/>
        <v>-3.1493927073550365E-3</v>
      </c>
      <c r="N502" s="30">
        <f t="shared" si="38"/>
        <v>2.547458650469836E-2</v>
      </c>
      <c r="O502" s="30">
        <f t="shared" si="37"/>
        <v>2.5895326986228095E-2</v>
      </c>
      <c r="P502" s="30">
        <f t="shared" si="37"/>
        <v>1.3996549716919215E-2</v>
      </c>
      <c r="Q502" s="30">
        <f t="shared" si="37"/>
        <v>1.0471723941910538E-2</v>
      </c>
      <c r="R502" s="30">
        <f t="shared" si="35"/>
        <v>-2.3698089423915825E-3</v>
      </c>
      <c r="S502" s="30">
        <f t="shared" si="35"/>
        <v>0</v>
      </c>
      <c r="T502" s="30">
        <f t="shared" si="35"/>
        <v>-2.1866813422103393E-3</v>
      </c>
      <c r="U502" s="63">
        <f t="shared" si="34"/>
        <v>8.8418239905411131E-3</v>
      </c>
    </row>
    <row r="503" spans="1:21">
      <c r="A503" s="28">
        <v>44056</v>
      </c>
      <c r="B503" s="29">
        <v>1956.6999510000001</v>
      </c>
      <c r="C503" s="29">
        <v>27.694000240000001</v>
      </c>
      <c r="D503" s="29">
        <v>42.240001679999999</v>
      </c>
      <c r="E503" s="29">
        <v>11178.37012</v>
      </c>
      <c r="F503" s="29">
        <v>3373.429932</v>
      </c>
      <c r="G503" s="29">
        <v>27896.720700000002</v>
      </c>
      <c r="H503" s="29">
        <v>11.77006817</v>
      </c>
      <c r="I503" s="29">
        <v>9.5466117859999997</v>
      </c>
      <c r="J503" s="29">
        <v>12.487310409999999</v>
      </c>
      <c r="L503" s="30">
        <f t="shared" si="38"/>
        <v>1.1266694263062371E-2</v>
      </c>
      <c r="M503" s="30">
        <f t="shared" si="38"/>
        <v>6.7000590458873077E-2</v>
      </c>
      <c r="N503" s="30">
        <f t="shared" si="38"/>
        <v>-1.0077255880979075E-2</v>
      </c>
      <c r="O503" s="30">
        <f t="shared" si="37"/>
        <v>1.850771528565609E-3</v>
      </c>
      <c r="P503" s="30">
        <f t="shared" si="37"/>
        <v>-2.0471743456673686E-3</v>
      </c>
      <c r="Q503" s="30">
        <f t="shared" si="37"/>
        <v>-2.8637666176094534E-3</v>
      </c>
      <c r="R503" s="30">
        <f t="shared" si="35"/>
        <v>-2.3749526053504777E-3</v>
      </c>
      <c r="S503" s="30">
        <f t="shared" si="35"/>
        <v>-2.8541684379859156E-3</v>
      </c>
      <c r="T503" s="30">
        <f t="shared" si="35"/>
        <v>-2.9218112214219882E-3</v>
      </c>
      <c r="U503" s="63">
        <f t="shared" si="34"/>
        <v>8.7686921910940449E-3</v>
      </c>
    </row>
    <row r="504" spans="1:21">
      <c r="A504" s="28">
        <v>44057</v>
      </c>
      <c r="B504" s="29">
        <v>1937</v>
      </c>
      <c r="C504" s="29">
        <v>26.065000529999999</v>
      </c>
      <c r="D504" s="29">
        <v>42.009998320000001</v>
      </c>
      <c r="E504" s="29">
        <v>11164.450199999999</v>
      </c>
      <c r="F504" s="29">
        <v>3372.8500979999999</v>
      </c>
      <c r="G504" s="29">
        <v>27931.019530000001</v>
      </c>
      <c r="H504" s="29">
        <v>11.76072216</v>
      </c>
      <c r="I504" s="29">
        <v>9.5374984739999995</v>
      </c>
      <c r="J504" s="29">
        <v>12.487310409999999</v>
      </c>
      <c r="L504" s="30">
        <f t="shared" si="38"/>
        <v>-1.0067946794771521E-2</v>
      </c>
      <c r="M504" s="30">
        <f t="shared" si="38"/>
        <v>-5.8821394377224889E-2</v>
      </c>
      <c r="N504" s="30">
        <f t="shared" si="38"/>
        <v>-5.445155086461595E-3</v>
      </c>
      <c r="O504" s="30">
        <f t="shared" si="37"/>
        <v>-1.2452548851549228E-3</v>
      </c>
      <c r="P504" s="30">
        <f t="shared" si="37"/>
        <v>-1.7188262738165871E-4</v>
      </c>
      <c r="Q504" s="30">
        <f t="shared" si="37"/>
        <v>1.2294932572487483E-3</v>
      </c>
      <c r="R504" s="30">
        <f t="shared" si="37"/>
        <v>-7.9404892690604356E-4</v>
      </c>
      <c r="S504" s="30">
        <f t="shared" si="37"/>
        <v>-9.5461219166415034E-4</v>
      </c>
      <c r="T504" s="30">
        <f t="shared" si="37"/>
        <v>0</v>
      </c>
      <c r="U504" s="63">
        <f t="shared" si="34"/>
        <v>-1.0198013560424447E-2</v>
      </c>
    </row>
    <row r="505" spans="1:21">
      <c r="A505" s="28">
        <v>44060</v>
      </c>
      <c r="B505" s="29">
        <v>1985</v>
      </c>
      <c r="C505" s="29">
        <v>27.64299965</v>
      </c>
      <c r="D505" s="29">
        <v>42.88999939</v>
      </c>
      <c r="E505" s="29">
        <v>11288.570309999999</v>
      </c>
      <c r="F505" s="29">
        <v>3381.98999</v>
      </c>
      <c r="G505" s="29">
        <v>27844.910159999999</v>
      </c>
      <c r="H505" s="29">
        <v>11.76072216</v>
      </c>
      <c r="I505" s="29">
        <v>9.5466117859999997</v>
      </c>
      <c r="J505" s="29">
        <v>12.496458049999999</v>
      </c>
      <c r="L505" s="30">
        <f t="shared" si="38"/>
        <v>2.4780588538977799E-2</v>
      </c>
      <c r="M505" s="30">
        <f t="shared" si="38"/>
        <v>6.0540920311272339E-2</v>
      </c>
      <c r="N505" s="30">
        <f t="shared" si="38"/>
        <v>2.0947419785566801E-2</v>
      </c>
      <c r="O505" s="30">
        <f t="shared" si="37"/>
        <v>1.111744042711571E-2</v>
      </c>
      <c r="P505" s="30">
        <f t="shared" si="37"/>
        <v>2.7098423393971949E-3</v>
      </c>
      <c r="Q505" s="30">
        <f t="shared" si="37"/>
        <v>-3.0829297121616195E-3</v>
      </c>
      <c r="R505" s="30">
        <f t="shared" si="37"/>
        <v>0</v>
      </c>
      <c r="S505" s="30">
        <f t="shared" si="37"/>
        <v>9.5552434685508558E-4</v>
      </c>
      <c r="T505" s="30">
        <f t="shared" si="37"/>
        <v>7.3255486567180839E-4</v>
      </c>
      <c r="U505" s="63">
        <f t="shared" si="34"/>
        <v>1.4370674776384273E-2</v>
      </c>
    </row>
    <row r="506" spans="1:21">
      <c r="A506" s="28">
        <v>44061</v>
      </c>
      <c r="B506" s="29">
        <v>1999.400024</v>
      </c>
      <c r="C506" s="29">
        <v>28.04899979</v>
      </c>
      <c r="D506" s="29">
        <v>42.88999939</v>
      </c>
      <c r="E506" s="29">
        <v>11399.030269999999</v>
      </c>
      <c r="F506" s="29">
        <v>3389.780029</v>
      </c>
      <c r="G506" s="29">
        <v>27778.070309999999</v>
      </c>
      <c r="H506" s="29">
        <v>11.7794075</v>
      </c>
      <c r="I506" s="29">
        <v>9.5466117859999997</v>
      </c>
      <c r="J506" s="29">
        <v>12.5147543</v>
      </c>
      <c r="L506" s="30">
        <f t="shared" si="38"/>
        <v>7.2544201511335338E-3</v>
      </c>
      <c r="M506" s="30">
        <f t="shared" si="38"/>
        <v>1.4687267848661367E-2</v>
      </c>
      <c r="N506" s="30">
        <f t="shared" si="38"/>
        <v>0</v>
      </c>
      <c r="O506" s="30">
        <f t="shared" si="37"/>
        <v>9.7851151179126905E-3</v>
      </c>
      <c r="P506" s="30">
        <f t="shared" si="37"/>
        <v>2.3033891356964986E-3</v>
      </c>
      <c r="Q506" s="30">
        <f t="shared" si="37"/>
        <v>-2.4004333149552082E-3</v>
      </c>
      <c r="R506" s="30">
        <f t="shared" si="37"/>
        <v>1.5887918909904819E-3</v>
      </c>
      <c r="S506" s="30">
        <f t="shared" si="37"/>
        <v>0</v>
      </c>
      <c r="T506" s="30">
        <f t="shared" si="37"/>
        <v>1.4641148657319469E-3</v>
      </c>
      <c r="U506" s="63">
        <f t="shared" si="34"/>
        <v>4.6103980065531087E-3</v>
      </c>
    </row>
    <row r="507" spans="1:21">
      <c r="A507" s="28">
        <v>44062</v>
      </c>
      <c r="B507" s="29">
        <v>1958.6999510000001</v>
      </c>
      <c r="C507" s="29">
        <v>27.315000529999999</v>
      </c>
      <c r="D507" s="29">
        <v>42.930000309999997</v>
      </c>
      <c r="E507" s="29">
        <v>11318.639649999999</v>
      </c>
      <c r="F507" s="29">
        <v>3374.8500979999999</v>
      </c>
      <c r="G507" s="29">
        <v>27692.880860000001</v>
      </c>
      <c r="H507" s="29">
        <v>11.76072216</v>
      </c>
      <c r="I507" s="29">
        <v>9.5466117859999997</v>
      </c>
      <c r="J507" s="29">
        <v>12.496458049999999</v>
      </c>
      <c r="L507" s="30">
        <f t="shared" si="38"/>
        <v>-2.0356143098655854E-2</v>
      </c>
      <c r="M507" s="30">
        <f t="shared" si="38"/>
        <v>-2.6168464668807401E-2</v>
      </c>
      <c r="N507" s="30">
        <f t="shared" si="38"/>
        <v>9.3263978943602943E-4</v>
      </c>
      <c r="O507" s="30">
        <f t="shared" si="37"/>
        <v>-7.052408678269062E-3</v>
      </c>
      <c r="P507" s="30">
        <f t="shared" si="37"/>
        <v>-4.4043952328094438E-3</v>
      </c>
      <c r="Q507" s="30">
        <f t="shared" si="37"/>
        <v>-3.0667879031658352E-3</v>
      </c>
      <c r="R507" s="30">
        <f t="shared" si="37"/>
        <v>-1.5862716354790862E-3</v>
      </c>
      <c r="S507" s="30">
        <f t="shared" si="37"/>
        <v>0</v>
      </c>
      <c r="T507" s="30">
        <f t="shared" si="37"/>
        <v>-1.4619743673274233E-3</v>
      </c>
      <c r="U507" s="63">
        <f t="shared" si="34"/>
        <v>-7.4958066581142244E-3</v>
      </c>
    </row>
    <row r="508" spans="1:21">
      <c r="A508" s="28">
        <v>44063</v>
      </c>
      <c r="B508" s="29">
        <v>1933.8000489999999</v>
      </c>
      <c r="C508" s="29">
        <v>27.12199974</v>
      </c>
      <c r="D508" s="29">
        <v>42.58000183</v>
      </c>
      <c r="E508" s="29">
        <v>11477.049800000001</v>
      </c>
      <c r="F508" s="29">
        <v>3385.51001</v>
      </c>
      <c r="G508" s="29">
        <v>27739.730469999999</v>
      </c>
      <c r="H508" s="29">
        <v>11.7794075</v>
      </c>
      <c r="I508" s="29">
        <v>9.5557203289999997</v>
      </c>
      <c r="J508" s="29">
        <v>12.5147543</v>
      </c>
      <c r="L508" s="30">
        <f t="shared" si="38"/>
        <v>-1.2712463686583408E-2</v>
      </c>
      <c r="M508" s="30">
        <f t="shared" si="38"/>
        <v>-7.0657435934524671E-3</v>
      </c>
      <c r="N508" s="30">
        <f t="shared" si="38"/>
        <v>-8.1527714295979159E-3</v>
      </c>
      <c r="O508" s="30">
        <f t="shared" si="37"/>
        <v>1.3995511377553393E-2</v>
      </c>
      <c r="P508" s="30">
        <f t="shared" si="37"/>
        <v>3.1586327364043765E-3</v>
      </c>
      <c r="Q508" s="30">
        <f t="shared" si="37"/>
        <v>1.6917564567169308E-3</v>
      </c>
      <c r="R508" s="30">
        <f t="shared" si="37"/>
        <v>1.5887918909904819E-3</v>
      </c>
      <c r="S508" s="30">
        <f t="shared" si="37"/>
        <v>9.541126427030644E-4</v>
      </c>
      <c r="T508" s="30">
        <f t="shared" si="37"/>
        <v>1.4641148657319469E-3</v>
      </c>
      <c r="U508" s="63">
        <f t="shared" si="34"/>
        <v>5.676658718354649E-4</v>
      </c>
    </row>
    <row r="509" spans="1:21">
      <c r="A509" s="28">
        <v>44064</v>
      </c>
      <c r="B509" s="29">
        <v>1934.599976</v>
      </c>
      <c r="C509" s="29">
        <v>26.707000730000001</v>
      </c>
      <c r="D509" s="29">
        <v>42.340000150000002</v>
      </c>
      <c r="E509" s="29">
        <v>11555.160159999999</v>
      </c>
      <c r="F509" s="29">
        <v>3397.1599120000001</v>
      </c>
      <c r="G509" s="29">
        <v>27930.33008</v>
      </c>
      <c r="H509" s="29">
        <v>11.788743970000001</v>
      </c>
      <c r="I509" s="29">
        <v>9.5557203289999997</v>
      </c>
      <c r="J509" s="29">
        <v>12.52390289</v>
      </c>
      <c r="L509" s="30">
        <f t="shared" si="38"/>
        <v>4.1365548646754569E-4</v>
      </c>
      <c r="M509" s="30">
        <f t="shared" si="38"/>
        <v>-1.5301195117554345E-2</v>
      </c>
      <c r="N509" s="30">
        <f t="shared" si="38"/>
        <v>-5.6364882500052893E-3</v>
      </c>
      <c r="O509" s="30">
        <f t="shared" si="37"/>
        <v>6.8057873200131347E-3</v>
      </c>
      <c r="P509" s="30">
        <f t="shared" si="37"/>
        <v>3.4411069427024987E-3</v>
      </c>
      <c r="Q509" s="30">
        <f t="shared" si="37"/>
        <v>6.8709971860083652E-3</v>
      </c>
      <c r="R509" s="30">
        <f t="shared" si="37"/>
        <v>7.9260947547665772E-4</v>
      </c>
      <c r="S509" s="30">
        <f t="shared" si="37"/>
        <v>0</v>
      </c>
      <c r="T509" s="30">
        <f t="shared" si="37"/>
        <v>7.3102433980665182E-4</v>
      </c>
      <c r="U509" s="63">
        <f t="shared" si="34"/>
        <v>-5.8253864628933657E-4</v>
      </c>
    </row>
    <row r="510" spans="1:21">
      <c r="A510" s="28">
        <v>44067</v>
      </c>
      <c r="B510" s="29">
        <v>1927.6999510000001</v>
      </c>
      <c r="C510" s="29">
        <v>26.58799934</v>
      </c>
      <c r="D510" s="29">
        <v>42.619998930000001</v>
      </c>
      <c r="E510" s="29">
        <v>11626.16992</v>
      </c>
      <c r="F510" s="29">
        <v>3431.280029</v>
      </c>
      <c r="G510" s="29">
        <v>28308.460940000001</v>
      </c>
      <c r="H510" s="29">
        <v>11.7794075</v>
      </c>
      <c r="I510" s="29">
        <v>9.5557203289999997</v>
      </c>
      <c r="J510" s="29">
        <v>12.52390289</v>
      </c>
      <c r="L510" s="30">
        <f t="shared" si="38"/>
        <v>-3.5666417272817164E-3</v>
      </c>
      <c r="M510" s="30">
        <f t="shared" si="38"/>
        <v>-4.4558125864850862E-3</v>
      </c>
      <c r="N510" s="30">
        <f t="shared" si="38"/>
        <v>6.6131029524807428E-3</v>
      </c>
      <c r="O510" s="30">
        <f t="shared" si="37"/>
        <v>6.145285657382038E-3</v>
      </c>
      <c r="P510" s="30">
        <f t="shared" si="37"/>
        <v>1.0043718248138767E-2</v>
      </c>
      <c r="Q510" s="30">
        <f t="shared" si="37"/>
        <v>1.3538359873189298E-2</v>
      </c>
      <c r="R510" s="30">
        <f t="shared" si="37"/>
        <v>-7.9198174324257575E-4</v>
      </c>
      <c r="S510" s="30">
        <f t="shared" si="37"/>
        <v>0</v>
      </c>
      <c r="T510" s="30">
        <f t="shared" si="37"/>
        <v>0</v>
      </c>
      <c r="U510" s="63">
        <f t="shared" si="34"/>
        <v>3.8077432540676451E-3</v>
      </c>
    </row>
    <row r="511" spans="1:21">
      <c r="A511" s="28">
        <v>44068</v>
      </c>
      <c r="B511" s="29">
        <v>1911.8000489999999</v>
      </c>
      <c r="C511" s="29">
        <v>26.253999709999999</v>
      </c>
      <c r="D511" s="29">
        <v>43.349998470000003</v>
      </c>
      <c r="E511" s="29">
        <v>11721.809569999999</v>
      </c>
      <c r="F511" s="29">
        <v>3443.6201169999999</v>
      </c>
      <c r="G511" s="29">
        <v>28248.439450000002</v>
      </c>
      <c r="H511" s="29">
        <v>11.76072216</v>
      </c>
      <c r="I511" s="29">
        <v>9.5466117859999997</v>
      </c>
      <c r="J511" s="29">
        <v>12.496458049999999</v>
      </c>
      <c r="L511" s="30">
        <f t="shared" si="38"/>
        <v>-8.24812076783632E-3</v>
      </c>
      <c r="M511" s="30">
        <f t="shared" si="38"/>
        <v>-1.2562044467088529E-2</v>
      </c>
      <c r="N511" s="30">
        <f t="shared" si="38"/>
        <v>1.7128098506031586E-2</v>
      </c>
      <c r="O511" s="30">
        <f t="shared" si="37"/>
        <v>8.2262387921472335E-3</v>
      </c>
      <c r="P511" s="30">
        <f t="shared" si="37"/>
        <v>3.5963511854777419E-3</v>
      </c>
      <c r="Q511" s="30">
        <f t="shared" si="37"/>
        <v>-2.1202668038794448E-3</v>
      </c>
      <c r="R511" s="30">
        <f t="shared" si="37"/>
        <v>-1.5862716354790862E-3</v>
      </c>
      <c r="S511" s="30">
        <f t="shared" si="37"/>
        <v>-9.5320317949831868E-4</v>
      </c>
      <c r="T511" s="30">
        <f t="shared" si="37"/>
        <v>-2.1913967427770187E-3</v>
      </c>
      <c r="U511" s="63">
        <f t="shared" si="34"/>
        <v>5.5235575062909667E-4</v>
      </c>
    </row>
    <row r="512" spans="1:21">
      <c r="A512" s="28">
        <v>44069</v>
      </c>
      <c r="B512" s="29">
        <v>1940.6999510000001</v>
      </c>
      <c r="C512" s="29">
        <v>27.43000031</v>
      </c>
      <c r="D512" s="29">
        <v>43.38999939</v>
      </c>
      <c r="E512" s="29">
        <v>11971.940430000001</v>
      </c>
      <c r="F512" s="29">
        <v>3478.7299800000001</v>
      </c>
      <c r="G512" s="29">
        <v>28331.91992</v>
      </c>
      <c r="H512" s="29">
        <v>11.751380920000001</v>
      </c>
      <c r="I512" s="29">
        <v>9.5374984739999995</v>
      </c>
      <c r="J512" s="29">
        <v>12.496458049999999</v>
      </c>
      <c r="L512" s="30">
        <f t="shared" si="38"/>
        <v>1.5116592352383718E-2</v>
      </c>
      <c r="M512" s="30">
        <f t="shared" si="38"/>
        <v>4.4793197721872069E-2</v>
      </c>
      <c r="N512" s="30">
        <f t="shared" si="38"/>
        <v>9.2274328516239734E-4</v>
      </c>
      <c r="O512" s="30">
        <f t="shared" si="37"/>
        <v>2.133892881523769E-2</v>
      </c>
      <c r="P512" s="30">
        <f t="shared" si="37"/>
        <v>1.0195626058366436E-2</v>
      </c>
      <c r="Q512" s="30">
        <f t="shared" si="37"/>
        <v>2.9552241336290308E-3</v>
      </c>
      <c r="R512" s="30">
        <f t="shared" si="37"/>
        <v>-7.9427435432244398E-4</v>
      </c>
      <c r="S512" s="30">
        <f t="shared" si="37"/>
        <v>-9.5461219166415034E-4</v>
      </c>
      <c r="T512" s="30">
        <f t="shared" si="37"/>
        <v>0</v>
      </c>
      <c r="U512" s="63">
        <f t="shared" si="34"/>
        <v>1.3262478987182903E-2</v>
      </c>
    </row>
    <row r="513" spans="1:21">
      <c r="A513" s="28">
        <v>44070</v>
      </c>
      <c r="B513" s="29">
        <v>1921.599976</v>
      </c>
      <c r="C513" s="29">
        <v>27.010000229999999</v>
      </c>
      <c r="D513" s="29">
        <v>43.040000919999997</v>
      </c>
      <c r="E513" s="29">
        <v>11926.160159999999</v>
      </c>
      <c r="F513" s="29">
        <v>3484.5500489999999</v>
      </c>
      <c r="G513" s="29">
        <v>28492.269530000001</v>
      </c>
      <c r="H513" s="29">
        <v>11.71401691</v>
      </c>
      <c r="I513" s="29">
        <v>9.5010662079999992</v>
      </c>
      <c r="J513" s="29">
        <v>12.45071697</v>
      </c>
      <c r="L513" s="30">
        <f t="shared" si="38"/>
        <v>-9.841797022851595E-3</v>
      </c>
      <c r="M513" s="30">
        <f t="shared" si="38"/>
        <v>-1.5311705258963637E-2</v>
      </c>
      <c r="N513" s="30">
        <f t="shared" si="38"/>
        <v>-8.0663395925436587E-3</v>
      </c>
      <c r="O513" s="30">
        <f t="shared" si="37"/>
        <v>-3.8239640656148044E-3</v>
      </c>
      <c r="P513" s="30">
        <f t="shared" si="37"/>
        <v>1.6730441952841346E-3</v>
      </c>
      <c r="Q513" s="30">
        <f t="shared" si="37"/>
        <v>5.6596803341522062E-3</v>
      </c>
      <c r="R513" s="30">
        <f t="shared" si="37"/>
        <v>-3.179542068661112E-3</v>
      </c>
      <c r="S513" s="30">
        <f t="shared" si="37"/>
        <v>-3.8198974394929586E-3</v>
      </c>
      <c r="T513" s="30">
        <f t="shared" si="37"/>
        <v>-3.66032357464674E-3</v>
      </c>
      <c r="U513" s="63">
        <f t="shared" si="34"/>
        <v>-4.2069514018755333E-3</v>
      </c>
    </row>
    <row r="514" spans="1:21">
      <c r="A514" s="28">
        <v>44071</v>
      </c>
      <c r="B514" s="29">
        <v>1964.599976</v>
      </c>
      <c r="C514" s="29">
        <v>27.61000061</v>
      </c>
      <c r="D514" s="29">
        <v>42.97000122</v>
      </c>
      <c r="E514" s="29">
        <v>11995.849609999999</v>
      </c>
      <c r="F514" s="29">
        <v>3508.01001</v>
      </c>
      <c r="G514" s="29">
        <v>28653.869139999999</v>
      </c>
      <c r="H514" s="29">
        <v>11.723361969999999</v>
      </c>
      <c r="I514" s="29">
        <v>9.5101718900000005</v>
      </c>
      <c r="J514" s="29">
        <v>12.469016079999999</v>
      </c>
      <c r="L514" s="30">
        <f t="shared" si="38"/>
        <v>2.2377185958083023E-2</v>
      </c>
      <c r="M514" s="30">
        <f t="shared" si="38"/>
        <v>2.2214008696437526E-2</v>
      </c>
      <c r="N514" s="30">
        <f t="shared" si="38"/>
        <v>-1.6263870470195618E-3</v>
      </c>
      <c r="O514" s="30">
        <f t="shared" si="37"/>
        <v>5.8434105416205195E-3</v>
      </c>
      <c r="P514" s="30">
        <f t="shared" si="37"/>
        <v>6.7325653728902424E-3</v>
      </c>
      <c r="Q514" s="30">
        <f t="shared" si="37"/>
        <v>5.6717001722115246E-3</v>
      </c>
      <c r="R514" s="30">
        <f t="shared" si="37"/>
        <v>7.9776733052372428E-4</v>
      </c>
      <c r="S514" s="30">
        <f t="shared" si="37"/>
        <v>9.583852802050874E-4</v>
      </c>
      <c r="T514" s="30">
        <f t="shared" si="37"/>
        <v>1.4697233937683851E-3</v>
      </c>
      <c r="U514" s="63">
        <f t="shared" si="34"/>
        <v>7.710368350212703E-3</v>
      </c>
    </row>
    <row r="515" spans="1:21">
      <c r="A515" s="28">
        <v>44074</v>
      </c>
      <c r="B515" s="29">
        <v>1967.599976</v>
      </c>
      <c r="C515" s="29">
        <v>28.437000269999999</v>
      </c>
      <c r="D515" s="29">
        <v>42.61000061</v>
      </c>
      <c r="E515" s="29">
        <v>12110.700199999999</v>
      </c>
      <c r="F515" s="29">
        <v>3500.3100589999999</v>
      </c>
      <c r="G515" s="29">
        <v>28430.050780000001</v>
      </c>
      <c r="H515" s="29">
        <v>11.757967949999999</v>
      </c>
      <c r="I515" s="29">
        <v>9.5238561629999996</v>
      </c>
      <c r="J515" s="29">
        <v>12.491928100000001</v>
      </c>
      <c r="L515" s="30">
        <f t="shared" si="38"/>
        <v>1.5270284213828589E-3</v>
      </c>
      <c r="M515" s="30">
        <f t="shared" si="38"/>
        <v>2.9952902634144518E-2</v>
      </c>
      <c r="N515" s="30">
        <f t="shared" si="38"/>
        <v>-8.3779520544309261E-3</v>
      </c>
      <c r="O515" s="30">
        <f t="shared" si="37"/>
        <v>9.5741938865470111E-3</v>
      </c>
      <c r="P515" s="30">
        <f t="shared" si="37"/>
        <v>-2.1949626648870568E-3</v>
      </c>
      <c r="Q515" s="30">
        <f t="shared" si="37"/>
        <v>-7.811104284257131E-3</v>
      </c>
      <c r="R515" s="30">
        <f t="shared" si="37"/>
        <v>2.9518818994549445E-3</v>
      </c>
      <c r="S515" s="30">
        <f t="shared" si="37"/>
        <v>1.4389091131348231E-3</v>
      </c>
      <c r="T515" s="30">
        <f t="shared" si="37"/>
        <v>1.8375162765851272E-3</v>
      </c>
      <c r="U515" s="63">
        <f t="shared" si="34"/>
        <v>4.663491030231298E-3</v>
      </c>
    </row>
    <row r="516" spans="1:21">
      <c r="A516" s="28">
        <v>44075</v>
      </c>
      <c r="B516" s="29">
        <v>1968.1999510000001</v>
      </c>
      <c r="C516" s="29">
        <v>28.486000059999999</v>
      </c>
      <c r="D516" s="29">
        <v>42.759998320000001</v>
      </c>
      <c r="E516" s="29">
        <v>12292.860350000001</v>
      </c>
      <c r="F516" s="29">
        <v>3526.6499020000001</v>
      </c>
      <c r="G516" s="29">
        <v>28645.660159999999</v>
      </c>
      <c r="H516" s="29">
        <v>11.78603268</v>
      </c>
      <c r="I516" s="29">
        <v>9.5603456500000004</v>
      </c>
      <c r="J516" s="29">
        <v>12.52858734</v>
      </c>
      <c r="L516" s="30">
        <f t="shared" si="38"/>
        <v>3.0492732634601616E-4</v>
      </c>
      <c r="M516" s="30">
        <f t="shared" si="38"/>
        <v>1.7230998183621615E-3</v>
      </c>
      <c r="N516" s="30">
        <f t="shared" si="38"/>
        <v>3.5202466053192438E-3</v>
      </c>
      <c r="O516" s="30">
        <f t="shared" si="37"/>
        <v>1.50412566566549E-2</v>
      </c>
      <c r="P516" s="30">
        <f t="shared" si="37"/>
        <v>7.5250028014732795E-3</v>
      </c>
      <c r="Q516" s="30">
        <f t="shared" si="37"/>
        <v>7.5838549029842994E-3</v>
      </c>
      <c r="R516" s="30">
        <f t="shared" si="37"/>
        <v>2.3868690677968374E-3</v>
      </c>
      <c r="S516" s="30">
        <f t="shared" si="37"/>
        <v>3.8313773723044342E-3</v>
      </c>
      <c r="T516" s="30">
        <f t="shared" si="37"/>
        <v>2.9346342459335428E-3</v>
      </c>
      <c r="U516" s="63">
        <f t="shared" ref="U516:U579" si="39">SUMPRODUCT($L$2:$T$2,L516:T516)</f>
        <v>5.6906531581783102E-3</v>
      </c>
    </row>
    <row r="517" spans="1:21">
      <c r="A517" s="28">
        <v>44076</v>
      </c>
      <c r="B517" s="29">
        <v>1934.400024</v>
      </c>
      <c r="C517" s="29">
        <v>27.249000550000002</v>
      </c>
      <c r="D517" s="29">
        <v>41.509998320000001</v>
      </c>
      <c r="E517" s="29">
        <v>12420.54004</v>
      </c>
      <c r="F517" s="29">
        <v>3580.8400879999999</v>
      </c>
      <c r="G517" s="29">
        <v>29100.5</v>
      </c>
      <c r="H517" s="29">
        <v>11.81408978</v>
      </c>
      <c r="I517" s="29">
        <v>9.5877151489999992</v>
      </c>
      <c r="J517" s="29">
        <v>12.55608082</v>
      </c>
      <c r="L517" s="30">
        <f t="shared" si="38"/>
        <v>-1.7173014856964652E-2</v>
      </c>
      <c r="M517" s="30">
        <f t="shared" si="38"/>
        <v>-4.3424822979516553E-2</v>
      </c>
      <c r="N517" s="30">
        <f t="shared" si="38"/>
        <v>-2.9232929118599649E-2</v>
      </c>
      <c r="O517" s="30">
        <f t="shared" si="37"/>
        <v>1.038649153774851E-2</v>
      </c>
      <c r="P517" s="30">
        <f t="shared" si="37"/>
        <v>1.5365910284791173E-2</v>
      </c>
      <c r="Q517" s="30">
        <f t="shared" si="37"/>
        <v>1.5878141312139382E-2</v>
      </c>
      <c r="R517" s="30">
        <f t="shared" si="37"/>
        <v>2.3805381133561454E-3</v>
      </c>
      <c r="S517" s="30">
        <f t="shared" si="37"/>
        <v>2.8628147979146146E-3</v>
      </c>
      <c r="T517" s="30">
        <f t="shared" si="37"/>
        <v>2.1944596987579779E-3</v>
      </c>
      <c r="U517" s="63">
        <f t="shared" si="39"/>
        <v>-2.654836456328212E-3</v>
      </c>
    </row>
    <row r="518" spans="1:21">
      <c r="A518" s="28">
        <v>44077</v>
      </c>
      <c r="B518" s="29">
        <v>1927.599976</v>
      </c>
      <c r="C518" s="29">
        <v>26.73500061</v>
      </c>
      <c r="D518" s="29">
        <v>41.369998930000001</v>
      </c>
      <c r="E518" s="29">
        <v>11771.37012</v>
      </c>
      <c r="F518" s="29">
        <v>3455.0600589999999</v>
      </c>
      <c r="G518" s="29">
        <v>28292.730469999999</v>
      </c>
      <c r="H518" s="29">
        <v>11.81408978</v>
      </c>
      <c r="I518" s="29">
        <v>9.5877151489999992</v>
      </c>
      <c r="J518" s="29">
        <v>12.55608082</v>
      </c>
      <c r="L518" s="30">
        <f t="shared" si="38"/>
        <v>-3.5153266726800636E-3</v>
      </c>
      <c r="M518" s="30">
        <f t="shared" si="38"/>
        <v>-1.8863074961477877E-2</v>
      </c>
      <c r="N518" s="30">
        <f t="shared" si="38"/>
        <v>-3.3726667228638485E-3</v>
      </c>
      <c r="O518" s="30">
        <f t="shared" si="37"/>
        <v>-5.2265836904785701E-2</v>
      </c>
      <c r="P518" s="30">
        <f t="shared" si="37"/>
        <v>-3.5125843631361842E-2</v>
      </c>
      <c r="Q518" s="30">
        <f t="shared" si="37"/>
        <v>-2.7757926152471635E-2</v>
      </c>
      <c r="R518" s="30">
        <f t="shared" si="37"/>
        <v>0</v>
      </c>
      <c r="S518" s="30">
        <f t="shared" si="37"/>
        <v>0</v>
      </c>
      <c r="T518" s="30">
        <f t="shared" si="37"/>
        <v>0</v>
      </c>
      <c r="U518" s="63">
        <f t="shared" si="39"/>
        <v>-2.1032990042247235E-2</v>
      </c>
    </row>
    <row r="519" spans="1:21">
      <c r="A519" s="28">
        <v>44078</v>
      </c>
      <c r="B519" s="29">
        <v>1923.900024</v>
      </c>
      <c r="C519" s="29">
        <v>26.57600021</v>
      </c>
      <c r="D519" s="29">
        <v>39.770000459999999</v>
      </c>
      <c r="E519" s="29">
        <v>11622.12988</v>
      </c>
      <c r="F519" s="29">
        <v>3426.959961</v>
      </c>
      <c r="G519" s="29">
        <v>28133.310549999998</v>
      </c>
      <c r="H519" s="29">
        <v>11.757967949999999</v>
      </c>
      <c r="I519" s="29">
        <v>9.5420989990000002</v>
      </c>
      <c r="J519" s="29">
        <v>12.50109482</v>
      </c>
      <c r="L519" s="30">
        <f t="shared" si="38"/>
        <v>-1.9194604928756132E-3</v>
      </c>
      <c r="M519" s="30">
        <f t="shared" si="38"/>
        <v>-5.9472749718407769E-3</v>
      </c>
      <c r="N519" s="30">
        <f t="shared" si="38"/>
        <v>-3.8675332641590732E-2</v>
      </c>
      <c r="O519" s="30">
        <f t="shared" si="37"/>
        <v>-1.2678238682380272E-2</v>
      </c>
      <c r="P519" s="30">
        <f t="shared" si="37"/>
        <v>-8.1330273628102967E-3</v>
      </c>
      <c r="Q519" s="30">
        <f t="shared" si="37"/>
        <v>-5.6346601176948674E-3</v>
      </c>
      <c r="R519" s="30">
        <f t="shared" si="37"/>
        <v>-4.7504150590601535E-3</v>
      </c>
      <c r="S519" s="30">
        <f t="shared" si="37"/>
        <v>-4.7577706774858397E-3</v>
      </c>
      <c r="T519" s="30">
        <f t="shared" si="37"/>
        <v>-4.3792327230336436E-3</v>
      </c>
      <c r="U519" s="63">
        <f t="shared" si="39"/>
        <v>-9.2995548064018895E-3</v>
      </c>
    </row>
    <row r="520" spans="1:21">
      <c r="A520" s="28">
        <v>44082</v>
      </c>
      <c r="B520" s="29">
        <v>1933</v>
      </c>
      <c r="C520" s="29">
        <v>26.864000319999999</v>
      </c>
      <c r="D520" s="29">
        <v>36.759998320000001</v>
      </c>
      <c r="E520" s="29">
        <v>11068.259770000001</v>
      </c>
      <c r="F520" s="29">
        <v>3331.8400879999999</v>
      </c>
      <c r="G520" s="29">
        <v>27500.890630000002</v>
      </c>
      <c r="H520" s="29">
        <v>11.76732063</v>
      </c>
      <c r="I520" s="29">
        <v>9.5512218480000008</v>
      </c>
      <c r="J520" s="29">
        <v>12.51025486</v>
      </c>
      <c r="L520" s="30">
        <f t="shared" si="38"/>
        <v>4.7299630367902967E-3</v>
      </c>
      <c r="M520" s="30">
        <f t="shared" si="38"/>
        <v>1.0836849327372722E-2</v>
      </c>
      <c r="N520" s="30">
        <f t="shared" si="38"/>
        <v>-7.5685242775579198E-2</v>
      </c>
      <c r="O520" s="30">
        <f t="shared" si="37"/>
        <v>-4.7656506657452691E-2</v>
      </c>
      <c r="P520" s="30">
        <f t="shared" si="37"/>
        <v>-2.7756342088176567E-2</v>
      </c>
      <c r="Q520" s="30">
        <f t="shared" si="37"/>
        <v>-2.2479399247238518E-2</v>
      </c>
      <c r="R520" s="30">
        <f t="shared" si="37"/>
        <v>7.954333639768052E-4</v>
      </c>
      <c r="S520" s="30">
        <f t="shared" si="37"/>
        <v>9.5606312625307055E-4</v>
      </c>
      <c r="T520" s="30">
        <f t="shared" si="37"/>
        <v>7.3273902261306034E-4</v>
      </c>
      <c r="U520" s="63">
        <f t="shared" si="39"/>
        <v>-1.8353053804439835E-2</v>
      </c>
    </row>
    <row r="521" spans="1:21">
      <c r="A521" s="28">
        <v>44083</v>
      </c>
      <c r="B521" s="29">
        <v>1944.6999510000001</v>
      </c>
      <c r="C521" s="29">
        <v>26.954999919999999</v>
      </c>
      <c r="D521" s="29">
        <v>38.049999239999998</v>
      </c>
      <c r="E521" s="29">
        <v>11395.849609999999</v>
      </c>
      <c r="F521" s="29">
        <v>3398.959961</v>
      </c>
      <c r="G521" s="29">
        <v>27940.470700000002</v>
      </c>
      <c r="H521" s="29">
        <v>11.757967949999999</v>
      </c>
      <c r="I521" s="29">
        <v>9.5420989990000002</v>
      </c>
      <c r="J521" s="29">
        <v>12.50109482</v>
      </c>
      <c r="L521" s="30">
        <f t="shared" si="38"/>
        <v>6.0527423693741422E-3</v>
      </c>
      <c r="M521" s="30">
        <f t="shared" si="38"/>
        <v>3.3874180656650044E-3</v>
      </c>
      <c r="N521" s="30">
        <f t="shared" si="38"/>
        <v>3.5092518469951761E-2</v>
      </c>
      <c r="O521" s="30">
        <f t="shared" si="37"/>
        <v>2.9597230893325666E-2</v>
      </c>
      <c r="P521" s="30">
        <f t="shared" si="37"/>
        <v>2.0144986322044645E-2</v>
      </c>
      <c r="Q521" s="30">
        <f t="shared" si="37"/>
        <v>1.5984212144768639E-2</v>
      </c>
      <c r="R521" s="30">
        <f t="shared" si="37"/>
        <v>-7.9480115262231532E-4</v>
      </c>
      <c r="S521" s="30">
        <f t="shared" si="37"/>
        <v>-9.5514994261292063E-4</v>
      </c>
      <c r="T521" s="30">
        <f t="shared" si="37"/>
        <v>-7.3220250926198105E-4</v>
      </c>
      <c r="U521" s="63">
        <f t="shared" si="39"/>
        <v>1.3407846257173509E-2</v>
      </c>
    </row>
    <row r="522" spans="1:21">
      <c r="A522" s="28">
        <v>44084</v>
      </c>
      <c r="B522" s="29">
        <v>1954.1999510000001</v>
      </c>
      <c r="C522" s="29">
        <v>27.163000109999999</v>
      </c>
      <c r="D522" s="29">
        <v>37.299999239999998</v>
      </c>
      <c r="E522" s="29">
        <v>11154.12012</v>
      </c>
      <c r="F522" s="29">
        <v>3339.1899410000001</v>
      </c>
      <c r="G522" s="29">
        <v>27534.58008</v>
      </c>
      <c r="H522" s="29">
        <v>11.776674270000001</v>
      </c>
      <c r="I522" s="29">
        <v>9.5512218480000008</v>
      </c>
      <c r="J522" s="29">
        <v>12.51025486</v>
      </c>
      <c r="L522" s="30">
        <f t="shared" si="38"/>
        <v>4.8850723707349886E-3</v>
      </c>
      <c r="M522" s="30">
        <f t="shared" si="38"/>
        <v>7.7165717164653369E-3</v>
      </c>
      <c r="N522" s="30">
        <f t="shared" si="38"/>
        <v>-1.9710907095408348E-2</v>
      </c>
      <c r="O522" s="30">
        <f t="shared" si="37"/>
        <v>-2.1212063889284649E-2</v>
      </c>
      <c r="P522" s="30">
        <f t="shared" si="37"/>
        <v>-1.7584796727765806E-2</v>
      </c>
      <c r="Q522" s="30">
        <f t="shared" si="37"/>
        <v>-1.4526978602404261E-2</v>
      </c>
      <c r="R522" s="30">
        <f t="shared" si="37"/>
        <v>1.5909483747147402E-3</v>
      </c>
      <c r="S522" s="30">
        <f t="shared" si="37"/>
        <v>9.5606312625307055E-4</v>
      </c>
      <c r="T522" s="30">
        <f t="shared" si="37"/>
        <v>7.3273902261306034E-4</v>
      </c>
      <c r="U522" s="63">
        <f t="shared" si="39"/>
        <v>-8.1238295212362078E-3</v>
      </c>
    </row>
    <row r="523" spans="1:21">
      <c r="A523" s="28">
        <v>44085</v>
      </c>
      <c r="B523" s="29">
        <v>1937.8000489999999</v>
      </c>
      <c r="C523" s="29">
        <v>26.739000319999999</v>
      </c>
      <c r="D523" s="29">
        <v>37.33000183</v>
      </c>
      <c r="E523" s="29">
        <v>11087.400390000001</v>
      </c>
      <c r="F523" s="29">
        <v>3340.969971</v>
      </c>
      <c r="G523" s="29">
        <v>27665.640630000002</v>
      </c>
      <c r="H523" s="29">
        <v>11.776674270000001</v>
      </c>
      <c r="I523" s="29">
        <v>9.5603456500000004</v>
      </c>
      <c r="J523" s="29">
        <v>12.519421579999999</v>
      </c>
      <c r="L523" s="30">
        <f t="shared" si="38"/>
        <v>-8.3921310056362941E-3</v>
      </c>
      <c r="M523" s="30">
        <f t="shared" si="38"/>
        <v>-1.5609460968337818E-2</v>
      </c>
      <c r="N523" s="30">
        <f t="shared" si="38"/>
        <v>8.043589976223231E-4</v>
      </c>
      <c r="O523" s="30">
        <f t="shared" si="37"/>
        <v>-5.9816219730650655E-3</v>
      </c>
      <c r="P523" s="30">
        <f t="shared" si="37"/>
        <v>5.3307240122646427E-4</v>
      </c>
      <c r="Q523" s="30">
        <f t="shared" si="37"/>
        <v>4.7598528693451048E-3</v>
      </c>
      <c r="R523" s="30">
        <f t="shared" si="37"/>
        <v>0</v>
      </c>
      <c r="S523" s="30">
        <f t="shared" si="37"/>
        <v>9.552497204230459E-4</v>
      </c>
      <c r="T523" s="30">
        <f t="shared" si="37"/>
        <v>7.3273647120553065E-4</v>
      </c>
      <c r="U523" s="63">
        <f t="shared" si="39"/>
        <v>-2.9675304418844144E-3</v>
      </c>
    </row>
    <row r="524" spans="1:21">
      <c r="A524" s="28">
        <v>44088</v>
      </c>
      <c r="B524" s="29">
        <v>1953.099976</v>
      </c>
      <c r="C524" s="29">
        <v>27.22900009</v>
      </c>
      <c r="D524" s="29">
        <v>37.259998320000001</v>
      </c>
      <c r="E524" s="29">
        <v>11277.759770000001</v>
      </c>
      <c r="F524" s="29">
        <v>3383.540039</v>
      </c>
      <c r="G524" s="29">
        <v>27993.33008</v>
      </c>
      <c r="H524" s="29">
        <v>11.776674270000001</v>
      </c>
      <c r="I524" s="29">
        <v>9.5603456500000004</v>
      </c>
      <c r="J524" s="29">
        <v>12.519421579999999</v>
      </c>
      <c r="L524" s="30">
        <f t="shared" si="38"/>
        <v>7.8955137852823043E-3</v>
      </c>
      <c r="M524" s="30">
        <f t="shared" si="38"/>
        <v>1.8325283822727467E-2</v>
      </c>
      <c r="N524" s="30">
        <f t="shared" si="38"/>
        <v>-1.8752613599858359E-3</v>
      </c>
      <c r="O524" s="30">
        <f t="shared" si="37"/>
        <v>1.7168982205395089E-2</v>
      </c>
      <c r="P524" s="30">
        <f t="shared" si="37"/>
        <v>1.274182898065912E-2</v>
      </c>
      <c r="Q524" s="30">
        <f t="shared" si="37"/>
        <v>1.184463625413601E-2</v>
      </c>
      <c r="R524" s="30">
        <f t="shared" si="37"/>
        <v>0</v>
      </c>
      <c r="S524" s="30">
        <f t="shared" si="37"/>
        <v>0</v>
      </c>
      <c r="T524" s="30">
        <f t="shared" si="37"/>
        <v>0</v>
      </c>
      <c r="U524" s="63">
        <f t="shared" si="39"/>
        <v>9.3439899334988464E-3</v>
      </c>
    </row>
    <row r="525" spans="1:21">
      <c r="A525" s="28">
        <v>44089</v>
      </c>
      <c r="B525" s="29">
        <v>1956.3000489999999</v>
      </c>
      <c r="C525" s="29">
        <v>27.346000669999999</v>
      </c>
      <c r="D525" s="29">
        <v>38.27999878</v>
      </c>
      <c r="E525" s="29">
        <v>11438.87012</v>
      </c>
      <c r="F525" s="29">
        <v>3401.1999510000001</v>
      </c>
      <c r="G525" s="29">
        <v>27995.599610000001</v>
      </c>
      <c r="H525" s="29">
        <v>11.776674270000001</v>
      </c>
      <c r="I525" s="29">
        <v>9.5603456500000004</v>
      </c>
      <c r="J525" s="29">
        <v>12.519421579999999</v>
      </c>
      <c r="L525" s="30">
        <f t="shared" si="38"/>
        <v>1.6384583684003751E-3</v>
      </c>
      <c r="M525" s="30">
        <f t="shared" si="38"/>
        <v>4.2969106325343454E-3</v>
      </c>
      <c r="N525" s="30">
        <f t="shared" si="38"/>
        <v>2.7375214868232911E-2</v>
      </c>
      <c r="O525" s="30">
        <f t="shared" si="37"/>
        <v>1.428566960865485E-2</v>
      </c>
      <c r="P525" s="30">
        <f t="shared" si="37"/>
        <v>5.2193595454597119E-3</v>
      </c>
      <c r="Q525" s="30">
        <f t="shared" si="37"/>
        <v>8.1073955600086123E-5</v>
      </c>
      <c r="R525" s="30">
        <f t="shared" si="37"/>
        <v>0</v>
      </c>
      <c r="S525" s="30">
        <f t="shared" si="37"/>
        <v>0</v>
      </c>
      <c r="T525" s="30">
        <f t="shared" si="37"/>
        <v>0</v>
      </c>
      <c r="U525" s="63">
        <f t="shared" si="39"/>
        <v>6.0891712551621891E-3</v>
      </c>
    </row>
    <row r="526" spans="1:21">
      <c r="A526" s="28">
        <v>44090</v>
      </c>
      <c r="B526" s="29">
        <v>1960.1999510000001</v>
      </c>
      <c r="C526" s="29">
        <v>27.354999540000001</v>
      </c>
      <c r="D526" s="29">
        <v>40.159999849999998</v>
      </c>
      <c r="E526" s="29">
        <v>11247.599609999999</v>
      </c>
      <c r="F526" s="29">
        <v>3385.48999</v>
      </c>
      <c r="G526" s="29">
        <v>28032.380860000001</v>
      </c>
      <c r="H526" s="29">
        <v>11.76732063</v>
      </c>
      <c r="I526" s="29">
        <v>9.5512218480000008</v>
      </c>
      <c r="J526" s="29">
        <v>12.51025486</v>
      </c>
      <c r="L526" s="30">
        <f t="shared" si="38"/>
        <v>1.9935091255522952E-3</v>
      </c>
      <c r="M526" s="30">
        <f t="shared" si="38"/>
        <v>3.290744452395522E-4</v>
      </c>
      <c r="N526" s="30">
        <f t="shared" si="38"/>
        <v>4.911183724964574E-2</v>
      </c>
      <c r="O526" s="30">
        <f t="shared" si="38"/>
        <v>-1.6721101646707037E-2</v>
      </c>
      <c r="P526" s="30">
        <f t="shared" si="38"/>
        <v>-4.6189466148207625E-3</v>
      </c>
      <c r="Q526" s="30">
        <f t="shared" si="38"/>
        <v>1.3138225475570753E-3</v>
      </c>
      <c r="R526" s="30">
        <f t="shared" si="37"/>
        <v>-7.942513977675647E-4</v>
      </c>
      <c r="S526" s="30">
        <f t="shared" si="37"/>
        <v>-9.543380892300668E-4</v>
      </c>
      <c r="T526" s="30">
        <f t="shared" si="37"/>
        <v>-7.3219996158957468E-4</v>
      </c>
      <c r="U526" s="63">
        <f t="shared" si="39"/>
        <v>3.3078334956142811E-4</v>
      </c>
    </row>
    <row r="527" spans="1:21">
      <c r="A527" s="28">
        <v>44091</v>
      </c>
      <c r="B527" s="29">
        <v>1940</v>
      </c>
      <c r="C527" s="29">
        <v>26.98500061</v>
      </c>
      <c r="D527" s="29">
        <v>40.97000122</v>
      </c>
      <c r="E527" s="29">
        <v>11080.950199999999</v>
      </c>
      <c r="F527" s="29">
        <v>3357.01001</v>
      </c>
      <c r="G527" s="29">
        <v>27901.980469999999</v>
      </c>
      <c r="H527" s="29">
        <v>11.776674270000001</v>
      </c>
      <c r="I527" s="29">
        <v>9.5603456500000004</v>
      </c>
      <c r="J527" s="29">
        <v>12.519421579999999</v>
      </c>
      <c r="L527" s="30">
        <f t="shared" si="38"/>
        <v>-1.030504617128214E-2</v>
      </c>
      <c r="M527" s="30">
        <f t="shared" si="38"/>
        <v>-1.3525824756785987E-2</v>
      </c>
      <c r="N527" s="30">
        <f t="shared" si="38"/>
        <v>2.0169356898043E-2</v>
      </c>
      <c r="O527" s="30">
        <f t="shared" si="38"/>
        <v>-1.4816442243537509E-2</v>
      </c>
      <c r="P527" s="30">
        <f t="shared" si="38"/>
        <v>-8.4123657385264394E-3</v>
      </c>
      <c r="Q527" s="30">
        <f t="shared" si="38"/>
        <v>-4.6517771947823805E-3</v>
      </c>
      <c r="R527" s="30">
        <f t="shared" si="37"/>
        <v>7.9488273449057623E-4</v>
      </c>
      <c r="S527" s="30">
        <f t="shared" si="37"/>
        <v>9.552497204230459E-4</v>
      </c>
      <c r="T527" s="30">
        <f t="shared" si="37"/>
        <v>7.3273647120553065E-4</v>
      </c>
      <c r="U527" s="63">
        <f t="shared" si="39"/>
        <v>-5.3255464300980366E-3</v>
      </c>
    </row>
    <row r="528" spans="1:21">
      <c r="A528" s="28">
        <v>44092</v>
      </c>
      <c r="B528" s="29">
        <v>1952.099976</v>
      </c>
      <c r="C528" s="29">
        <v>27.027999879999999</v>
      </c>
      <c r="D528" s="29">
        <v>41.11000061</v>
      </c>
      <c r="E528" s="29">
        <v>10936.98047</v>
      </c>
      <c r="F528" s="29">
        <v>3319.469971</v>
      </c>
      <c r="G528" s="29">
        <v>27657.41992</v>
      </c>
      <c r="H528" s="29">
        <v>11.76732063</v>
      </c>
      <c r="I528" s="29">
        <v>9.5512218480000008</v>
      </c>
      <c r="J528" s="29">
        <v>12.51025486</v>
      </c>
      <c r="L528" s="30">
        <f t="shared" si="38"/>
        <v>6.237101030927894E-3</v>
      </c>
      <c r="M528" s="30">
        <f t="shared" si="38"/>
        <v>1.5934507699830736E-3</v>
      </c>
      <c r="N528" s="30">
        <f t="shared" si="38"/>
        <v>3.4171194979524255E-3</v>
      </c>
      <c r="O528" s="30">
        <f t="shared" si="38"/>
        <v>-1.2992543726078609E-2</v>
      </c>
      <c r="P528" s="30">
        <f t="shared" si="38"/>
        <v>-1.1182581788012014E-2</v>
      </c>
      <c r="Q528" s="30">
        <f t="shared" si="38"/>
        <v>-8.7649889319845187E-3</v>
      </c>
      <c r="R528" s="30">
        <f t="shared" si="37"/>
        <v>-7.942513977675647E-4</v>
      </c>
      <c r="S528" s="30">
        <f t="shared" si="37"/>
        <v>-9.543380892300668E-4</v>
      </c>
      <c r="T528" s="30">
        <f t="shared" si="37"/>
        <v>-7.3219996158957468E-4</v>
      </c>
      <c r="U528" s="63">
        <f t="shared" si="39"/>
        <v>-4.6000717367558177E-3</v>
      </c>
    </row>
    <row r="529" spans="1:21">
      <c r="A529" s="28">
        <v>44095</v>
      </c>
      <c r="B529" s="29">
        <v>1901.1999510000001</v>
      </c>
      <c r="C529" s="29">
        <v>24.29899979</v>
      </c>
      <c r="D529" s="29">
        <v>39.310001370000002</v>
      </c>
      <c r="E529" s="29">
        <v>10980.219730000001</v>
      </c>
      <c r="F529" s="29">
        <v>3281.0600589999999</v>
      </c>
      <c r="G529" s="29">
        <v>27147.699219999999</v>
      </c>
      <c r="H529" s="29">
        <v>11.76732063</v>
      </c>
      <c r="I529" s="29">
        <v>9.5512218480000008</v>
      </c>
      <c r="J529" s="29">
        <v>12.51025486</v>
      </c>
      <c r="L529" s="30">
        <f t="shared" si="38"/>
        <v>-2.6074497016437603E-2</v>
      </c>
      <c r="M529" s="30">
        <f t="shared" si="38"/>
        <v>-0.10096936888102426</v>
      </c>
      <c r="N529" s="30">
        <f t="shared" si="38"/>
        <v>-4.3784948024596981E-2</v>
      </c>
      <c r="O529" s="30">
        <f t="shared" si="38"/>
        <v>3.9534915618260058E-3</v>
      </c>
      <c r="P529" s="30">
        <f t="shared" si="38"/>
        <v>-1.1571097896821425E-2</v>
      </c>
      <c r="Q529" s="30">
        <f t="shared" si="38"/>
        <v>-1.8429799362138066E-2</v>
      </c>
      <c r="R529" s="30">
        <f t="shared" si="37"/>
        <v>0</v>
      </c>
      <c r="S529" s="30">
        <f t="shared" si="37"/>
        <v>0</v>
      </c>
      <c r="T529" s="30">
        <f t="shared" si="37"/>
        <v>0</v>
      </c>
      <c r="U529" s="63">
        <f t="shared" si="39"/>
        <v>-2.3723348630958856E-2</v>
      </c>
    </row>
    <row r="530" spans="1:21">
      <c r="A530" s="28">
        <v>44096</v>
      </c>
      <c r="B530" s="29">
        <v>1898.599976</v>
      </c>
      <c r="C530" s="29">
        <v>24.44199944</v>
      </c>
      <c r="D530" s="29">
        <v>39.599998470000003</v>
      </c>
      <c r="E530" s="29">
        <v>11186.37012</v>
      </c>
      <c r="F530" s="29">
        <v>3315.570068</v>
      </c>
      <c r="G530" s="29">
        <v>27288.179690000001</v>
      </c>
      <c r="H530" s="29">
        <v>11.76732063</v>
      </c>
      <c r="I530" s="29">
        <v>9.5512218480000008</v>
      </c>
      <c r="J530" s="29">
        <v>12.51025486</v>
      </c>
      <c r="L530" s="30">
        <f t="shared" si="38"/>
        <v>-1.3675442178675556E-3</v>
      </c>
      <c r="M530" s="30">
        <f t="shared" si="38"/>
        <v>5.8850014912485982E-3</v>
      </c>
      <c r="N530" s="30">
        <f t="shared" si="38"/>
        <v>7.3771836655625034E-3</v>
      </c>
      <c r="O530" s="30">
        <f t="shared" si="38"/>
        <v>1.8774705340072417E-2</v>
      </c>
      <c r="P530" s="30">
        <f t="shared" si="38"/>
        <v>1.0517944926164535E-2</v>
      </c>
      <c r="Q530" s="30">
        <f t="shared" si="38"/>
        <v>5.1746731412327662E-3</v>
      </c>
      <c r="R530" s="30">
        <f t="shared" si="37"/>
        <v>0</v>
      </c>
      <c r="S530" s="30">
        <f t="shared" si="37"/>
        <v>0</v>
      </c>
      <c r="T530" s="30">
        <f t="shared" si="37"/>
        <v>0</v>
      </c>
      <c r="U530" s="63">
        <f t="shared" si="39"/>
        <v>6.9570357497845707E-3</v>
      </c>
    </row>
    <row r="531" spans="1:21">
      <c r="A531" s="28">
        <v>44097</v>
      </c>
      <c r="B531" s="29">
        <v>1859.900024</v>
      </c>
      <c r="C531" s="29">
        <v>23.013999940000001</v>
      </c>
      <c r="D531" s="29">
        <v>39.930000309999997</v>
      </c>
      <c r="E531" s="29">
        <v>10833.33008</v>
      </c>
      <c r="F531" s="29">
        <v>3236.919922</v>
      </c>
      <c r="G531" s="29">
        <v>26763.130860000001</v>
      </c>
      <c r="H531" s="29">
        <v>11.757967949999999</v>
      </c>
      <c r="I531" s="29">
        <v>9.5420989990000002</v>
      </c>
      <c r="J531" s="29">
        <v>12.50109482</v>
      </c>
      <c r="L531" s="30">
        <f t="shared" si="38"/>
        <v>-2.0383415405668348E-2</v>
      </c>
      <c r="M531" s="30">
        <f t="shared" si="38"/>
        <v>-5.8424005102587384E-2</v>
      </c>
      <c r="N531" s="30">
        <f t="shared" si="38"/>
        <v>8.333380119951217E-3</v>
      </c>
      <c r="O531" s="30">
        <f t="shared" si="38"/>
        <v>-3.1559839001643941E-2</v>
      </c>
      <c r="P531" s="30">
        <f t="shared" si="38"/>
        <v>-2.372145494950828E-2</v>
      </c>
      <c r="Q531" s="30">
        <f t="shared" si="38"/>
        <v>-1.924088876446417E-2</v>
      </c>
      <c r="R531" s="30">
        <f t="shared" si="37"/>
        <v>-7.9480115262231532E-4</v>
      </c>
      <c r="S531" s="30">
        <f t="shared" si="37"/>
        <v>-9.5514994261292063E-4</v>
      </c>
      <c r="T531" s="30">
        <f t="shared" si="37"/>
        <v>-7.3220250926198105E-4</v>
      </c>
      <c r="U531" s="63">
        <f t="shared" si="39"/>
        <v>-2.1130561979309157E-2</v>
      </c>
    </row>
    <row r="532" spans="1:21">
      <c r="A532" s="28">
        <v>44098</v>
      </c>
      <c r="B532" s="29">
        <v>1868.3000489999999</v>
      </c>
      <c r="C532" s="29">
        <v>23.118000030000001</v>
      </c>
      <c r="D532" s="29">
        <v>40.310001370000002</v>
      </c>
      <c r="E532" s="29">
        <v>10896.469730000001</v>
      </c>
      <c r="F532" s="29">
        <v>3246.5900879999999</v>
      </c>
      <c r="G532" s="29">
        <v>26815.439450000002</v>
      </c>
      <c r="H532" s="29">
        <v>11.74861145</v>
      </c>
      <c r="I532" s="29">
        <v>9.5420989990000002</v>
      </c>
      <c r="J532" s="29">
        <v>12.491928100000001</v>
      </c>
      <c r="L532" s="30">
        <f t="shared" si="38"/>
        <v>4.5163852312526398E-3</v>
      </c>
      <c r="M532" s="30">
        <f t="shared" si="38"/>
        <v>4.518992364262564E-3</v>
      </c>
      <c r="N532" s="30">
        <f t="shared" si="38"/>
        <v>9.5166806173261342E-3</v>
      </c>
      <c r="O532" s="30">
        <f t="shared" si="38"/>
        <v>5.8282771348918683E-3</v>
      </c>
      <c r="P532" s="30">
        <f t="shared" si="38"/>
        <v>2.9874591380143478E-3</v>
      </c>
      <c r="Q532" s="30">
        <f t="shared" si="38"/>
        <v>1.954501895672367E-3</v>
      </c>
      <c r="R532" s="30">
        <f t="shared" si="37"/>
        <v>-7.9575825004685186E-4</v>
      </c>
      <c r="S532" s="30">
        <f t="shared" si="37"/>
        <v>0</v>
      </c>
      <c r="T532" s="30">
        <f t="shared" si="37"/>
        <v>-7.3327337581141627E-4</v>
      </c>
      <c r="U532" s="63">
        <f t="shared" si="39"/>
        <v>3.2093192045625726E-3</v>
      </c>
    </row>
    <row r="533" spans="1:21">
      <c r="A533" s="28">
        <v>44099</v>
      </c>
      <c r="B533" s="29">
        <v>1857.6999510000001</v>
      </c>
      <c r="C533" s="29">
        <v>23.017000199999998</v>
      </c>
      <c r="D533" s="29">
        <v>40.25</v>
      </c>
      <c r="E533" s="29">
        <v>11151.12988</v>
      </c>
      <c r="F533" s="29">
        <v>3298.459961</v>
      </c>
      <c r="G533" s="29">
        <v>27173.960940000001</v>
      </c>
      <c r="H533" s="29">
        <v>11.74861145</v>
      </c>
      <c r="I533" s="29">
        <v>9.5329790120000002</v>
      </c>
      <c r="J533" s="29">
        <v>12.491928100000001</v>
      </c>
      <c r="L533" s="30">
        <f t="shared" si="38"/>
        <v>-5.6736593277260106E-3</v>
      </c>
      <c r="M533" s="30">
        <f t="shared" si="38"/>
        <v>-4.3688826831446148E-3</v>
      </c>
      <c r="N533" s="30">
        <f t="shared" si="38"/>
        <v>-1.4884983369078952E-3</v>
      </c>
      <c r="O533" s="30">
        <f t="shared" si="38"/>
        <v>2.337088582909308E-2</v>
      </c>
      <c r="P533" s="30">
        <f t="shared" si="38"/>
        <v>1.5976723760637634E-2</v>
      </c>
      <c r="Q533" s="30">
        <f t="shared" si="38"/>
        <v>1.3369965115376914E-2</v>
      </c>
      <c r="R533" s="30">
        <f t="shared" si="37"/>
        <v>0</v>
      </c>
      <c r="S533" s="30">
        <f t="shared" si="37"/>
        <v>-9.5576319224477402E-4</v>
      </c>
      <c r="T533" s="30">
        <f t="shared" si="37"/>
        <v>0</v>
      </c>
      <c r="U533" s="63">
        <f t="shared" si="39"/>
        <v>6.8244035015954784E-3</v>
      </c>
    </row>
    <row r="534" spans="1:21">
      <c r="A534" s="28">
        <v>44102</v>
      </c>
      <c r="B534" s="29">
        <v>1872.8000489999999</v>
      </c>
      <c r="C534" s="29">
        <v>23.527999879999999</v>
      </c>
      <c r="D534" s="29">
        <v>40.599998470000003</v>
      </c>
      <c r="E534" s="29">
        <v>11364.450199999999</v>
      </c>
      <c r="F534" s="29">
        <v>3351.6000979999999</v>
      </c>
      <c r="G534" s="29">
        <v>27584.060549999998</v>
      </c>
      <c r="H534" s="29">
        <v>11.74861145</v>
      </c>
      <c r="I534" s="29">
        <v>9.5238561629999996</v>
      </c>
      <c r="J534" s="29">
        <v>12.491928100000001</v>
      </c>
      <c r="L534" s="30">
        <f t="shared" si="38"/>
        <v>8.1283836993544245E-3</v>
      </c>
      <c r="M534" s="30">
        <f t="shared" si="38"/>
        <v>2.2200967787279202E-2</v>
      </c>
      <c r="N534" s="30">
        <f t="shared" si="38"/>
        <v>8.6956141614906723E-3</v>
      </c>
      <c r="O534" s="30">
        <f t="shared" si="38"/>
        <v>1.9129928742252167E-2</v>
      </c>
      <c r="P534" s="30">
        <f t="shared" si="38"/>
        <v>1.611059028404549E-2</v>
      </c>
      <c r="Q534" s="30">
        <f t="shared" si="38"/>
        <v>1.5091639047597694E-2</v>
      </c>
      <c r="R534" s="30">
        <f t="shared" si="37"/>
        <v>0</v>
      </c>
      <c r="S534" s="30">
        <f t="shared" si="37"/>
        <v>-9.569777703818394E-4</v>
      </c>
      <c r="T534" s="30">
        <f t="shared" si="37"/>
        <v>0</v>
      </c>
      <c r="U534" s="63">
        <f t="shared" si="39"/>
        <v>1.1989454716716343E-2</v>
      </c>
    </row>
    <row r="535" spans="1:21">
      <c r="A535" s="28">
        <v>44103</v>
      </c>
      <c r="B535" s="29">
        <v>1894.3000489999999</v>
      </c>
      <c r="C535" s="29">
        <v>24.379999160000001</v>
      </c>
      <c r="D535" s="29">
        <v>39.290000919999997</v>
      </c>
      <c r="E535" s="29">
        <v>11322.950199999999</v>
      </c>
      <c r="F535" s="29">
        <v>3335.469971</v>
      </c>
      <c r="G535" s="29">
        <v>27452.660159999999</v>
      </c>
      <c r="H535" s="29">
        <v>11.74861145</v>
      </c>
      <c r="I535" s="29">
        <v>9.5420989990000002</v>
      </c>
      <c r="J535" s="29">
        <v>12.50109482</v>
      </c>
      <c r="L535" s="30">
        <f t="shared" si="38"/>
        <v>1.1480136393353879E-2</v>
      </c>
      <c r="M535" s="30">
        <f t="shared" si="38"/>
        <v>3.6212142313220674E-2</v>
      </c>
      <c r="N535" s="30">
        <f t="shared" si="38"/>
        <v>-3.2265950723322945E-2</v>
      </c>
      <c r="O535" s="30">
        <f t="shared" si="38"/>
        <v>-3.6517384712548839E-3</v>
      </c>
      <c r="P535" s="30">
        <f t="shared" si="38"/>
        <v>-4.8126645567366788E-3</v>
      </c>
      <c r="Q535" s="30">
        <f t="shared" si="38"/>
        <v>-4.7636347724011596E-3</v>
      </c>
      <c r="R535" s="30">
        <f t="shared" si="37"/>
        <v>0</v>
      </c>
      <c r="S535" s="30">
        <f t="shared" si="37"/>
        <v>1.9154883996330696E-3</v>
      </c>
      <c r="T535" s="30">
        <f t="shared" si="37"/>
        <v>7.3381146021800348E-4</v>
      </c>
      <c r="U535" s="63">
        <f t="shared" si="39"/>
        <v>1.9443031613684142E-3</v>
      </c>
    </row>
    <row r="536" spans="1:21">
      <c r="A536" s="28">
        <v>44104</v>
      </c>
      <c r="B536" s="29">
        <v>1887.5</v>
      </c>
      <c r="C536" s="29">
        <v>23.43300056</v>
      </c>
      <c r="D536" s="29">
        <v>40.22000122</v>
      </c>
      <c r="E536" s="29">
        <v>11418.059569999999</v>
      </c>
      <c r="F536" s="29">
        <v>3363</v>
      </c>
      <c r="G536" s="29">
        <v>27781.699219999999</v>
      </c>
      <c r="H536" s="29">
        <v>11.74861145</v>
      </c>
      <c r="I536" s="29">
        <v>9.5375328059999998</v>
      </c>
      <c r="J536" s="29">
        <v>12.4790554</v>
      </c>
      <c r="L536" s="30">
        <f t="shared" si="38"/>
        <v>-3.5897422921937761E-3</v>
      </c>
      <c r="M536" s="30">
        <f t="shared" si="38"/>
        <v>-3.8843258106166401E-2</v>
      </c>
      <c r="N536" s="30">
        <f t="shared" si="38"/>
        <v>2.3670152156362034E-2</v>
      </c>
      <c r="O536" s="30">
        <f t="shared" si="38"/>
        <v>8.3996986933669859E-3</v>
      </c>
      <c r="P536" s="30">
        <f t="shared" si="38"/>
        <v>8.2537181384805258E-3</v>
      </c>
      <c r="Q536" s="30">
        <f t="shared" si="38"/>
        <v>1.1985689477168604E-2</v>
      </c>
      <c r="R536" s="30">
        <f t="shared" si="37"/>
        <v>0</v>
      </c>
      <c r="S536" s="30">
        <f t="shared" si="37"/>
        <v>-4.7853129594221944E-4</v>
      </c>
      <c r="T536" s="30">
        <f t="shared" si="37"/>
        <v>-1.7629991866584538E-3</v>
      </c>
      <c r="U536" s="63">
        <f t="shared" si="39"/>
        <v>-6.646953508623126E-4</v>
      </c>
    </row>
    <row r="537" spans="1:21">
      <c r="A537" s="28">
        <v>44105</v>
      </c>
      <c r="B537" s="29">
        <v>1908.400024</v>
      </c>
      <c r="C537" s="29">
        <v>24.193000789999999</v>
      </c>
      <c r="D537" s="29">
        <v>38.72000122</v>
      </c>
      <c r="E537" s="29">
        <v>11583.200199999999</v>
      </c>
      <c r="F537" s="29">
        <v>3380.8000489999999</v>
      </c>
      <c r="G537" s="29">
        <v>27816.900389999999</v>
      </c>
      <c r="H537" s="29">
        <v>11.757983210000001</v>
      </c>
      <c r="I537" s="29">
        <v>9.5466699599999991</v>
      </c>
      <c r="J537" s="29">
        <v>12.49741745</v>
      </c>
      <c r="L537" s="30">
        <f t="shared" si="38"/>
        <v>1.1072860397351114E-2</v>
      </c>
      <c r="M537" s="30">
        <f t="shared" si="38"/>
        <v>3.2432902822411735E-2</v>
      </c>
      <c r="N537" s="30">
        <f t="shared" si="38"/>
        <v>-3.7294877038792862E-2</v>
      </c>
      <c r="O537" s="30">
        <f t="shared" si="38"/>
        <v>1.4463108112861223E-2</v>
      </c>
      <c r="P537" s="30">
        <f t="shared" si="38"/>
        <v>5.2929078203984847E-3</v>
      </c>
      <c r="Q537" s="30">
        <f t="shared" si="38"/>
        <v>1.2670632462488118E-3</v>
      </c>
      <c r="R537" s="30">
        <f t="shared" si="37"/>
        <v>7.9769086243808296E-4</v>
      </c>
      <c r="S537" s="30">
        <f t="shared" si="37"/>
        <v>9.5802071519490717E-4</v>
      </c>
      <c r="T537" s="30">
        <f t="shared" si="37"/>
        <v>1.4714294801512207E-3</v>
      </c>
      <c r="U537" s="63">
        <f t="shared" si="39"/>
        <v>6.3489666747296595E-3</v>
      </c>
    </row>
    <row r="538" spans="1:21">
      <c r="A538" s="28">
        <v>44106</v>
      </c>
      <c r="B538" s="29">
        <v>1900.1999510000001</v>
      </c>
      <c r="C538" s="29">
        <v>23.971000669999999</v>
      </c>
      <c r="D538" s="29">
        <v>37.049999239999998</v>
      </c>
      <c r="E538" s="29">
        <v>11255.690430000001</v>
      </c>
      <c r="F538" s="29">
        <v>3348.419922</v>
      </c>
      <c r="G538" s="29">
        <v>27682.810549999998</v>
      </c>
      <c r="H538" s="29">
        <v>11.74861145</v>
      </c>
      <c r="I538" s="29">
        <v>9.5375328059999998</v>
      </c>
      <c r="J538" s="29">
        <v>12.488236430000001</v>
      </c>
      <c r="L538" s="30">
        <f t="shared" si="38"/>
        <v>-4.2968313230329347E-3</v>
      </c>
      <c r="M538" s="30">
        <f t="shared" si="38"/>
        <v>-9.1762126545196221E-3</v>
      </c>
      <c r="N538" s="30">
        <f t="shared" si="38"/>
        <v>-4.3130215066661703E-2</v>
      </c>
      <c r="O538" s="30">
        <f t="shared" si="38"/>
        <v>-2.827454972245047E-2</v>
      </c>
      <c r="P538" s="30">
        <f t="shared" si="38"/>
        <v>-9.5776521919944679E-3</v>
      </c>
      <c r="Q538" s="30">
        <f t="shared" si="38"/>
        <v>-4.8204450575020097E-3</v>
      </c>
      <c r="R538" s="30">
        <f t="shared" si="37"/>
        <v>-7.970550589007086E-4</v>
      </c>
      <c r="S538" s="30">
        <f t="shared" si="37"/>
        <v>-9.5710378993763001E-4</v>
      </c>
      <c r="T538" s="30">
        <f t="shared" si="37"/>
        <v>-7.3463337819446028E-4</v>
      </c>
      <c r="U538" s="63">
        <f t="shared" si="39"/>
        <v>-1.1485177101943146E-2</v>
      </c>
    </row>
    <row r="539" spans="1:21">
      <c r="A539" s="28">
        <v>44109</v>
      </c>
      <c r="B539" s="29">
        <v>1912.5</v>
      </c>
      <c r="C539" s="29">
        <v>24.502000809999998</v>
      </c>
      <c r="D539" s="29">
        <v>39.22000122</v>
      </c>
      <c r="E539" s="29">
        <v>11509.059569999999</v>
      </c>
      <c r="F539" s="29">
        <v>3408.6000979999999</v>
      </c>
      <c r="G539" s="29">
        <v>28148.640630000002</v>
      </c>
      <c r="H539" s="29">
        <v>11.701768879999999</v>
      </c>
      <c r="I539" s="29">
        <v>9.5192613599999998</v>
      </c>
      <c r="J539" s="29">
        <v>12.442322730000001</v>
      </c>
      <c r="L539" s="30">
        <f t="shared" si="38"/>
        <v>6.4730287954837262E-3</v>
      </c>
      <c r="M539" s="30">
        <f t="shared" si="38"/>
        <v>2.2151771939356468E-2</v>
      </c>
      <c r="N539" s="30">
        <f t="shared" si="38"/>
        <v>5.856955531748631E-2</v>
      </c>
      <c r="O539" s="30">
        <f t="shared" si="38"/>
        <v>2.2510315255711788E-2</v>
      </c>
      <c r="P539" s="30">
        <f t="shared" si="38"/>
        <v>1.7972708740800369E-2</v>
      </c>
      <c r="Q539" s="30">
        <f t="shared" si="38"/>
        <v>1.6827412778721795E-2</v>
      </c>
      <c r="R539" s="30">
        <f t="shared" si="37"/>
        <v>-3.9870728723436777E-3</v>
      </c>
      <c r="S539" s="30">
        <f t="shared" si="37"/>
        <v>-1.9157413527852718E-3</v>
      </c>
      <c r="T539" s="30">
        <f t="shared" si="37"/>
        <v>-3.6765559538657344E-3</v>
      </c>
      <c r="U539" s="63">
        <f t="shared" si="39"/>
        <v>1.6051812285630761E-2</v>
      </c>
    </row>
    <row r="540" spans="1:21">
      <c r="A540" s="28">
        <v>44110</v>
      </c>
      <c r="B540" s="29">
        <v>1901.099976</v>
      </c>
      <c r="C540" s="29">
        <v>23.870000839999999</v>
      </c>
      <c r="D540" s="29">
        <v>40.66999817</v>
      </c>
      <c r="E540" s="29">
        <v>11291.26953</v>
      </c>
      <c r="F540" s="29">
        <v>3360.969971</v>
      </c>
      <c r="G540" s="29">
        <v>27772.759770000001</v>
      </c>
      <c r="H540" s="29">
        <v>11.72987461</v>
      </c>
      <c r="I540" s="29">
        <v>9.5375328059999998</v>
      </c>
      <c r="J540" s="29">
        <v>12.469868659999999</v>
      </c>
      <c r="L540" s="30">
        <f t="shared" si="38"/>
        <v>-5.960796862745088E-3</v>
      </c>
      <c r="M540" s="30">
        <f t="shared" si="38"/>
        <v>-2.5793810672884332E-2</v>
      </c>
      <c r="N540" s="30">
        <f t="shared" si="38"/>
        <v>3.6970854280865773E-2</v>
      </c>
      <c r="O540" s="30">
        <f t="shared" si="38"/>
        <v>-1.8923356741301522E-2</v>
      </c>
      <c r="P540" s="30">
        <f t="shared" si="38"/>
        <v>-1.3973515704569395E-2</v>
      </c>
      <c r="Q540" s="30">
        <f t="shared" si="38"/>
        <v>-1.3353428499115472E-2</v>
      </c>
      <c r="R540" s="30">
        <f t="shared" si="37"/>
        <v>2.4018360205384504E-3</v>
      </c>
      <c r="S540" s="30">
        <f t="shared" si="37"/>
        <v>1.9194184621063037E-3</v>
      </c>
      <c r="T540" s="30">
        <f t="shared" si="37"/>
        <v>2.2138896890675497E-3</v>
      </c>
      <c r="U540" s="63">
        <f t="shared" si="39"/>
        <v>-7.7847524309311335E-3</v>
      </c>
    </row>
    <row r="541" spans="1:21">
      <c r="A541" s="28">
        <v>44111</v>
      </c>
      <c r="B541" s="29">
        <v>1883.599976</v>
      </c>
      <c r="C541" s="29">
        <v>23.847999569999999</v>
      </c>
      <c r="D541" s="29">
        <v>39.950000760000002</v>
      </c>
      <c r="E541" s="29">
        <v>11503.190430000001</v>
      </c>
      <c r="F541" s="29">
        <v>3419.4399410000001</v>
      </c>
      <c r="G541" s="29">
        <v>28303.460940000001</v>
      </c>
      <c r="H541" s="29">
        <v>11.71113873</v>
      </c>
      <c r="I541" s="29">
        <v>9.5192613599999998</v>
      </c>
      <c r="J541" s="29">
        <v>12.4515028</v>
      </c>
      <c r="L541" s="30">
        <f t="shared" si="38"/>
        <v>-9.205197107424512E-3</v>
      </c>
      <c r="M541" s="30">
        <f t="shared" si="38"/>
        <v>-9.2171215859915279E-4</v>
      </c>
      <c r="N541" s="30">
        <f t="shared" si="38"/>
        <v>-1.7703404042223481E-2</v>
      </c>
      <c r="O541" s="30">
        <f t="shared" si="38"/>
        <v>1.8768562687919488E-2</v>
      </c>
      <c r="P541" s="30">
        <f t="shared" si="38"/>
        <v>1.7396754658478342E-2</v>
      </c>
      <c r="Q541" s="30">
        <f t="shared" si="38"/>
        <v>1.9108694072717203E-2</v>
      </c>
      <c r="R541" s="30">
        <f t="shared" si="37"/>
        <v>-1.5972787964866342E-3</v>
      </c>
      <c r="S541" s="30">
        <f t="shared" si="37"/>
        <v>-1.9157413527852718E-3</v>
      </c>
      <c r="T541" s="30">
        <f t="shared" si="37"/>
        <v>-1.4728190409023512E-3</v>
      </c>
      <c r="U541" s="63">
        <f t="shared" si="39"/>
        <v>5.6652872603694567E-3</v>
      </c>
    </row>
    <row r="542" spans="1:21">
      <c r="A542" s="28">
        <v>44112</v>
      </c>
      <c r="B542" s="29">
        <v>1888.599976</v>
      </c>
      <c r="C542" s="29">
        <v>23.836999890000001</v>
      </c>
      <c r="D542" s="29">
        <v>41.189998629999998</v>
      </c>
      <c r="E542" s="29">
        <v>11550.940430000001</v>
      </c>
      <c r="F542" s="29">
        <v>3446.830078</v>
      </c>
      <c r="G542" s="29">
        <v>28425.509770000001</v>
      </c>
      <c r="H542" s="29">
        <v>11.72987461</v>
      </c>
      <c r="I542" s="29">
        <v>9.5375328059999998</v>
      </c>
      <c r="J542" s="29">
        <v>12.469868659999999</v>
      </c>
      <c r="L542" s="30">
        <f t="shared" si="38"/>
        <v>2.6544914332702341E-3</v>
      </c>
      <c r="M542" s="30">
        <f t="shared" si="38"/>
        <v>-4.6124120254664724E-4</v>
      </c>
      <c r="N542" s="30">
        <f t="shared" si="38"/>
        <v>3.1038744591002532E-2</v>
      </c>
      <c r="O542" s="30">
        <f t="shared" si="38"/>
        <v>4.1510223003411451E-3</v>
      </c>
      <c r="P542" s="30">
        <f t="shared" si="38"/>
        <v>8.0101237256968716E-3</v>
      </c>
      <c r="Q542" s="30">
        <f t="shared" si="38"/>
        <v>4.3121521519480233E-3</v>
      </c>
      <c r="R542" s="30">
        <f t="shared" si="37"/>
        <v>1.5998341776966019E-3</v>
      </c>
      <c r="S542" s="30">
        <f t="shared" si="37"/>
        <v>1.9194184621063037E-3</v>
      </c>
      <c r="T542" s="30">
        <f t="shared" si="37"/>
        <v>1.4749914363749728E-3</v>
      </c>
      <c r="U542" s="63">
        <f t="shared" si="39"/>
        <v>5.9773447306563799E-3</v>
      </c>
    </row>
    <row r="543" spans="1:21">
      <c r="A543" s="28">
        <v>44113</v>
      </c>
      <c r="B543" s="29">
        <v>1919.5</v>
      </c>
      <c r="C543" s="29">
        <v>25.069000240000001</v>
      </c>
      <c r="D543" s="29">
        <v>40.599998470000003</v>
      </c>
      <c r="E543" s="29">
        <v>11725.849609999999</v>
      </c>
      <c r="F543" s="29">
        <v>3477.139893</v>
      </c>
      <c r="G543" s="29">
        <v>28586.900389999999</v>
      </c>
      <c r="H543" s="29">
        <v>11.72515583</v>
      </c>
      <c r="I543" s="29">
        <v>9.5375328059999998</v>
      </c>
      <c r="J543" s="29">
        <v>12.460689540000001</v>
      </c>
      <c r="L543" s="30">
        <f t="shared" si="38"/>
        <v>1.636133876557877E-2</v>
      </c>
      <c r="M543" s="30">
        <f t="shared" si="38"/>
        <v>5.1684371174446575E-2</v>
      </c>
      <c r="N543" s="30">
        <f t="shared" si="38"/>
        <v>-1.4323869376637433E-2</v>
      </c>
      <c r="O543" s="30">
        <f t="shared" si="38"/>
        <v>1.514241901427571E-2</v>
      </c>
      <c r="P543" s="30">
        <f t="shared" si="38"/>
        <v>8.7935332795945342E-3</v>
      </c>
      <c r="Q543" s="30">
        <f t="shared" si="38"/>
        <v>5.677668450130291E-3</v>
      </c>
      <c r="R543" s="30">
        <f t="shared" si="37"/>
        <v>-4.0228733527780669E-4</v>
      </c>
      <c r="S543" s="30">
        <f t="shared" si="37"/>
        <v>0</v>
      </c>
      <c r="T543" s="30">
        <f t="shared" si="37"/>
        <v>-7.3610398395318466E-4</v>
      </c>
      <c r="U543" s="63">
        <f t="shared" si="39"/>
        <v>1.2205359766027846E-2</v>
      </c>
    </row>
    <row r="544" spans="1:21">
      <c r="A544" s="28">
        <v>44116</v>
      </c>
      <c r="B544" s="29">
        <v>1922.5</v>
      </c>
      <c r="C544" s="29">
        <v>25.225999829999999</v>
      </c>
      <c r="D544" s="29">
        <v>39.430000309999997</v>
      </c>
      <c r="E544" s="29">
        <v>12088.110350000001</v>
      </c>
      <c r="F544" s="29">
        <v>3534.219971</v>
      </c>
      <c r="G544" s="29">
        <v>28837.519530000001</v>
      </c>
      <c r="H544" s="29">
        <v>11.73459435</v>
      </c>
      <c r="I544" s="29">
        <v>9.5375328059999998</v>
      </c>
      <c r="J544" s="29">
        <v>12.469868659999999</v>
      </c>
      <c r="L544" s="30">
        <f t="shared" si="38"/>
        <v>1.5629070070330986E-3</v>
      </c>
      <c r="M544" s="30">
        <f t="shared" si="38"/>
        <v>6.2626984920399753E-3</v>
      </c>
      <c r="N544" s="30">
        <f t="shared" si="38"/>
        <v>-2.8817689755937681E-2</v>
      </c>
      <c r="O544" s="30">
        <f t="shared" si="38"/>
        <v>3.0894199742341977E-2</v>
      </c>
      <c r="P544" s="30">
        <f t="shared" si="38"/>
        <v>1.6415812925706819E-2</v>
      </c>
      <c r="Q544" s="30">
        <f t="shared" si="38"/>
        <v>8.7669224918023314E-3</v>
      </c>
      <c r="R544" s="30">
        <f t="shared" si="37"/>
        <v>8.0498034626108605E-4</v>
      </c>
      <c r="S544" s="30">
        <f t="shared" si="37"/>
        <v>0</v>
      </c>
      <c r="T544" s="30">
        <f t="shared" si="37"/>
        <v>7.3664623217939429E-4</v>
      </c>
      <c r="U544" s="63">
        <f t="shared" si="39"/>
        <v>7.8680883842688221E-3</v>
      </c>
    </row>
    <row r="545" spans="1:21">
      <c r="A545" s="28">
        <v>44117</v>
      </c>
      <c r="B545" s="29">
        <v>1888.5</v>
      </c>
      <c r="C545" s="29">
        <v>24.086000439999999</v>
      </c>
      <c r="D545" s="29">
        <v>40.200000760000002</v>
      </c>
      <c r="E545" s="29">
        <v>12083.16992</v>
      </c>
      <c r="F545" s="29">
        <v>3511.929932</v>
      </c>
      <c r="G545" s="29">
        <v>28679.810549999998</v>
      </c>
      <c r="H545" s="29">
        <v>11.75347805</v>
      </c>
      <c r="I545" s="29">
        <v>9.5558061599999995</v>
      </c>
      <c r="J545" s="29">
        <v>12.49741745</v>
      </c>
      <c r="L545" s="30">
        <f t="shared" si="38"/>
        <v>-1.7685305591677469E-2</v>
      </c>
      <c r="M545" s="30">
        <f t="shared" si="38"/>
        <v>-4.5191445242311334E-2</v>
      </c>
      <c r="N545" s="30">
        <f t="shared" si="38"/>
        <v>1.9528289220041462E-2</v>
      </c>
      <c r="O545" s="30">
        <f t="shared" si="38"/>
        <v>-4.0870159660655325E-4</v>
      </c>
      <c r="P545" s="30">
        <f t="shared" si="38"/>
        <v>-6.3069189758704347E-3</v>
      </c>
      <c r="Q545" s="30">
        <f t="shared" si="38"/>
        <v>-5.4688816018290121E-3</v>
      </c>
      <c r="R545" s="30">
        <f t="shared" si="37"/>
        <v>1.609233300851276E-3</v>
      </c>
      <c r="S545" s="30">
        <f t="shared" si="37"/>
        <v>1.9159414045217815E-3</v>
      </c>
      <c r="T545" s="30">
        <f t="shared" si="37"/>
        <v>2.2092285613537488E-3</v>
      </c>
      <c r="U545" s="63">
        <f t="shared" si="39"/>
        <v>-7.9954139015913223E-3</v>
      </c>
    </row>
    <row r="546" spans="1:21">
      <c r="A546" s="28">
        <v>44118</v>
      </c>
      <c r="B546" s="29">
        <v>1901.3000489999999</v>
      </c>
      <c r="C546" s="29">
        <v>24.364000319999999</v>
      </c>
      <c r="D546" s="29">
        <v>41.040000919999997</v>
      </c>
      <c r="E546" s="29">
        <v>11985.360350000001</v>
      </c>
      <c r="F546" s="29">
        <v>3488.669922</v>
      </c>
      <c r="G546" s="29">
        <v>28514</v>
      </c>
      <c r="H546" s="29">
        <v>11.75347805</v>
      </c>
      <c r="I546" s="29">
        <v>9.5558061599999995</v>
      </c>
      <c r="J546" s="29">
        <v>12.49741745</v>
      </c>
      <c r="L546" s="30">
        <f t="shared" si="38"/>
        <v>6.777891977760131E-3</v>
      </c>
      <c r="M546" s="30">
        <f t="shared" si="38"/>
        <v>1.1541969398054075E-2</v>
      </c>
      <c r="N546" s="30">
        <f t="shared" si="38"/>
        <v>2.0895525973119389E-2</v>
      </c>
      <c r="O546" s="30">
        <f t="shared" si="38"/>
        <v>-8.0946945749811317E-3</v>
      </c>
      <c r="P546" s="30">
        <f t="shared" si="38"/>
        <v>-6.6231418195618064E-3</v>
      </c>
      <c r="Q546" s="30">
        <f t="shared" si="38"/>
        <v>-5.781438120413207E-3</v>
      </c>
      <c r="R546" s="30">
        <f t="shared" si="37"/>
        <v>0</v>
      </c>
      <c r="S546" s="30">
        <f t="shared" si="37"/>
        <v>0</v>
      </c>
      <c r="T546" s="30">
        <f t="shared" si="37"/>
        <v>0</v>
      </c>
      <c r="U546" s="63">
        <f t="shared" si="39"/>
        <v>5.5295588396416277E-4</v>
      </c>
    </row>
    <row r="547" spans="1:21">
      <c r="A547" s="28">
        <v>44119</v>
      </c>
      <c r="B547" s="29">
        <v>1903.1999510000001</v>
      </c>
      <c r="C547" s="29">
        <v>24.193000789999999</v>
      </c>
      <c r="D547" s="29">
        <v>40.959999080000003</v>
      </c>
      <c r="E547" s="29">
        <v>11898.570309999999</v>
      </c>
      <c r="F547" s="29">
        <v>3483.3400879999999</v>
      </c>
      <c r="G547" s="29">
        <v>28494.199219999999</v>
      </c>
      <c r="H547" s="29">
        <v>11.744035719999999</v>
      </c>
      <c r="I547" s="29">
        <v>9.5466699599999991</v>
      </c>
      <c r="J547" s="29">
        <v>12.488236430000001</v>
      </c>
      <c r="L547" s="30">
        <f t="shared" si="38"/>
        <v>9.9926468786426526E-4</v>
      </c>
      <c r="M547" s="30">
        <f t="shared" si="38"/>
        <v>-7.0185325789717812E-3</v>
      </c>
      <c r="N547" s="30">
        <f t="shared" si="38"/>
        <v>-1.9493625294001449E-3</v>
      </c>
      <c r="O547" s="30">
        <f t="shared" si="38"/>
        <v>-7.2413375539436275E-3</v>
      </c>
      <c r="P547" s="30">
        <f t="shared" si="38"/>
        <v>-1.5277553105237374E-3</v>
      </c>
      <c r="Q547" s="30">
        <f t="shared" si="38"/>
        <v>-6.9442309041178873E-4</v>
      </c>
      <c r="R547" s="30">
        <f t="shared" si="37"/>
        <v>-8.0336475380582417E-4</v>
      </c>
      <c r="S547" s="30">
        <f t="shared" si="37"/>
        <v>-9.5608887905695994E-4</v>
      </c>
      <c r="T547" s="30">
        <f t="shared" si="37"/>
        <v>-7.3463337819446028E-4</v>
      </c>
      <c r="U547" s="63">
        <f t="shared" si="39"/>
        <v>-2.7054790511219372E-3</v>
      </c>
    </row>
    <row r="548" spans="1:21">
      <c r="A548" s="28">
        <v>44120</v>
      </c>
      <c r="B548" s="29">
        <v>1900.8000489999999</v>
      </c>
      <c r="C548" s="29">
        <v>24.368999479999999</v>
      </c>
      <c r="D548" s="29">
        <v>40.880001069999999</v>
      </c>
      <c r="E548" s="29">
        <v>11852.16992</v>
      </c>
      <c r="F548" s="29">
        <v>3483.8100589999999</v>
      </c>
      <c r="G548" s="29">
        <v>28606.310549999998</v>
      </c>
      <c r="H548" s="29">
        <v>11.744035719999999</v>
      </c>
      <c r="I548" s="29">
        <v>9.5466699599999991</v>
      </c>
      <c r="J548" s="29">
        <v>12.4790554</v>
      </c>
      <c r="L548" s="30">
        <f t="shared" si="38"/>
        <v>-1.260982588161097E-3</v>
      </c>
      <c r="M548" s="30">
        <f t="shared" si="38"/>
        <v>7.2747771774035463E-3</v>
      </c>
      <c r="N548" s="30">
        <f t="shared" si="38"/>
        <v>-1.9530764598836292E-3</v>
      </c>
      <c r="O548" s="30">
        <f t="shared" si="38"/>
        <v>-3.8996609501060764E-3</v>
      </c>
      <c r="P548" s="30">
        <f t="shared" si="38"/>
        <v>1.3491964267831058E-4</v>
      </c>
      <c r="Q548" s="30">
        <f t="shared" si="38"/>
        <v>3.934531696588639E-3</v>
      </c>
      <c r="R548" s="30">
        <f t="shared" si="37"/>
        <v>0</v>
      </c>
      <c r="S548" s="30">
        <f t="shared" si="37"/>
        <v>0</v>
      </c>
      <c r="T548" s="30">
        <f t="shared" si="37"/>
        <v>-7.3517426191138657E-4</v>
      </c>
      <c r="U548" s="63">
        <f t="shared" si="39"/>
        <v>5.1042952501812464E-4</v>
      </c>
    </row>
    <row r="549" spans="1:21">
      <c r="A549" s="28">
        <v>44123</v>
      </c>
      <c r="B549" s="29">
        <v>1906.400024</v>
      </c>
      <c r="C549" s="29">
        <v>24.656999590000002</v>
      </c>
      <c r="D549" s="29">
        <v>40.83000183</v>
      </c>
      <c r="E549" s="29">
        <v>11634.349609999999</v>
      </c>
      <c r="F549" s="29">
        <v>3426.919922</v>
      </c>
      <c r="G549" s="29">
        <v>28195.41992</v>
      </c>
      <c r="H549" s="29">
        <v>11.73459435</v>
      </c>
      <c r="I549" s="29">
        <v>9.5466699599999991</v>
      </c>
      <c r="J549" s="29">
        <v>12.469868659999999</v>
      </c>
      <c r="L549" s="30">
        <f t="shared" si="38"/>
        <v>2.9461147178242442E-3</v>
      </c>
      <c r="M549" s="30">
        <f t="shared" si="38"/>
        <v>1.1818298499959745E-2</v>
      </c>
      <c r="N549" s="30">
        <f t="shared" si="38"/>
        <v>-1.2230733535055771E-3</v>
      </c>
      <c r="O549" s="30">
        <f t="shared" si="38"/>
        <v>-1.8378095443302711E-2</v>
      </c>
      <c r="P549" s="30">
        <f t="shared" si="38"/>
        <v>-1.6329861857144357E-2</v>
      </c>
      <c r="Q549" s="30">
        <f t="shared" si="38"/>
        <v>-1.436363592857659E-2</v>
      </c>
      <c r="R549" s="30">
        <f t="shared" si="37"/>
        <v>-8.039289240172609E-4</v>
      </c>
      <c r="S549" s="30">
        <f t="shared" si="37"/>
        <v>0</v>
      </c>
      <c r="T549" s="30">
        <f t="shared" si="37"/>
        <v>-7.3617270743109309E-4</v>
      </c>
      <c r="U549" s="63">
        <f t="shared" si="39"/>
        <v>-5.8417335350802093E-3</v>
      </c>
    </row>
    <row r="550" spans="1:21">
      <c r="A550" s="28">
        <v>44124</v>
      </c>
      <c r="B550" s="29">
        <v>1910.400024</v>
      </c>
      <c r="C550" s="29">
        <v>24.937000269999999</v>
      </c>
      <c r="D550" s="29">
        <v>41.459999080000003</v>
      </c>
      <c r="E550" s="29">
        <v>11677.839840000001</v>
      </c>
      <c r="F550" s="29">
        <v>3443.1201169999999</v>
      </c>
      <c r="G550" s="29">
        <v>28308.789059999999</v>
      </c>
      <c r="H550" s="29">
        <v>11.71571159</v>
      </c>
      <c r="I550" s="29">
        <v>9.5283994669999998</v>
      </c>
      <c r="J550" s="29">
        <v>12.4515028</v>
      </c>
      <c r="L550" s="30">
        <f t="shared" si="38"/>
        <v>2.0981955254109064E-3</v>
      </c>
      <c r="M550" s="30">
        <f t="shared" si="38"/>
        <v>1.1355829365125025E-2</v>
      </c>
      <c r="N550" s="30">
        <f t="shared" si="38"/>
        <v>1.5429762962614113E-2</v>
      </c>
      <c r="O550" s="30">
        <f t="shared" si="38"/>
        <v>3.7380886304654304E-3</v>
      </c>
      <c r="P550" s="30">
        <f t="shared" si="38"/>
        <v>4.7273339817479609E-3</v>
      </c>
      <c r="Q550" s="30">
        <f t="shared" si="38"/>
        <v>4.0208353101909289E-3</v>
      </c>
      <c r="R550" s="30">
        <f t="shared" si="37"/>
        <v>-1.609153195823998E-3</v>
      </c>
      <c r="S550" s="30">
        <f t="shared" si="37"/>
        <v>-1.9138079640913519E-3</v>
      </c>
      <c r="T550" s="30">
        <f t="shared" si="37"/>
        <v>-1.4728190409023512E-3</v>
      </c>
      <c r="U550" s="63">
        <f t="shared" si="39"/>
        <v>4.5734703093093286E-3</v>
      </c>
    </row>
    <row r="551" spans="1:21">
      <c r="A551" s="28">
        <v>44125</v>
      </c>
      <c r="B551" s="29">
        <v>1924.599976</v>
      </c>
      <c r="C551" s="29">
        <v>25.197000500000001</v>
      </c>
      <c r="D551" s="29">
        <v>40.02999878</v>
      </c>
      <c r="E551" s="29">
        <v>11665.37012</v>
      </c>
      <c r="F551" s="29">
        <v>3435.5600589999999</v>
      </c>
      <c r="G551" s="29">
        <v>28210.820309999999</v>
      </c>
      <c r="H551" s="29">
        <v>11.706274990000001</v>
      </c>
      <c r="I551" s="29">
        <v>9.5192613599999998</v>
      </c>
      <c r="J551" s="29">
        <v>12.442322730000001</v>
      </c>
      <c r="L551" s="30">
        <f t="shared" si="38"/>
        <v>7.4329731059508131E-3</v>
      </c>
      <c r="M551" s="30">
        <f t="shared" si="38"/>
        <v>1.0426283321366192E-2</v>
      </c>
      <c r="N551" s="30">
        <f t="shared" si="38"/>
        <v>-3.4491083736898243E-2</v>
      </c>
      <c r="O551" s="30">
        <f t="shared" si="38"/>
        <v>-1.0678105001310501E-3</v>
      </c>
      <c r="P551" s="30">
        <f t="shared" si="38"/>
        <v>-2.195699755774716E-3</v>
      </c>
      <c r="Q551" s="30">
        <f t="shared" si="38"/>
        <v>-3.4607184995570917E-3</v>
      </c>
      <c r="R551" s="30">
        <f t="shared" si="37"/>
        <v>-8.0546537250492101E-4</v>
      </c>
      <c r="S551" s="30">
        <f t="shared" si="37"/>
        <v>-9.5903903185923234E-4</v>
      </c>
      <c r="T551" s="30">
        <f t="shared" si="37"/>
        <v>-7.3726602703727551E-4</v>
      </c>
      <c r="U551" s="63">
        <f t="shared" si="39"/>
        <v>-1.7467597820815515E-3</v>
      </c>
    </row>
    <row r="552" spans="1:21">
      <c r="A552" s="28">
        <v>44126</v>
      </c>
      <c r="B552" s="29">
        <v>1901.099976</v>
      </c>
      <c r="C552" s="29">
        <v>24.665000920000001</v>
      </c>
      <c r="D552" s="29">
        <v>40.63999939</v>
      </c>
      <c r="E552" s="29">
        <v>11662.910159999999</v>
      </c>
      <c r="F552" s="29">
        <v>3453.48999</v>
      </c>
      <c r="G552" s="29">
        <v>28363.660159999999</v>
      </c>
      <c r="H552" s="29">
        <v>11.67795563</v>
      </c>
      <c r="I552" s="29">
        <v>9.5192613599999998</v>
      </c>
      <c r="J552" s="29">
        <v>12.4147768</v>
      </c>
      <c r="L552" s="30">
        <f t="shared" si="38"/>
        <v>-1.2210329571364364E-2</v>
      </c>
      <c r="M552" s="30">
        <f t="shared" si="38"/>
        <v>-2.1113607550232061E-2</v>
      </c>
      <c r="N552" s="30">
        <f t="shared" si="38"/>
        <v>1.5238586774695806E-2</v>
      </c>
      <c r="O552" s="30">
        <f t="shared" si="38"/>
        <v>-2.108771496056594E-4</v>
      </c>
      <c r="P552" s="30">
        <f t="shared" si="38"/>
        <v>5.2189252093060023E-3</v>
      </c>
      <c r="Q552" s="30">
        <f t="shared" si="38"/>
        <v>5.4177740427427956E-3</v>
      </c>
      <c r="R552" s="30">
        <f t="shared" si="37"/>
        <v>-2.4191606658986453E-3</v>
      </c>
      <c r="S552" s="30">
        <f t="shared" si="37"/>
        <v>0</v>
      </c>
      <c r="T552" s="30">
        <f t="shared" si="37"/>
        <v>-2.2138896890677717E-3</v>
      </c>
      <c r="U552" s="63">
        <f t="shared" si="39"/>
        <v>-1.2761119054268064E-3</v>
      </c>
    </row>
    <row r="553" spans="1:21">
      <c r="A553" s="28">
        <v>44127</v>
      </c>
      <c r="B553" s="29">
        <v>1902</v>
      </c>
      <c r="C553" s="29">
        <v>24.627000809999998</v>
      </c>
      <c r="D553" s="29">
        <v>39.849998470000003</v>
      </c>
      <c r="E553" s="29">
        <v>11692.570309999999</v>
      </c>
      <c r="F553" s="29">
        <v>3465.389893</v>
      </c>
      <c r="G553" s="29">
        <v>28335.570309999999</v>
      </c>
      <c r="H553" s="29">
        <v>11.696834559999999</v>
      </c>
      <c r="I553" s="29">
        <v>9.5192613599999998</v>
      </c>
      <c r="J553" s="29">
        <v>12.42395687</v>
      </c>
      <c r="L553" s="30">
        <f t="shared" si="38"/>
        <v>4.7342276122352978E-4</v>
      </c>
      <c r="M553" s="30">
        <f t="shared" si="38"/>
        <v>-1.5406490404461515E-3</v>
      </c>
      <c r="N553" s="30">
        <f t="shared" si="38"/>
        <v>-1.9438999307524241E-2</v>
      </c>
      <c r="O553" s="30">
        <f t="shared" si="38"/>
        <v>2.5431174203609519E-3</v>
      </c>
      <c r="P553" s="30">
        <f t="shared" si="38"/>
        <v>3.4457615439620337E-3</v>
      </c>
      <c r="Q553" s="30">
        <f t="shared" si="38"/>
        <v>-9.9034644476581057E-4</v>
      </c>
      <c r="R553" s="30">
        <f t="shared" si="37"/>
        <v>1.6166297079860392E-3</v>
      </c>
      <c r="S553" s="30">
        <f t="shared" si="37"/>
        <v>0</v>
      </c>
      <c r="T553" s="30">
        <f t="shared" si="37"/>
        <v>7.3944704346184942E-4</v>
      </c>
      <c r="U553" s="63">
        <f t="shared" si="39"/>
        <v>-2.023661817449986E-4</v>
      </c>
    </row>
    <row r="554" spans="1:21">
      <c r="A554" s="28">
        <v>44130</v>
      </c>
      <c r="B554" s="29">
        <v>1902.6999510000001</v>
      </c>
      <c r="C554" s="29">
        <v>24.375999449999998</v>
      </c>
      <c r="D554" s="29">
        <v>38.560001370000002</v>
      </c>
      <c r="E554" s="29">
        <v>11504.51953</v>
      </c>
      <c r="F554" s="29">
        <v>3400.969971</v>
      </c>
      <c r="G554" s="29">
        <v>27685.380860000001</v>
      </c>
      <c r="H554" s="29">
        <v>11.71571159</v>
      </c>
      <c r="I554" s="29">
        <v>9.5375328059999998</v>
      </c>
      <c r="J554" s="29">
        <v>12.4515028</v>
      </c>
      <c r="L554" s="30">
        <f t="shared" si="38"/>
        <v>3.6800788643542859E-4</v>
      </c>
      <c r="M554" s="30">
        <f t="shared" si="38"/>
        <v>-1.0192120507750979E-2</v>
      </c>
      <c r="N554" s="30">
        <f t="shared" si="38"/>
        <v>-3.2371321192675606E-2</v>
      </c>
      <c r="O554" s="30">
        <f t="shared" si="38"/>
        <v>-1.6082929160508908E-2</v>
      </c>
      <c r="P554" s="30">
        <f t="shared" si="38"/>
        <v>-1.8589516328343492E-2</v>
      </c>
      <c r="Q554" s="30">
        <f t="shared" si="38"/>
        <v>-2.2946051301834469E-2</v>
      </c>
      <c r="R554" s="30">
        <f t="shared" si="37"/>
        <v>1.6138579974922518E-3</v>
      </c>
      <c r="S554" s="30">
        <f t="shared" si="37"/>
        <v>1.9194184621063037E-3</v>
      </c>
      <c r="T554" s="30">
        <f t="shared" si="37"/>
        <v>2.2171623974738264E-3</v>
      </c>
      <c r="U554" s="63">
        <f t="shared" si="39"/>
        <v>-1.1725067022363389E-2</v>
      </c>
    </row>
    <row r="555" spans="1:21">
      <c r="A555" s="28">
        <v>44131</v>
      </c>
      <c r="B555" s="29">
        <v>1908.8000489999999</v>
      </c>
      <c r="C555" s="29">
        <v>24.525999070000001</v>
      </c>
      <c r="D555" s="29">
        <v>39.569999690000003</v>
      </c>
      <c r="E555" s="29">
        <v>11598.950199999999</v>
      </c>
      <c r="F555" s="29">
        <v>3390.679932</v>
      </c>
      <c r="G555" s="29">
        <v>27463.189450000002</v>
      </c>
      <c r="H555" s="29">
        <v>11.73459435</v>
      </c>
      <c r="I555" s="29">
        <v>9.5466699599999991</v>
      </c>
      <c r="J555" s="29">
        <v>12.469868659999999</v>
      </c>
      <c r="L555" s="30">
        <f t="shared" si="38"/>
        <v>3.2060220513454585E-3</v>
      </c>
      <c r="M555" s="30">
        <f t="shared" si="38"/>
        <v>6.1535782484603008E-3</v>
      </c>
      <c r="N555" s="30">
        <f t="shared" si="38"/>
        <v>2.6192901559017878E-2</v>
      </c>
      <c r="O555" s="30">
        <f t="shared" si="38"/>
        <v>8.2081367895248114E-3</v>
      </c>
      <c r="P555" s="30">
        <f t="shared" si="38"/>
        <v>-3.0256188933577288E-3</v>
      </c>
      <c r="Q555" s="30">
        <f t="shared" si="38"/>
        <v>-8.0255861793478989E-3</v>
      </c>
      <c r="R555" s="30">
        <f t="shared" si="37"/>
        <v>1.6117467432468224E-3</v>
      </c>
      <c r="S555" s="30">
        <f t="shared" si="37"/>
        <v>9.5802071519490717E-4</v>
      </c>
      <c r="T555" s="30">
        <f t="shared" si="37"/>
        <v>1.4749914363749728E-3</v>
      </c>
      <c r="U555" s="63">
        <f t="shared" si="39"/>
        <v>3.2013217385573724E-3</v>
      </c>
    </row>
    <row r="556" spans="1:21">
      <c r="A556" s="28">
        <v>44132</v>
      </c>
      <c r="B556" s="29">
        <v>1876.1999510000001</v>
      </c>
      <c r="C556" s="29">
        <v>23.323999400000002</v>
      </c>
      <c r="D556" s="29">
        <v>37.38999939</v>
      </c>
      <c r="E556" s="29">
        <v>11142.759770000001</v>
      </c>
      <c r="F556" s="29">
        <v>3271.030029</v>
      </c>
      <c r="G556" s="29">
        <v>26519.949219999999</v>
      </c>
      <c r="H556" s="29">
        <v>11.72515583</v>
      </c>
      <c r="I556" s="29">
        <v>9.5375328059999998</v>
      </c>
      <c r="J556" s="29">
        <v>12.460689540000001</v>
      </c>
      <c r="L556" s="30">
        <f t="shared" si="38"/>
        <v>-1.707884386165992E-2</v>
      </c>
      <c r="M556" s="30">
        <f t="shared" si="38"/>
        <v>-4.9009203114187327E-2</v>
      </c>
      <c r="N556" s="30">
        <f t="shared" si="38"/>
        <v>-5.5092249610275479E-2</v>
      </c>
      <c r="O556" s="30">
        <f t="shared" ref="L556:T587" si="40">(E556/E555)-1</f>
        <v>-3.9330320600910795E-2</v>
      </c>
      <c r="P556" s="30">
        <f t="shared" si="40"/>
        <v>-3.5287878950409857E-2</v>
      </c>
      <c r="Q556" s="30">
        <f t="shared" si="40"/>
        <v>-3.4345618585826854E-2</v>
      </c>
      <c r="R556" s="30">
        <f t="shared" si="37"/>
        <v>-8.0433287410563992E-4</v>
      </c>
      <c r="S556" s="30">
        <f t="shared" si="37"/>
        <v>-9.5710378993763001E-4</v>
      </c>
      <c r="T556" s="30">
        <f t="shared" si="37"/>
        <v>-7.3610398395318466E-4</v>
      </c>
      <c r="U556" s="63">
        <f t="shared" si="39"/>
        <v>-2.9239306379301444E-2</v>
      </c>
    </row>
    <row r="557" spans="1:21">
      <c r="A557" s="28">
        <v>44133</v>
      </c>
      <c r="B557" s="29">
        <v>1865.599976</v>
      </c>
      <c r="C557" s="29">
        <v>23.3390007</v>
      </c>
      <c r="D557" s="29">
        <v>36.16999817</v>
      </c>
      <c r="E557" s="29">
        <v>11350.740229999999</v>
      </c>
      <c r="F557" s="29">
        <v>3310.110107</v>
      </c>
      <c r="G557" s="29">
        <v>26659.109380000002</v>
      </c>
      <c r="H557" s="29">
        <v>11.696834559999999</v>
      </c>
      <c r="I557" s="29">
        <v>9.5101280209999999</v>
      </c>
      <c r="J557" s="29">
        <v>12.42395687</v>
      </c>
      <c r="L557" s="30">
        <f t="shared" si="40"/>
        <v>-5.649704336870065E-3</v>
      </c>
      <c r="M557" s="30">
        <f t="shared" si="40"/>
        <v>6.4317014173820297E-4</v>
      </c>
      <c r="N557" s="30">
        <f t="shared" si="40"/>
        <v>-3.2629078360624231E-2</v>
      </c>
      <c r="O557" s="30">
        <f t="shared" si="40"/>
        <v>1.8665076183366214E-2</v>
      </c>
      <c r="P557" s="30">
        <f t="shared" si="40"/>
        <v>1.1947330857108529E-2</v>
      </c>
      <c r="Q557" s="30">
        <f t="shared" si="40"/>
        <v>5.2473765634157843E-3</v>
      </c>
      <c r="R557" s="30">
        <f t="shared" si="37"/>
        <v>-2.4154280259148786E-3</v>
      </c>
      <c r="S557" s="30">
        <f t="shared" si="37"/>
        <v>-2.8733620693560669E-3</v>
      </c>
      <c r="T557" s="30">
        <f t="shared" si="37"/>
        <v>-2.9478842147607764E-3</v>
      </c>
      <c r="U557" s="63">
        <f t="shared" si="39"/>
        <v>2.5854398193629119E-3</v>
      </c>
    </row>
    <row r="558" spans="1:21">
      <c r="A558" s="28">
        <v>44134</v>
      </c>
      <c r="B558" s="29">
        <v>1877.400024</v>
      </c>
      <c r="C558" s="29">
        <v>23.617000579999999</v>
      </c>
      <c r="D558" s="29">
        <v>35.790000919999997</v>
      </c>
      <c r="E558" s="29">
        <v>11052.950199999999</v>
      </c>
      <c r="F558" s="29">
        <v>3269.959961</v>
      </c>
      <c r="G558" s="29">
        <v>26501.599610000001</v>
      </c>
      <c r="H558" s="29">
        <v>11.68832207</v>
      </c>
      <c r="I558" s="29">
        <v>9.5238494869999997</v>
      </c>
      <c r="J558" s="29">
        <v>12.447875979999999</v>
      </c>
      <c r="L558" s="30">
        <f t="shared" si="40"/>
        <v>6.3250686920035548E-3</v>
      </c>
      <c r="M558" s="30">
        <f t="shared" si="40"/>
        <v>1.1911387448563682E-2</v>
      </c>
      <c r="N558" s="30">
        <f t="shared" si="40"/>
        <v>-1.0505868654292039E-2</v>
      </c>
      <c r="O558" s="30">
        <f t="shared" si="40"/>
        <v>-2.623529602174679E-2</v>
      </c>
      <c r="P558" s="30">
        <f t="shared" si="40"/>
        <v>-1.212954998538962E-2</v>
      </c>
      <c r="Q558" s="30">
        <f t="shared" si="40"/>
        <v>-5.9082907742659119E-3</v>
      </c>
      <c r="R558" s="30">
        <f t="shared" si="37"/>
        <v>-7.2776014368103326E-4</v>
      </c>
      <c r="S558" s="30">
        <f t="shared" si="37"/>
        <v>1.4428266338477602E-3</v>
      </c>
      <c r="T558" s="30">
        <f t="shared" si="37"/>
        <v>1.9252409075691812E-3</v>
      </c>
      <c r="U558" s="63">
        <f t="shared" si="39"/>
        <v>-5.2511503990893089E-3</v>
      </c>
    </row>
    <row r="559" spans="1:21">
      <c r="A559" s="28">
        <v>44137</v>
      </c>
      <c r="B559" s="29">
        <v>1890.400024</v>
      </c>
      <c r="C559" s="29">
        <v>24.006000520000001</v>
      </c>
      <c r="D559" s="29">
        <v>36.810001370000002</v>
      </c>
      <c r="E559" s="29">
        <v>11084.759770000001</v>
      </c>
      <c r="F559" s="29">
        <v>3310.23999</v>
      </c>
      <c r="G559" s="29">
        <v>26925.050780000001</v>
      </c>
      <c r="H559" s="29">
        <v>11.70723343</v>
      </c>
      <c r="I559" s="29">
        <v>9.5238494869999997</v>
      </c>
      <c r="J559" s="29">
        <v>12.429480549999999</v>
      </c>
      <c r="L559" s="30">
        <f t="shared" si="40"/>
        <v>6.9244699231985063E-3</v>
      </c>
      <c r="M559" s="30">
        <f t="shared" si="40"/>
        <v>1.6471183065025929E-2</v>
      </c>
      <c r="N559" s="30">
        <f t="shared" si="40"/>
        <v>2.8499592729264611E-2</v>
      </c>
      <c r="O559" s="30">
        <f t="shared" si="40"/>
        <v>2.8779257505386902E-3</v>
      </c>
      <c r="P559" s="30">
        <f t="shared" si="40"/>
        <v>1.2318202510247733E-2</v>
      </c>
      <c r="Q559" s="30">
        <f t="shared" si="40"/>
        <v>1.5978324940062016E-2</v>
      </c>
      <c r="R559" s="30">
        <f t="shared" si="37"/>
        <v>1.6179704740117984E-3</v>
      </c>
      <c r="S559" s="30">
        <f t="shared" si="37"/>
        <v>0</v>
      </c>
      <c r="T559" s="30">
        <f t="shared" si="37"/>
        <v>-1.4777966963646083E-3</v>
      </c>
      <c r="U559" s="63">
        <f t="shared" si="39"/>
        <v>9.5611033704876332E-3</v>
      </c>
    </row>
    <row r="560" spans="1:21">
      <c r="A560" s="28">
        <v>44138</v>
      </c>
      <c r="B560" s="29">
        <v>1908.5</v>
      </c>
      <c r="C560" s="29">
        <v>24.30500031</v>
      </c>
      <c r="D560" s="29">
        <v>37.659999849999998</v>
      </c>
      <c r="E560" s="29">
        <v>11279.910159999999</v>
      </c>
      <c r="F560" s="29">
        <v>3369.1599120000001</v>
      </c>
      <c r="G560" s="29">
        <v>27480.029299999998</v>
      </c>
      <c r="H560" s="29">
        <v>11.697781559999999</v>
      </c>
      <c r="I560" s="29">
        <v>9.514702797</v>
      </c>
      <c r="J560" s="29">
        <v>12.420278550000001</v>
      </c>
      <c r="L560" s="30">
        <f t="shared" si="40"/>
        <v>9.5746803693439464E-3</v>
      </c>
      <c r="M560" s="30">
        <f t="shared" si="40"/>
        <v>1.245521051084264E-2</v>
      </c>
      <c r="N560" s="30">
        <f t="shared" si="40"/>
        <v>2.3091509056360371E-2</v>
      </c>
      <c r="O560" s="30">
        <f t="shared" si="40"/>
        <v>1.7605288165843502E-2</v>
      </c>
      <c r="P560" s="30">
        <f t="shared" si="40"/>
        <v>1.7799290135456225E-2</v>
      </c>
      <c r="Q560" s="30">
        <f t="shared" si="40"/>
        <v>2.0611976725118719E-2</v>
      </c>
      <c r="R560" s="30">
        <f t="shared" si="37"/>
        <v>-8.0735299731704568E-4</v>
      </c>
      <c r="S560" s="30">
        <f t="shared" si="37"/>
        <v>-9.6039842003858844E-4</v>
      </c>
      <c r="T560" s="30">
        <f t="shared" si="37"/>
        <v>-7.4033665067352317E-4</v>
      </c>
      <c r="U560" s="63">
        <f t="shared" si="39"/>
        <v>1.2080144883068251E-2</v>
      </c>
    </row>
    <row r="561" spans="1:21">
      <c r="A561" s="28">
        <v>44139</v>
      </c>
      <c r="B561" s="29">
        <v>1894.599976</v>
      </c>
      <c r="C561" s="29">
        <v>23.864000319999999</v>
      </c>
      <c r="D561" s="29">
        <v>39.150001529999997</v>
      </c>
      <c r="E561" s="29">
        <v>11777.01953</v>
      </c>
      <c r="F561" s="29">
        <v>3443.4399410000001</v>
      </c>
      <c r="G561" s="29">
        <v>27847.660159999999</v>
      </c>
      <c r="H561" s="29">
        <v>11.763976100000001</v>
      </c>
      <c r="I561" s="29">
        <v>9.5695953370000009</v>
      </c>
      <c r="J561" s="29">
        <v>12.503082279999999</v>
      </c>
      <c r="L561" s="30">
        <f t="shared" si="40"/>
        <v>-7.2832192821588038E-3</v>
      </c>
      <c r="M561" s="30">
        <f t="shared" si="40"/>
        <v>-1.8144414086617267E-2</v>
      </c>
      <c r="N561" s="30">
        <f t="shared" si="40"/>
        <v>3.9564569461887578E-2</v>
      </c>
      <c r="O561" s="30">
        <f t="shared" si="40"/>
        <v>4.407033060979626E-2</v>
      </c>
      <c r="P561" s="30">
        <f t="shared" si="40"/>
        <v>2.2047047614283777E-2</v>
      </c>
      <c r="Q561" s="30">
        <f t="shared" si="40"/>
        <v>1.3378110190006343E-2</v>
      </c>
      <c r="R561" s="30">
        <f t="shared" si="37"/>
        <v>5.6587259439302429E-3</v>
      </c>
      <c r="S561" s="30">
        <f t="shared" si="37"/>
        <v>5.769233277292507E-3</v>
      </c>
      <c r="T561" s="30">
        <f t="shared" si="37"/>
        <v>6.666817468437447E-3</v>
      </c>
      <c r="U561" s="63">
        <f t="shared" si="39"/>
        <v>1.3754234846771218E-2</v>
      </c>
    </row>
    <row r="562" spans="1:21">
      <c r="A562" s="28">
        <v>44140</v>
      </c>
      <c r="B562" s="29">
        <v>1945.3000489999999</v>
      </c>
      <c r="C562" s="29">
        <v>25.17099953</v>
      </c>
      <c r="D562" s="29">
        <v>38.790000919999997</v>
      </c>
      <c r="E562" s="29">
        <v>12078.070309999999</v>
      </c>
      <c r="F562" s="29">
        <v>3510.4499510000001</v>
      </c>
      <c r="G562" s="29">
        <v>28390.179690000001</v>
      </c>
      <c r="H562" s="29">
        <v>11.782889369999999</v>
      </c>
      <c r="I562" s="29">
        <v>9.5787410739999999</v>
      </c>
      <c r="J562" s="29">
        <v>12.5214777</v>
      </c>
      <c r="L562" s="30">
        <f t="shared" si="40"/>
        <v>2.6760304888761466E-2</v>
      </c>
      <c r="M562" s="30">
        <f t="shared" si="40"/>
        <v>5.476865540035325E-2</v>
      </c>
      <c r="N562" s="30">
        <f t="shared" si="40"/>
        <v>-9.1954175205877231E-3</v>
      </c>
      <c r="O562" s="30">
        <f t="shared" si="40"/>
        <v>2.5562560988637406E-2</v>
      </c>
      <c r="P562" s="30">
        <f t="shared" si="40"/>
        <v>1.9460194209323101E-2</v>
      </c>
      <c r="Q562" s="30">
        <f t="shared" si="40"/>
        <v>1.9481691707056603E-2</v>
      </c>
      <c r="R562" s="30">
        <f t="shared" si="37"/>
        <v>1.6077276797594742E-3</v>
      </c>
      <c r="S562" s="30">
        <f t="shared" si="37"/>
        <v>9.557078097792715E-4</v>
      </c>
      <c r="T562" s="30">
        <f t="shared" si="37"/>
        <v>1.4712708105124594E-3</v>
      </c>
      <c r="U562" s="63">
        <f t="shared" si="39"/>
        <v>1.8952370784137709E-2</v>
      </c>
    </row>
    <row r="563" spans="1:21">
      <c r="A563" s="28">
        <v>44141</v>
      </c>
      <c r="B563" s="29">
        <v>1950.3000489999999</v>
      </c>
      <c r="C563" s="29">
        <v>25.64599991</v>
      </c>
      <c r="D563" s="29">
        <v>37.13999939</v>
      </c>
      <c r="E563" s="29">
        <v>12091.349609999999</v>
      </c>
      <c r="F563" s="29">
        <v>3509.4399410000001</v>
      </c>
      <c r="G563" s="29">
        <v>28323.400389999999</v>
      </c>
      <c r="H563" s="29">
        <v>11.75452042</v>
      </c>
      <c r="I563" s="29">
        <v>9.5604457860000007</v>
      </c>
      <c r="J563" s="29">
        <v>12.49387741</v>
      </c>
      <c r="L563" s="30">
        <f t="shared" si="40"/>
        <v>2.5702975757238011E-3</v>
      </c>
      <c r="M563" s="30">
        <f t="shared" si="40"/>
        <v>1.8870938336551735E-2</v>
      </c>
      <c r="N563" s="30">
        <f t="shared" si="40"/>
        <v>-4.2536774706526503E-2</v>
      </c>
      <c r="O563" s="30">
        <f t="shared" si="40"/>
        <v>1.0994554311383187E-3</v>
      </c>
      <c r="P563" s="30">
        <f t="shared" si="40"/>
        <v>-2.877152541975736E-4</v>
      </c>
      <c r="Q563" s="30">
        <f t="shared" si="40"/>
        <v>-2.3521971586366597E-3</v>
      </c>
      <c r="R563" s="30">
        <f t="shared" si="37"/>
        <v>-2.4076395109189352E-3</v>
      </c>
      <c r="S563" s="30">
        <f t="shared" si="37"/>
        <v>-1.9099887823107453E-3</v>
      </c>
      <c r="T563" s="30">
        <f t="shared" si="37"/>
        <v>-2.2042358467004863E-3</v>
      </c>
      <c r="U563" s="63">
        <f t="shared" si="39"/>
        <v>-7.9614938621168981E-4</v>
      </c>
    </row>
    <row r="564" spans="1:21">
      <c r="A564" s="28">
        <v>44144</v>
      </c>
      <c r="B564" s="29">
        <v>1853.1999510000001</v>
      </c>
      <c r="C564" s="29">
        <v>23.684999470000001</v>
      </c>
      <c r="D564" s="29">
        <v>40.290000919999997</v>
      </c>
      <c r="E564" s="29">
        <v>11830.389649999999</v>
      </c>
      <c r="F564" s="29">
        <v>3550.5</v>
      </c>
      <c r="G564" s="29">
        <v>29157.970700000002</v>
      </c>
      <c r="H564" s="29">
        <v>11.716691020000001</v>
      </c>
      <c r="I564" s="29">
        <v>9.5238494869999997</v>
      </c>
      <c r="J564" s="29">
        <v>12.46627808</v>
      </c>
      <c r="L564" s="30">
        <f t="shared" si="40"/>
        <v>-4.9787261221567958E-2</v>
      </c>
      <c r="M564" s="30">
        <f t="shared" si="40"/>
        <v>-7.6464183376814154E-2</v>
      </c>
      <c r="N564" s="30">
        <f t="shared" si="40"/>
        <v>8.4814259066685382E-2</v>
      </c>
      <c r="O564" s="30">
        <f t="shared" si="40"/>
        <v>-2.1582368256408357E-2</v>
      </c>
      <c r="P564" s="30">
        <f t="shared" si="40"/>
        <v>1.1699889352800863E-2</v>
      </c>
      <c r="Q564" s="30">
        <f t="shared" si="40"/>
        <v>2.9465752646516963E-2</v>
      </c>
      <c r="R564" s="30">
        <f t="shared" si="40"/>
        <v>-3.2182852764995884E-3</v>
      </c>
      <c r="S564" s="30">
        <f t="shared" si="40"/>
        <v>-3.827886253336743E-3</v>
      </c>
      <c r="T564" s="30">
        <f t="shared" si="40"/>
        <v>-2.20902839801429E-3</v>
      </c>
      <c r="U564" s="63">
        <f t="shared" si="39"/>
        <v>-6.7728919633388189E-3</v>
      </c>
    </row>
    <row r="565" spans="1:21">
      <c r="A565" s="28">
        <v>44145</v>
      </c>
      <c r="B565" s="29">
        <v>1875.400024</v>
      </c>
      <c r="C565" s="29">
        <v>24.445999149999999</v>
      </c>
      <c r="D565" s="29">
        <v>41.36000061</v>
      </c>
      <c r="E565" s="29">
        <v>11624.29004</v>
      </c>
      <c r="F565" s="29">
        <v>3545.530029</v>
      </c>
      <c r="G565" s="29">
        <v>29420.91992</v>
      </c>
      <c r="H565" s="29">
        <v>11.697781559999999</v>
      </c>
      <c r="I565" s="29">
        <v>9.5238494869999997</v>
      </c>
      <c r="J565" s="29">
        <v>12.438681600000001</v>
      </c>
      <c r="L565" s="30">
        <f t="shared" si="40"/>
        <v>1.1979318792891602E-2</v>
      </c>
      <c r="M565" s="30">
        <f t="shared" si="40"/>
        <v>3.2130027318088006E-2</v>
      </c>
      <c r="N565" s="30">
        <f t="shared" si="40"/>
        <v>2.6557450125766824E-2</v>
      </c>
      <c r="O565" s="30">
        <f t="shared" si="40"/>
        <v>-1.7421202183311002E-2</v>
      </c>
      <c r="P565" s="30">
        <f t="shared" si="40"/>
        <v>-1.3997946768060654E-3</v>
      </c>
      <c r="Q565" s="30">
        <f t="shared" si="40"/>
        <v>9.0180905490793162E-3</v>
      </c>
      <c r="R565" s="30">
        <f t="shared" si="40"/>
        <v>-1.613890813346841E-3</v>
      </c>
      <c r="S565" s="30">
        <f t="shared" si="40"/>
        <v>0</v>
      </c>
      <c r="T565" s="30">
        <f t="shared" si="40"/>
        <v>-2.2136903912222117E-3</v>
      </c>
      <c r="U565" s="63">
        <f t="shared" si="39"/>
        <v>5.0702817287181755E-3</v>
      </c>
    </row>
    <row r="566" spans="1:21">
      <c r="A566" s="28">
        <v>44146</v>
      </c>
      <c r="B566" s="29">
        <v>1860.6999510000001</v>
      </c>
      <c r="C566" s="29">
        <v>24.250999449999998</v>
      </c>
      <c r="D566" s="29">
        <v>41.450000760000002</v>
      </c>
      <c r="E566" s="29">
        <v>11892.929690000001</v>
      </c>
      <c r="F566" s="29">
        <v>3572.6599120000001</v>
      </c>
      <c r="G566" s="29">
        <v>29397.630860000001</v>
      </c>
      <c r="H566" s="29">
        <v>11.70723343</v>
      </c>
      <c r="I566" s="29">
        <v>9.5238494869999997</v>
      </c>
      <c r="J566" s="29">
        <v>12.447875979999999</v>
      </c>
      <c r="L566" s="30">
        <f t="shared" si="40"/>
        <v>-7.8383666481173231E-3</v>
      </c>
      <c r="M566" s="30">
        <f t="shared" si="40"/>
        <v>-7.9767531203567277E-3</v>
      </c>
      <c r="N566" s="30">
        <f t="shared" si="40"/>
        <v>2.1760190684871894E-3</v>
      </c>
      <c r="O566" s="30">
        <f t="shared" si="40"/>
        <v>2.3110198478839772E-2</v>
      </c>
      <c r="P566" s="30">
        <f t="shared" si="40"/>
        <v>7.6518553722846328E-3</v>
      </c>
      <c r="Q566" s="30">
        <f t="shared" si="40"/>
        <v>-7.915816386205865E-4</v>
      </c>
      <c r="R566" s="30">
        <f t="shared" si="40"/>
        <v>8.0800534285252468E-4</v>
      </c>
      <c r="S566" s="30">
        <f t="shared" si="40"/>
        <v>0</v>
      </c>
      <c r="T566" s="30">
        <f t="shared" si="40"/>
        <v>7.3917640917819938E-4</v>
      </c>
      <c r="U566" s="63">
        <f t="shared" si="39"/>
        <v>3.647209642049609E-3</v>
      </c>
    </row>
    <row r="567" spans="1:21">
      <c r="A567" s="28">
        <v>44147</v>
      </c>
      <c r="B567" s="29">
        <v>1872.599976</v>
      </c>
      <c r="C567" s="29">
        <v>24.290000920000001</v>
      </c>
      <c r="D567" s="29">
        <v>41.119998930000001</v>
      </c>
      <c r="E567" s="29">
        <v>11827.139649999999</v>
      </c>
      <c r="F567" s="29">
        <v>3537.01001</v>
      </c>
      <c r="G567" s="29">
        <v>29080.16992</v>
      </c>
      <c r="H567" s="29">
        <v>11.745061870000001</v>
      </c>
      <c r="I567" s="29">
        <v>9.5604457860000007</v>
      </c>
      <c r="J567" s="29">
        <v>12.48468113</v>
      </c>
      <c r="L567" s="30">
        <f t="shared" si="40"/>
        <v>6.3954561795975806E-3</v>
      </c>
      <c r="M567" s="30">
        <f t="shared" si="40"/>
        <v>1.6082417584650788E-3</v>
      </c>
      <c r="N567" s="30">
        <f t="shared" si="40"/>
        <v>-7.9614432798384982E-3</v>
      </c>
      <c r="O567" s="30">
        <f t="shared" si="40"/>
        <v>-5.5318615105679481E-3</v>
      </c>
      <c r="P567" s="30">
        <f t="shared" si="40"/>
        <v>-9.9785322079657401E-3</v>
      </c>
      <c r="Q567" s="30">
        <f t="shared" si="40"/>
        <v>-1.0798861361034251E-2</v>
      </c>
      <c r="R567" s="30">
        <f t="shared" si="40"/>
        <v>3.2312023353924246E-3</v>
      </c>
      <c r="S567" s="30">
        <f t="shared" si="40"/>
        <v>3.8425952709515432E-3</v>
      </c>
      <c r="T567" s="30">
        <f t="shared" si="40"/>
        <v>2.9567413797451092E-3</v>
      </c>
      <c r="U567" s="63">
        <f t="shared" si="39"/>
        <v>-3.1503241635203439E-3</v>
      </c>
    </row>
    <row r="568" spans="1:21">
      <c r="A568" s="28">
        <v>44148</v>
      </c>
      <c r="B568" s="29">
        <v>1885.6999510000001</v>
      </c>
      <c r="C568" s="29">
        <v>24.759000780000001</v>
      </c>
      <c r="D568" s="29">
        <v>40.130001069999999</v>
      </c>
      <c r="E568" s="29">
        <v>11937.839840000001</v>
      </c>
      <c r="F568" s="29">
        <v>3585.1499020000001</v>
      </c>
      <c r="G568" s="29">
        <v>29479.810549999998</v>
      </c>
      <c r="H568" s="29">
        <v>11.73560619</v>
      </c>
      <c r="I568" s="29">
        <v>9.5604457860000007</v>
      </c>
      <c r="J568" s="29">
        <v>12.48468113</v>
      </c>
      <c r="L568" s="30">
        <f t="shared" si="40"/>
        <v>6.9956078008621692E-3</v>
      </c>
      <c r="M568" s="30">
        <f t="shared" si="40"/>
        <v>1.9308350853697753E-2</v>
      </c>
      <c r="N568" s="30">
        <f t="shared" si="40"/>
        <v>-2.4075824070066476E-2</v>
      </c>
      <c r="O568" s="30">
        <f t="shared" si="40"/>
        <v>9.359844668782813E-3</v>
      </c>
      <c r="P568" s="30">
        <f t="shared" si="40"/>
        <v>1.3610335244711447E-2</v>
      </c>
      <c r="Q568" s="30">
        <f t="shared" si="40"/>
        <v>1.3742719904987322E-2</v>
      </c>
      <c r="R568" s="30">
        <f t="shared" si="40"/>
        <v>-8.050770702325849E-4</v>
      </c>
      <c r="S568" s="30">
        <f t="shared" si="40"/>
        <v>0</v>
      </c>
      <c r="T568" s="30">
        <f t="shared" si="40"/>
        <v>0</v>
      </c>
      <c r="U568" s="63">
        <f t="shared" si="39"/>
        <v>7.1608124608152244E-3</v>
      </c>
    </row>
    <row r="569" spans="1:21">
      <c r="A569" s="28">
        <v>44151</v>
      </c>
      <c r="B569" s="29">
        <v>1887.3000489999999</v>
      </c>
      <c r="C569" s="29">
        <v>24.7859993</v>
      </c>
      <c r="D569" s="29">
        <v>41.340000150000002</v>
      </c>
      <c r="E569" s="29">
        <v>12013.37988</v>
      </c>
      <c r="F569" s="29">
        <v>3626.9099120000001</v>
      </c>
      <c r="G569" s="29">
        <v>29950.439450000002</v>
      </c>
      <c r="H569" s="29">
        <v>11.73560619</v>
      </c>
      <c r="I569" s="29">
        <v>9.5512952799999997</v>
      </c>
      <c r="J569" s="29">
        <v>12.48468113</v>
      </c>
      <c r="L569" s="30">
        <f t="shared" si="40"/>
        <v>8.4854326858918583E-4</v>
      </c>
      <c r="M569" s="30">
        <f t="shared" si="40"/>
        <v>1.0904527302979528E-3</v>
      </c>
      <c r="N569" s="30">
        <f t="shared" si="40"/>
        <v>3.0151982251118481E-2</v>
      </c>
      <c r="O569" s="30">
        <f t="shared" si="40"/>
        <v>6.3277813249671411E-3</v>
      </c>
      <c r="P569" s="30">
        <f t="shared" si="40"/>
        <v>1.1648051306502927E-2</v>
      </c>
      <c r="Q569" s="30">
        <f t="shared" si="40"/>
        <v>1.5964447912641067E-2</v>
      </c>
      <c r="R569" s="30">
        <f t="shared" si="40"/>
        <v>0</v>
      </c>
      <c r="S569" s="30">
        <f t="shared" si="40"/>
        <v>-9.571212686965147E-4</v>
      </c>
      <c r="T569" s="30">
        <f t="shared" si="40"/>
        <v>0</v>
      </c>
      <c r="U569" s="63">
        <f t="shared" si="39"/>
        <v>7.1709296416288017E-3</v>
      </c>
    </row>
    <row r="570" spans="1:21">
      <c r="A570" s="28">
        <v>44152</v>
      </c>
      <c r="B570" s="29">
        <v>1884.5</v>
      </c>
      <c r="C570" s="29">
        <v>24.635000229999999</v>
      </c>
      <c r="D570" s="29">
        <v>41.430000309999997</v>
      </c>
      <c r="E570" s="29">
        <v>11977.490229999999</v>
      </c>
      <c r="F570" s="29">
        <v>3609.530029</v>
      </c>
      <c r="G570" s="29">
        <v>29783.349610000001</v>
      </c>
      <c r="H570" s="29">
        <v>11.75452042</v>
      </c>
      <c r="I570" s="29">
        <v>9.5695953370000009</v>
      </c>
      <c r="J570" s="29">
        <v>12.512279510000001</v>
      </c>
      <c r="L570" s="30">
        <f t="shared" si="40"/>
        <v>-1.4836268358513482E-3</v>
      </c>
      <c r="M570" s="30">
        <f t="shared" si="40"/>
        <v>-6.092111444544468E-3</v>
      </c>
      <c r="N570" s="30">
        <f t="shared" si="40"/>
        <v>2.1770720772480434E-3</v>
      </c>
      <c r="O570" s="30">
        <f t="shared" si="40"/>
        <v>-2.9874731639636387E-3</v>
      </c>
      <c r="P570" s="30">
        <f t="shared" si="40"/>
        <v>-4.7919257499330348E-3</v>
      </c>
      <c r="Q570" s="30">
        <f t="shared" si="40"/>
        <v>-5.5788777416420077E-3</v>
      </c>
      <c r="R570" s="30">
        <f t="shared" si="40"/>
        <v>1.6116960380041512E-3</v>
      </c>
      <c r="S570" s="30">
        <f t="shared" si="40"/>
        <v>1.9159764684817393E-3</v>
      </c>
      <c r="T570" s="30">
        <f t="shared" si="40"/>
        <v>2.2105794863822581E-3</v>
      </c>
      <c r="U570" s="63">
        <f t="shared" si="39"/>
        <v>-2.3091605994225634E-3</v>
      </c>
    </row>
    <row r="571" spans="1:21">
      <c r="A571" s="28">
        <v>44153</v>
      </c>
      <c r="B571" s="29">
        <v>1873.5</v>
      </c>
      <c r="C571" s="29">
        <v>24.43300056</v>
      </c>
      <c r="D571" s="29">
        <v>41.819999690000003</v>
      </c>
      <c r="E571" s="29">
        <v>11894.70996</v>
      </c>
      <c r="F571" s="29">
        <v>3567.790039</v>
      </c>
      <c r="G571" s="29">
        <v>29438.41992</v>
      </c>
      <c r="H571" s="29">
        <v>11.773431779999999</v>
      </c>
      <c r="I571" s="29">
        <v>9.5695953370000009</v>
      </c>
      <c r="J571" s="29">
        <v>12.53068161</v>
      </c>
      <c r="L571" s="30">
        <f t="shared" si="40"/>
        <v>-5.8370920668612269E-3</v>
      </c>
      <c r="M571" s="30">
        <f t="shared" si="40"/>
        <v>-8.1997023793004553E-3</v>
      </c>
      <c r="N571" s="30">
        <f t="shared" si="40"/>
        <v>9.4134534656489244E-3</v>
      </c>
      <c r="O571" s="30">
        <f t="shared" si="40"/>
        <v>-6.9113201856478845E-3</v>
      </c>
      <c r="P571" s="30">
        <f t="shared" si="40"/>
        <v>-1.1563829546962889E-2</v>
      </c>
      <c r="Q571" s="30">
        <f t="shared" si="40"/>
        <v>-1.1581292719479386E-2</v>
      </c>
      <c r="R571" s="30">
        <f t="shared" si="40"/>
        <v>1.6088584922462346E-3</v>
      </c>
      <c r="S571" s="30">
        <f t="shared" si="40"/>
        <v>0</v>
      </c>
      <c r="T571" s="30">
        <f t="shared" si="40"/>
        <v>1.4707232191617514E-3</v>
      </c>
      <c r="U571" s="63">
        <f t="shared" si="39"/>
        <v>-5.3693265956955664E-3</v>
      </c>
    </row>
    <row r="572" spans="1:21">
      <c r="A572" s="28">
        <v>44154</v>
      </c>
      <c r="B572" s="29">
        <v>1861.099976</v>
      </c>
      <c r="C572" s="29">
        <v>24.033000950000002</v>
      </c>
      <c r="D572" s="29">
        <v>41.740001679999999</v>
      </c>
      <c r="E572" s="29">
        <v>11985.429690000001</v>
      </c>
      <c r="F572" s="29">
        <v>3581.8701169999999</v>
      </c>
      <c r="G572" s="29">
        <v>29483.230469999999</v>
      </c>
      <c r="H572" s="29">
        <v>11.782889369999999</v>
      </c>
      <c r="I572" s="29">
        <v>9.5878925319999997</v>
      </c>
      <c r="J572" s="29">
        <v>12.53988171</v>
      </c>
      <c r="L572" s="30">
        <f t="shared" si="40"/>
        <v>-6.6186410461702705E-3</v>
      </c>
      <c r="M572" s="30">
        <f t="shared" si="40"/>
        <v>-1.6371284771910077E-2</v>
      </c>
      <c r="N572" s="30">
        <f t="shared" si="40"/>
        <v>-1.9129127353659792E-3</v>
      </c>
      <c r="O572" s="30">
        <f t="shared" si="40"/>
        <v>7.6268971925399498E-3</v>
      </c>
      <c r="P572" s="30">
        <f t="shared" si="40"/>
        <v>3.9464424324551217E-3</v>
      </c>
      <c r="Q572" s="30">
        <f t="shared" si="40"/>
        <v>1.5221791835897669E-3</v>
      </c>
      <c r="R572" s="30">
        <f t="shared" si="40"/>
        <v>8.0329934183387408E-4</v>
      </c>
      <c r="S572" s="30">
        <f t="shared" si="40"/>
        <v>1.9120134504804209E-3</v>
      </c>
      <c r="T572" s="30">
        <f t="shared" si="40"/>
        <v>7.3420587054551234E-4</v>
      </c>
      <c r="U572" s="63">
        <f t="shared" si="39"/>
        <v>-4.9751845786629378E-4</v>
      </c>
    </row>
    <row r="573" spans="1:21">
      <c r="A573" s="28">
        <v>44155</v>
      </c>
      <c r="B573" s="29">
        <v>1872.599976</v>
      </c>
      <c r="C573" s="29">
        <v>24.347999569999999</v>
      </c>
      <c r="D573" s="29">
        <v>42.150001529999997</v>
      </c>
      <c r="E573" s="29">
        <v>11906.440430000001</v>
      </c>
      <c r="F573" s="29">
        <v>3557.540039</v>
      </c>
      <c r="G573" s="29">
        <v>29263.480469999999</v>
      </c>
      <c r="H573" s="29">
        <v>11.80180073</v>
      </c>
      <c r="I573" s="29">
        <v>9.6061916350000001</v>
      </c>
      <c r="J573" s="29">
        <v>12.55828094</v>
      </c>
      <c r="L573" s="30">
        <f t="shared" si="40"/>
        <v>6.1791414476919382E-3</v>
      </c>
      <c r="M573" s="30">
        <f t="shared" si="40"/>
        <v>1.3106919966230812E-2</v>
      </c>
      <c r="N573" s="30">
        <f t="shared" si="40"/>
        <v>9.8227080378019416E-3</v>
      </c>
      <c r="O573" s="30">
        <f t="shared" si="40"/>
        <v>-6.5904403966347003E-3</v>
      </c>
      <c r="P573" s="30">
        <f t="shared" si="40"/>
        <v>-6.7925628806377869E-3</v>
      </c>
      <c r="Q573" s="30">
        <f t="shared" si="40"/>
        <v>-7.4533894860537853E-3</v>
      </c>
      <c r="R573" s="30">
        <f t="shared" si="40"/>
        <v>1.6049849409729422E-3</v>
      </c>
      <c r="S573" s="30">
        <f t="shared" si="40"/>
        <v>1.9085636326154898E-3</v>
      </c>
      <c r="T573" s="30">
        <f t="shared" si="40"/>
        <v>1.4672570623475156E-3</v>
      </c>
      <c r="U573" s="63">
        <f t="shared" si="39"/>
        <v>4.3995183240247497E-4</v>
      </c>
    </row>
    <row r="574" spans="1:21">
      <c r="A574" s="28">
        <v>44158</v>
      </c>
      <c r="B574" s="29">
        <v>1837.8000489999999</v>
      </c>
      <c r="C574" s="29">
        <v>23.624000550000002</v>
      </c>
      <c r="D574" s="29">
        <v>43.060001370000002</v>
      </c>
      <c r="E574" s="29">
        <v>11905.940430000001</v>
      </c>
      <c r="F574" s="29">
        <v>3577.5900879999999</v>
      </c>
      <c r="G574" s="29">
        <v>29591.269530000001</v>
      </c>
      <c r="H574" s="29">
        <v>11.792346</v>
      </c>
      <c r="I574" s="29">
        <v>9.5970411299999991</v>
      </c>
      <c r="J574" s="29">
        <v>12.54908466</v>
      </c>
      <c r="L574" s="30">
        <f t="shared" si="40"/>
        <v>-1.8583748502622011E-2</v>
      </c>
      <c r="M574" s="30">
        <f t="shared" si="40"/>
        <v>-2.9735462164705351E-2</v>
      </c>
      <c r="N574" s="30">
        <f t="shared" si="40"/>
        <v>2.1589556511695918E-2</v>
      </c>
      <c r="O574" s="30">
        <f t="shared" si="40"/>
        <v>-4.1994078997853457E-5</v>
      </c>
      <c r="P574" s="30">
        <f t="shared" si="40"/>
        <v>5.6359306656281749E-3</v>
      </c>
      <c r="Q574" s="30">
        <f t="shared" si="40"/>
        <v>1.1201301237425909E-2</v>
      </c>
      <c r="R574" s="30">
        <f t="shared" si="40"/>
        <v>-8.0112604985493885E-4</v>
      </c>
      <c r="S574" s="30">
        <f t="shared" si="40"/>
        <v>-9.5256323709613788E-4</v>
      </c>
      <c r="T574" s="30">
        <f t="shared" si="40"/>
        <v>-7.3228812477887928E-4</v>
      </c>
      <c r="U574" s="63">
        <f t="shared" si="39"/>
        <v>-2.0674208990383441E-3</v>
      </c>
    </row>
    <row r="575" spans="1:21">
      <c r="A575" s="28">
        <v>44159</v>
      </c>
      <c r="B575" s="29">
        <v>1804.8000489999999</v>
      </c>
      <c r="C575" s="29">
        <v>23.291999820000001</v>
      </c>
      <c r="D575" s="29">
        <v>44.909999849999998</v>
      </c>
      <c r="E575" s="29">
        <v>12079.809569999999</v>
      </c>
      <c r="F575" s="29">
        <v>3635.4099120000001</v>
      </c>
      <c r="G575" s="29">
        <v>30046.240229999999</v>
      </c>
      <c r="H575" s="29">
        <v>11.782889369999999</v>
      </c>
      <c r="I575" s="29">
        <v>9.5787410739999999</v>
      </c>
      <c r="J575" s="29">
        <v>12.53988171</v>
      </c>
      <c r="L575" s="30">
        <f t="shared" si="40"/>
        <v>-1.7956251561727976E-2</v>
      </c>
      <c r="M575" s="30">
        <f t="shared" si="40"/>
        <v>-1.4053535483853574E-2</v>
      </c>
      <c r="N575" s="30">
        <f t="shared" si="40"/>
        <v>4.2963270346965121E-2</v>
      </c>
      <c r="O575" s="30">
        <f t="shared" si="40"/>
        <v>1.4603562064017472E-2</v>
      </c>
      <c r="P575" s="30">
        <f t="shared" si="40"/>
        <v>1.6161668211777558E-2</v>
      </c>
      <c r="Q575" s="30">
        <f t="shared" si="40"/>
        <v>1.5375166636184545E-2</v>
      </c>
      <c r="R575" s="30">
        <f t="shared" si="40"/>
        <v>-8.0192948883972548E-4</v>
      </c>
      <c r="S575" s="30">
        <f t="shared" si="40"/>
        <v>-1.906843552310522E-3</v>
      </c>
      <c r="T575" s="30">
        <f t="shared" si="40"/>
        <v>-7.3335627652071356E-4</v>
      </c>
      <c r="U575" s="63">
        <f t="shared" si="39"/>
        <v>6.9273703476946946E-3</v>
      </c>
    </row>
    <row r="576" spans="1:21">
      <c r="A576" s="28">
        <v>44160</v>
      </c>
      <c r="B576" s="29">
        <v>1805.6999510000001</v>
      </c>
      <c r="C576" s="29">
        <v>23.356000900000002</v>
      </c>
      <c r="D576" s="29">
        <v>45.709999080000003</v>
      </c>
      <c r="E576" s="29">
        <v>12152.219730000001</v>
      </c>
      <c r="F576" s="29">
        <v>3629.6499020000001</v>
      </c>
      <c r="G576" s="29">
        <v>29872.470700000002</v>
      </c>
      <c r="H576" s="29">
        <v>11.773431779999999</v>
      </c>
      <c r="I576" s="29">
        <v>9.5878925319999997</v>
      </c>
      <c r="J576" s="29">
        <v>12.53988171</v>
      </c>
      <c r="L576" s="30">
        <f t="shared" si="40"/>
        <v>4.9861589958322128E-4</v>
      </c>
      <c r="M576" s="30">
        <f t="shared" si="40"/>
        <v>2.7477709297012431E-3</v>
      </c>
      <c r="N576" s="30">
        <f t="shared" si="40"/>
        <v>1.7813387501046885E-2</v>
      </c>
      <c r="O576" s="30">
        <f t="shared" si="40"/>
        <v>5.9943130378339315E-3</v>
      </c>
      <c r="P576" s="30">
        <f t="shared" si="40"/>
        <v>-1.5844183020425895E-3</v>
      </c>
      <c r="Q576" s="30">
        <f t="shared" si="40"/>
        <v>-5.7834034697791248E-3</v>
      </c>
      <c r="R576" s="30">
        <f t="shared" si="40"/>
        <v>-8.0265456994610407E-4</v>
      </c>
      <c r="S576" s="30">
        <f t="shared" si="40"/>
        <v>9.5539256456578237E-4</v>
      </c>
      <c r="T576" s="30">
        <f t="shared" si="40"/>
        <v>0</v>
      </c>
      <c r="U576" s="63">
        <f t="shared" si="39"/>
        <v>1.9230319304688298E-3</v>
      </c>
    </row>
    <row r="577" spans="1:21">
      <c r="A577" s="28">
        <v>44162</v>
      </c>
      <c r="B577" s="29">
        <v>1781.900024</v>
      </c>
      <c r="C577" s="29">
        <v>22.552999499999999</v>
      </c>
      <c r="D577" s="29">
        <v>45.52999878</v>
      </c>
      <c r="E577" s="29">
        <v>12258.20996</v>
      </c>
      <c r="F577" s="29">
        <v>3638.3500979999999</v>
      </c>
      <c r="G577" s="29">
        <v>29910.369139999999</v>
      </c>
      <c r="H577" s="29">
        <v>11.80180073</v>
      </c>
      <c r="I577" s="29">
        <v>9.6061916350000001</v>
      </c>
      <c r="J577" s="29">
        <v>12.567481040000001</v>
      </c>
      <c r="L577" s="30">
        <f t="shared" si="40"/>
        <v>-1.3180443952949927E-2</v>
      </c>
      <c r="M577" s="30">
        <f t="shared" si="40"/>
        <v>-3.4380945755144388E-2</v>
      </c>
      <c r="N577" s="30">
        <f t="shared" si="40"/>
        <v>-3.9378758176077389E-3</v>
      </c>
      <c r="O577" s="30">
        <f t="shared" si="40"/>
        <v>8.7218822861097056E-3</v>
      </c>
      <c r="P577" s="30">
        <f t="shared" si="40"/>
        <v>2.3969793877931522E-3</v>
      </c>
      <c r="Q577" s="30">
        <f t="shared" si="40"/>
        <v>1.26867443876999E-3</v>
      </c>
      <c r="R577" s="30">
        <f t="shared" si="40"/>
        <v>2.4095735661535667E-3</v>
      </c>
      <c r="S577" s="30">
        <f t="shared" si="40"/>
        <v>1.9085636326154898E-3</v>
      </c>
      <c r="T577" s="30">
        <f t="shared" si="40"/>
        <v>2.2009242701221954E-3</v>
      </c>
      <c r="U577" s="63">
        <f t="shared" si="39"/>
        <v>-3.9070478217935814E-3</v>
      </c>
    </row>
    <row r="578" spans="1:21">
      <c r="A578" s="28">
        <v>44165</v>
      </c>
      <c r="B578" s="29">
        <v>1775.6999510000001</v>
      </c>
      <c r="C578" s="29">
        <v>22.5340004</v>
      </c>
      <c r="D578" s="29">
        <v>45.340000150000002</v>
      </c>
      <c r="E578" s="29">
        <v>12268.320309999999</v>
      </c>
      <c r="F578" s="29">
        <v>3621.6298830000001</v>
      </c>
      <c r="G578" s="29">
        <v>29638.640630000002</v>
      </c>
      <c r="H578" s="29">
        <v>11.81979656</v>
      </c>
      <c r="I578" s="29">
        <v>9.6180963520000002</v>
      </c>
      <c r="J578" s="29">
        <v>12.573015209999999</v>
      </c>
      <c r="L578" s="30">
        <f t="shared" si="40"/>
        <v>-3.4794729875372576E-3</v>
      </c>
      <c r="M578" s="30">
        <f t="shared" si="40"/>
        <v>-8.4242009582802257E-4</v>
      </c>
      <c r="N578" s="30">
        <f t="shared" si="40"/>
        <v>-4.1730427210874277E-3</v>
      </c>
      <c r="O578" s="30">
        <f t="shared" si="40"/>
        <v>8.2478192435853082E-4</v>
      </c>
      <c r="P578" s="30">
        <f t="shared" si="40"/>
        <v>-4.5955486826819714E-3</v>
      </c>
      <c r="Q578" s="30">
        <f t="shared" si="40"/>
        <v>-9.0847594935432596E-3</v>
      </c>
      <c r="R578" s="30">
        <f t="shared" si="40"/>
        <v>1.5248376422976051E-3</v>
      </c>
      <c r="S578" s="30">
        <f t="shared" si="40"/>
        <v>1.2392754019840968E-3</v>
      </c>
      <c r="T578" s="30">
        <f t="shared" si="40"/>
        <v>4.4035634367656229E-4</v>
      </c>
      <c r="U578" s="63">
        <f t="shared" si="39"/>
        <v>-1.9659183177018957E-3</v>
      </c>
    </row>
    <row r="579" spans="1:21">
      <c r="A579" s="28">
        <v>44166</v>
      </c>
      <c r="B579" s="29">
        <v>1814.099976</v>
      </c>
      <c r="C579" s="29">
        <v>24.033000950000002</v>
      </c>
      <c r="D579" s="29">
        <v>44.549999239999998</v>
      </c>
      <c r="E579" s="29">
        <v>12455.33008</v>
      </c>
      <c r="F579" s="29">
        <v>3662.4499510000001</v>
      </c>
      <c r="G579" s="29">
        <v>29823.91992</v>
      </c>
      <c r="H579" s="29">
        <v>11.79138184</v>
      </c>
      <c r="I579" s="29">
        <v>9.5906143190000002</v>
      </c>
      <c r="J579" s="29">
        <v>12.563795089999999</v>
      </c>
      <c r="L579" s="30">
        <f t="shared" si="40"/>
        <v>2.1625289215317478E-2</v>
      </c>
      <c r="M579" s="30">
        <f t="shared" si="40"/>
        <v>6.6521723768141916E-2</v>
      </c>
      <c r="N579" s="30">
        <f t="shared" si="40"/>
        <v>-1.7423928261720678E-2</v>
      </c>
      <c r="O579" s="30">
        <f t="shared" si="40"/>
        <v>1.5243306766906661E-2</v>
      </c>
      <c r="P579" s="30">
        <f t="shared" si="40"/>
        <v>1.1271187094962443E-2</v>
      </c>
      <c r="Q579" s="30">
        <f t="shared" si="40"/>
        <v>6.2512748918877037E-3</v>
      </c>
      <c r="R579" s="30">
        <f t="shared" si="40"/>
        <v>-2.4039939990304626E-3</v>
      </c>
      <c r="S579" s="30">
        <f t="shared" si="40"/>
        <v>-2.8573256072950137E-3</v>
      </c>
      <c r="T579" s="30">
        <f t="shared" si="40"/>
        <v>-7.3332608336196259E-4</v>
      </c>
      <c r="U579" s="63">
        <f t="shared" si="39"/>
        <v>1.4879656661235053E-2</v>
      </c>
    </row>
    <row r="580" spans="1:21">
      <c r="A580" s="28">
        <v>44167</v>
      </c>
      <c r="B580" s="29">
        <v>1825.6999510000001</v>
      </c>
      <c r="C580" s="29">
        <v>24.024999619999999</v>
      </c>
      <c r="D580" s="29">
        <v>45.27999878</v>
      </c>
      <c r="E580" s="29">
        <v>12456.410159999999</v>
      </c>
      <c r="F580" s="29">
        <v>3669.01001</v>
      </c>
      <c r="G580" s="29">
        <v>29883.789059999999</v>
      </c>
      <c r="H580" s="29">
        <v>11.772443770000001</v>
      </c>
      <c r="I580" s="29">
        <v>9.5906143190000002</v>
      </c>
      <c r="J580" s="29">
        <v>12.5453577</v>
      </c>
      <c r="L580" s="30">
        <f t="shared" si="40"/>
        <v>6.3943416313678725E-3</v>
      </c>
      <c r="M580" s="30">
        <f t="shared" si="40"/>
        <v>-3.329309567560168E-4</v>
      </c>
      <c r="N580" s="30">
        <f t="shared" si="40"/>
        <v>1.6386073006810609E-2</v>
      </c>
      <c r="O580" s="30">
        <f t="shared" si="40"/>
        <v>8.6716288774546513E-5</v>
      </c>
      <c r="P580" s="30">
        <f t="shared" si="40"/>
        <v>1.7911668658321389E-3</v>
      </c>
      <c r="Q580" s="30">
        <f t="shared" si="40"/>
        <v>2.0074202237865268E-3</v>
      </c>
      <c r="R580" s="30">
        <f t="shared" si="40"/>
        <v>-1.6060942014238799E-3</v>
      </c>
      <c r="S580" s="30">
        <f t="shared" si="40"/>
        <v>0</v>
      </c>
      <c r="T580" s="30">
        <f t="shared" si="40"/>
        <v>-1.4675016480230063E-3</v>
      </c>
      <c r="U580" s="63">
        <f t="shared" ref="U580:U643" si="41">SUMPRODUCT($L$2:$T$2,L580:T580)</f>
        <v>1.9653724616134232E-3</v>
      </c>
    </row>
    <row r="581" spans="1:21">
      <c r="A581" s="28">
        <v>44168</v>
      </c>
      <c r="B581" s="29">
        <v>1836.8000489999999</v>
      </c>
      <c r="C581" s="29">
        <v>24.086999890000001</v>
      </c>
      <c r="D581" s="29">
        <v>45.63999939</v>
      </c>
      <c r="E581" s="29">
        <v>12467.12988</v>
      </c>
      <c r="F581" s="29">
        <v>3666.719971</v>
      </c>
      <c r="G581" s="29">
        <v>29969.519530000001</v>
      </c>
      <c r="H581" s="29">
        <v>11.80085468</v>
      </c>
      <c r="I581" s="29">
        <v>9.6089372629999996</v>
      </c>
      <c r="J581" s="29">
        <v>12.573015209999999</v>
      </c>
      <c r="L581" s="30">
        <f t="shared" si="40"/>
        <v>6.0799136210305527E-3</v>
      </c>
      <c r="M581" s="30">
        <f t="shared" si="40"/>
        <v>2.5806564404018406E-3</v>
      </c>
      <c r="N581" s="30">
        <f t="shared" si="40"/>
        <v>7.9505437212823438E-3</v>
      </c>
      <c r="O581" s="30">
        <f t="shared" si="40"/>
        <v>8.6057859867394448E-4</v>
      </c>
      <c r="P581" s="30">
        <f t="shared" si="40"/>
        <v>-6.2415719601705E-4</v>
      </c>
      <c r="Q581" s="30">
        <f t="shared" si="40"/>
        <v>2.868795179482575E-3</v>
      </c>
      <c r="R581" s="30">
        <f t="shared" si="40"/>
        <v>2.4133400468984156E-3</v>
      </c>
      <c r="S581" s="30">
        <f t="shared" si="40"/>
        <v>1.9105078559671362E-3</v>
      </c>
      <c r="T581" s="30">
        <f t="shared" si="40"/>
        <v>2.2046011489971207E-3</v>
      </c>
      <c r="U581" s="63">
        <f t="shared" si="41"/>
        <v>1.8588012007609369E-3</v>
      </c>
    </row>
    <row r="582" spans="1:21">
      <c r="A582" s="28">
        <v>44169</v>
      </c>
      <c r="B582" s="29">
        <v>1835.900024</v>
      </c>
      <c r="C582" s="29">
        <v>24.20299911</v>
      </c>
      <c r="D582" s="29">
        <v>46.259998320000001</v>
      </c>
      <c r="E582" s="29">
        <v>12528.48047</v>
      </c>
      <c r="F582" s="29">
        <v>3699.1201169999999</v>
      </c>
      <c r="G582" s="29">
        <v>30218.259770000001</v>
      </c>
      <c r="H582" s="29">
        <v>11.76098633</v>
      </c>
      <c r="I582" s="29">
        <v>9.5906143190000002</v>
      </c>
      <c r="J582" s="29">
        <v>12.5453577</v>
      </c>
      <c r="L582" s="30">
        <f t="shared" si="40"/>
        <v>-4.8999617595280043E-4</v>
      </c>
      <c r="M582" s="30">
        <f t="shared" si="40"/>
        <v>4.8158434229974567E-3</v>
      </c>
      <c r="N582" s="30">
        <f t="shared" si="40"/>
        <v>1.3584551671484979E-2</v>
      </c>
      <c r="O582" s="30">
        <f t="shared" si="40"/>
        <v>4.9209874759081895E-3</v>
      </c>
      <c r="P582" s="30">
        <f t="shared" si="40"/>
        <v>8.8362749967960674E-3</v>
      </c>
      <c r="Q582" s="30">
        <f t="shared" si="40"/>
        <v>8.2997740337813486E-3</v>
      </c>
      <c r="R582" s="30">
        <f t="shared" si="40"/>
        <v>-3.3784290274813111E-3</v>
      </c>
      <c r="S582" s="30">
        <f t="shared" si="40"/>
        <v>-1.906864775832573E-3</v>
      </c>
      <c r="T582" s="30">
        <f t="shared" si="40"/>
        <v>-2.1997515741492002E-3</v>
      </c>
      <c r="U582" s="63">
        <f t="shared" si="41"/>
        <v>4.6998066147420098E-3</v>
      </c>
    </row>
    <row r="583" spans="1:21">
      <c r="A583" s="28">
        <v>44172</v>
      </c>
      <c r="B583" s="29">
        <v>1861.8000489999999</v>
      </c>
      <c r="C583" s="29">
        <v>24.740999219999999</v>
      </c>
      <c r="D583" s="29">
        <v>45.759998320000001</v>
      </c>
      <c r="E583" s="29">
        <v>12596.469730000001</v>
      </c>
      <c r="F583" s="29">
        <v>3691.959961</v>
      </c>
      <c r="G583" s="29">
        <v>30069.789059999999</v>
      </c>
      <c r="H583" s="29">
        <v>11.77997017</v>
      </c>
      <c r="I583" s="29">
        <v>9.5997781750000009</v>
      </c>
      <c r="J583" s="29">
        <v>12.5576334</v>
      </c>
      <c r="L583" s="30">
        <f t="shared" si="40"/>
        <v>1.4107535629075185E-2</v>
      </c>
      <c r="M583" s="30">
        <f t="shared" si="40"/>
        <v>2.2228654703280615E-2</v>
      </c>
      <c r="N583" s="30">
        <f t="shared" si="40"/>
        <v>-1.0808474236018939E-2</v>
      </c>
      <c r="O583" s="30">
        <f t="shared" si="40"/>
        <v>5.4267762289930133E-3</v>
      </c>
      <c r="P583" s="30">
        <f t="shared" si="40"/>
        <v>-1.9356376039518786E-3</v>
      </c>
      <c r="Q583" s="30">
        <f t="shared" si="40"/>
        <v>-4.9132779693488171E-3</v>
      </c>
      <c r="R583" s="30">
        <f t="shared" si="40"/>
        <v>1.6141367286157671E-3</v>
      </c>
      <c r="S583" s="30">
        <f t="shared" si="40"/>
        <v>9.5550250434395245E-4</v>
      </c>
      <c r="T583" s="30">
        <f t="shared" si="40"/>
        <v>9.785053797231047E-4</v>
      </c>
      <c r="U583" s="63">
        <f t="shared" si="41"/>
        <v>3.4943250768714375E-3</v>
      </c>
    </row>
    <row r="584" spans="1:21">
      <c r="A584" s="28">
        <v>44173</v>
      </c>
      <c r="B584" s="29">
        <v>1870.8000489999999</v>
      </c>
      <c r="C584" s="29">
        <v>24.684000019999999</v>
      </c>
      <c r="D584" s="29">
        <v>45.599998470000003</v>
      </c>
      <c r="E584" s="29">
        <v>12635.719730000001</v>
      </c>
      <c r="F584" s="29">
        <v>3702.25</v>
      </c>
      <c r="G584" s="29">
        <v>30173.880860000001</v>
      </c>
      <c r="H584" s="29">
        <v>11.789464949999999</v>
      </c>
      <c r="I584" s="29">
        <v>9.6089372629999996</v>
      </c>
      <c r="J584" s="29">
        <v>12.567075729999999</v>
      </c>
      <c r="L584" s="30">
        <f t="shared" si="40"/>
        <v>4.8340314551147401E-3</v>
      </c>
      <c r="M584" s="30">
        <f t="shared" si="40"/>
        <v>-2.3038358108804502E-3</v>
      </c>
      <c r="N584" s="30">
        <f t="shared" si="40"/>
        <v>-3.4965003468994116E-3</v>
      </c>
      <c r="O584" s="30">
        <f t="shared" si="40"/>
        <v>3.115952393115462E-3</v>
      </c>
      <c r="P584" s="30">
        <f t="shared" si="40"/>
        <v>2.7871480483805389E-3</v>
      </c>
      <c r="Q584" s="30">
        <f t="shared" si="40"/>
        <v>3.4616737680568388E-3</v>
      </c>
      <c r="R584" s="30">
        <f t="shared" si="40"/>
        <v>8.0601052999096368E-4</v>
      </c>
      <c r="S584" s="30">
        <f t="shared" si="40"/>
        <v>9.5409371269128407E-4</v>
      </c>
      <c r="T584" s="30">
        <f t="shared" si="40"/>
        <v>7.5191954560471785E-4</v>
      </c>
      <c r="U584" s="63">
        <f t="shared" si="41"/>
        <v>1.2010369556512493E-3</v>
      </c>
    </row>
    <row r="585" spans="1:21">
      <c r="A585" s="28">
        <v>44174</v>
      </c>
      <c r="B585" s="29">
        <v>1834.599976</v>
      </c>
      <c r="C585" s="29">
        <v>23.93000031</v>
      </c>
      <c r="D585" s="29">
        <v>45.520000459999999</v>
      </c>
      <c r="E585" s="29">
        <v>12364.639649999999</v>
      </c>
      <c r="F585" s="29">
        <v>3672.820068</v>
      </c>
      <c r="G585" s="29">
        <v>30068.810549999998</v>
      </c>
      <c r="H585" s="29">
        <v>11.770477290000001</v>
      </c>
      <c r="I585" s="29">
        <v>9.5906143190000002</v>
      </c>
      <c r="J585" s="29">
        <v>12.54819107</v>
      </c>
      <c r="L585" s="30">
        <f t="shared" si="40"/>
        <v>-1.9350049204536868E-2</v>
      </c>
      <c r="M585" s="30">
        <f t="shared" si="40"/>
        <v>-3.0546090965365313E-2</v>
      </c>
      <c r="N585" s="30">
        <f t="shared" si="40"/>
        <v>-1.7543423834243121E-3</v>
      </c>
      <c r="O585" s="30">
        <f t="shared" si="40"/>
        <v>-2.1453473628130326E-2</v>
      </c>
      <c r="P585" s="30">
        <f t="shared" si="40"/>
        <v>-7.9492017016679073E-3</v>
      </c>
      <c r="Q585" s="30">
        <f t="shared" si="40"/>
        <v>-3.4821609619095639E-3</v>
      </c>
      <c r="R585" s="30">
        <f t="shared" si="40"/>
        <v>-1.610561639610153E-3</v>
      </c>
      <c r="S585" s="30">
        <f t="shared" si="40"/>
        <v>-1.906864775832573E-3</v>
      </c>
      <c r="T585" s="30">
        <f t="shared" si="40"/>
        <v>-1.5027091748096577E-3</v>
      </c>
      <c r="U585" s="63">
        <f t="shared" si="41"/>
        <v>-1.1324338801320969E-2</v>
      </c>
    </row>
    <row r="586" spans="1:21">
      <c r="A586" s="28">
        <v>44175</v>
      </c>
      <c r="B586" s="29">
        <v>1833.599976</v>
      </c>
      <c r="C586" s="29">
        <v>24.03100014</v>
      </c>
      <c r="D586" s="29">
        <v>46.77999878</v>
      </c>
      <c r="E586" s="29">
        <v>12401.740229999999</v>
      </c>
      <c r="F586" s="29">
        <v>3668.1000979999999</v>
      </c>
      <c r="G586" s="29">
        <v>29999.259770000001</v>
      </c>
      <c r="H586" s="29">
        <v>11.789464949999999</v>
      </c>
      <c r="I586" s="29">
        <v>9.6089372629999996</v>
      </c>
      <c r="J586" s="29">
        <v>12.57651615</v>
      </c>
      <c r="L586" s="30">
        <f t="shared" si="40"/>
        <v>-5.4507795327696229E-4</v>
      </c>
      <c r="M586" s="30">
        <f t="shared" si="40"/>
        <v>4.2206363849395245E-3</v>
      </c>
      <c r="N586" s="30">
        <f t="shared" si="40"/>
        <v>2.7680103410965495E-2</v>
      </c>
      <c r="O586" s="30">
        <f t="shared" si="40"/>
        <v>3.0005387176810228E-3</v>
      </c>
      <c r="P586" s="30">
        <f t="shared" si="40"/>
        <v>-1.2851078769481328E-3</v>
      </c>
      <c r="Q586" s="30">
        <f t="shared" si="40"/>
        <v>-2.3130539162613539E-3</v>
      </c>
      <c r="R586" s="30">
        <f t="shared" si="40"/>
        <v>1.6131597327944114E-3</v>
      </c>
      <c r="S586" s="30">
        <f t="shared" si="40"/>
        <v>1.9105078559671362E-3</v>
      </c>
      <c r="T586" s="30">
        <f t="shared" si="40"/>
        <v>2.2573038489761554E-3</v>
      </c>
      <c r="U586" s="63">
        <f t="shared" si="41"/>
        <v>3.1122290621088196E-3</v>
      </c>
    </row>
    <row r="587" spans="1:21">
      <c r="A587" s="28">
        <v>44176</v>
      </c>
      <c r="B587" s="29">
        <v>1839.8000489999999</v>
      </c>
      <c r="C587" s="29">
        <v>24.031999590000002</v>
      </c>
      <c r="D587" s="29">
        <v>46.569999690000003</v>
      </c>
      <c r="E587" s="29">
        <v>12375.410159999999</v>
      </c>
      <c r="F587" s="29">
        <v>3663.459961</v>
      </c>
      <c r="G587" s="29">
        <v>30046.369139999999</v>
      </c>
      <c r="H587" s="29">
        <v>11.79895496</v>
      </c>
      <c r="I587" s="29">
        <v>9.6180963520000002</v>
      </c>
      <c r="J587" s="29">
        <v>12.57651615</v>
      </c>
      <c r="L587" s="30">
        <f t="shared" si="40"/>
        <v>3.3813662091801699E-3</v>
      </c>
      <c r="M587" s="30">
        <f t="shared" si="40"/>
        <v>4.159002930292921E-5</v>
      </c>
      <c r="N587" s="30">
        <f t="shared" si="40"/>
        <v>-4.4890785694029489E-3</v>
      </c>
      <c r="O587" s="30">
        <f t="shared" ref="O587:T636" si="42">(E587/E586)-1</f>
        <v>-2.1230947844164128E-3</v>
      </c>
      <c r="P587" s="30">
        <f t="shared" si="42"/>
        <v>-1.2649973763065869E-3</v>
      </c>
      <c r="Q587" s="30">
        <f t="shared" si="42"/>
        <v>1.5703510806992504E-3</v>
      </c>
      <c r="R587" s="30">
        <f t="shared" si="42"/>
        <v>8.0495680170789008E-4</v>
      </c>
      <c r="S587" s="30">
        <f t="shared" si="42"/>
        <v>9.5318438962732621E-4</v>
      </c>
      <c r="T587" s="30">
        <f t="shared" si="42"/>
        <v>0</v>
      </c>
      <c r="U587" s="63">
        <f t="shared" si="41"/>
        <v>-5.9443448824133692E-4</v>
      </c>
    </row>
    <row r="588" spans="1:21">
      <c r="A588" s="28">
        <v>44179</v>
      </c>
      <c r="B588" s="29">
        <v>1828.6999510000001</v>
      </c>
      <c r="C588" s="29">
        <v>23.98500061</v>
      </c>
      <c r="D588" s="29">
        <v>46.990001679999999</v>
      </c>
      <c r="E588" s="29">
        <v>12462.20996</v>
      </c>
      <c r="F588" s="29">
        <v>3647.48999</v>
      </c>
      <c r="G588" s="29">
        <v>29861.550780000001</v>
      </c>
      <c r="H588" s="29">
        <v>11.79895496</v>
      </c>
      <c r="I588" s="29">
        <v>9.6180963520000002</v>
      </c>
      <c r="J588" s="29">
        <v>12.57651615</v>
      </c>
      <c r="L588" s="30">
        <f t="shared" ref="L588:T643" si="43">(B588/B587)-1</f>
        <v>-6.0333175912421488E-3</v>
      </c>
      <c r="M588" s="30">
        <f t="shared" si="43"/>
        <v>-1.9556832890242903E-3</v>
      </c>
      <c r="N588" s="30">
        <f t="shared" si="43"/>
        <v>9.018724346055329E-3</v>
      </c>
      <c r="O588" s="30">
        <f t="shared" si="42"/>
        <v>7.0138927823626407E-3</v>
      </c>
      <c r="P588" s="30">
        <f t="shared" si="42"/>
        <v>-4.359259052920228E-3</v>
      </c>
      <c r="Q588" s="30">
        <f t="shared" si="42"/>
        <v>-6.151104618958847E-3</v>
      </c>
      <c r="R588" s="30">
        <f t="shared" si="42"/>
        <v>0</v>
      </c>
      <c r="S588" s="30">
        <f t="shared" si="42"/>
        <v>0</v>
      </c>
      <c r="T588" s="30">
        <f t="shared" si="42"/>
        <v>0</v>
      </c>
      <c r="U588" s="63">
        <f t="shared" si="41"/>
        <v>-6.7369952132133304E-4</v>
      </c>
    </row>
    <row r="589" spans="1:21">
      <c r="A589" s="28">
        <v>44180</v>
      </c>
      <c r="B589" s="29">
        <v>1852.3000489999999</v>
      </c>
      <c r="C589" s="29">
        <v>24.580999370000001</v>
      </c>
      <c r="D589" s="29">
        <v>47.619998930000001</v>
      </c>
      <c r="E589" s="29">
        <v>12595.91992</v>
      </c>
      <c r="F589" s="29">
        <v>3694.6201169999999</v>
      </c>
      <c r="G589" s="29">
        <v>30199.310549999998</v>
      </c>
      <c r="H589" s="29">
        <v>11.789464949999999</v>
      </c>
      <c r="I589" s="29">
        <v>9.6089372629999996</v>
      </c>
      <c r="J589" s="29">
        <v>12.57651615</v>
      </c>
      <c r="L589" s="30">
        <f t="shared" si="43"/>
        <v>1.2905396528880786E-2</v>
      </c>
      <c r="M589" s="30">
        <f t="shared" si="43"/>
        <v>2.484881154230667E-2</v>
      </c>
      <c r="N589" s="30">
        <f t="shared" si="43"/>
        <v>1.340704889287414E-2</v>
      </c>
      <c r="O589" s="30">
        <f t="shared" si="42"/>
        <v>1.0729233452908327E-2</v>
      </c>
      <c r="P589" s="30">
        <f t="shared" si="42"/>
        <v>1.2921249168390325E-2</v>
      </c>
      <c r="Q589" s="30">
        <f t="shared" si="42"/>
        <v>1.1310858317050698E-2</v>
      </c>
      <c r="R589" s="30">
        <f t="shared" si="42"/>
        <v>-8.0430936741204828E-4</v>
      </c>
      <c r="S589" s="30">
        <f t="shared" si="42"/>
        <v>-9.5227669434772011E-4</v>
      </c>
      <c r="T589" s="30">
        <f t="shared" si="42"/>
        <v>0</v>
      </c>
      <c r="U589" s="63">
        <f t="shared" si="41"/>
        <v>1.0923509990764815E-2</v>
      </c>
    </row>
    <row r="590" spans="1:21">
      <c r="A590" s="28">
        <v>44181</v>
      </c>
      <c r="B590" s="29">
        <v>1856.099976</v>
      </c>
      <c r="C590" s="29">
        <v>24.98500061</v>
      </c>
      <c r="D590" s="29">
        <v>47.819999690000003</v>
      </c>
      <c r="E590" s="29">
        <v>12668.160159999999</v>
      </c>
      <c r="F590" s="29">
        <v>3701.169922</v>
      </c>
      <c r="G590" s="29">
        <v>30154.539059999999</v>
      </c>
      <c r="H590" s="29">
        <v>11.789464949999999</v>
      </c>
      <c r="I590" s="29">
        <v>9.6180963520000002</v>
      </c>
      <c r="J590" s="29">
        <v>12.57651615</v>
      </c>
      <c r="L590" s="30">
        <f t="shared" si="43"/>
        <v>2.0514640714131005E-3</v>
      </c>
      <c r="M590" s="30">
        <f t="shared" si="43"/>
        <v>1.6435509147486593E-2</v>
      </c>
      <c r="N590" s="30">
        <f t="shared" si="43"/>
        <v>4.1999320557313258E-3</v>
      </c>
      <c r="O590" s="30">
        <f t="shared" si="42"/>
        <v>5.735209532834018E-3</v>
      </c>
      <c r="P590" s="30">
        <f t="shared" si="42"/>
        <v>1.7727952516315426E-3</v>
      </c>
      <c r="Q590" s="30">
        <f t="shared" si="42"/>
        <v>-1.4825335143288099E-3</v>
      </c>
      <c r="R590" s="30">
        <f t="shared" si="42"/>
        <v>0</v>
      </c>
      <c r="S590" s="30">
        <f t="shared" si="42"/>
        <v>9.5318438962732621E-4</v>
      </c>
      <c r="T590" s="30">
        <f t="shared" si="42"/>
        <v>0</v>
      </c>
      <c r="U590" s="63">
        <f t="shared" si="41"/>
        <v>4.2166206857004356E-3</v>
      </c>
    </row>
    <row r="591" spans="1:21">
      <c r="A591" s="28">
        <v>44182</v>
      </c>
      <c r="B591" s="29">
        <v>1887.1999510000001</v>
      </c>
      <c r="C591" s="29">
        <v>26.100000380000001</v>
      </c>
      <c r="D591" s="29">
        <v>48.36000061</v>
      </c>
      <c r="E591" s="29">
        <v>12752.059569999999</v>
      </c>
      <c r="F591" s="29">
        <v>3722.4799800000001</v>
      </c>
      <c r="G591" s="29">
        <v>30303.369139999999</v>
      </c>
      <c r="H591" s="29">
        <v>11.789464949999999</v>
      </c>
      <c r="I591" s="29">
        <v>9.6180963520000002</v>
      </c>
      <c r="J591" s="29">
        <v>12.58595657</v>
      </c>
      <c r="L591" s="30">
        <f t="shared" si="43"/>
        <v>1.6755549486629606E-2</v>
      </c>
      <c r="M591" s="30">
        <f t="shared" si="43"/>
        <v>4.4626765770569232E-2</v>
      </c>
      <c r="N591" s="30">
        <f t="shared" si="43"/>
        <v>1.129236561063629E-2</v>
      </c>
      <c r="O591" s="30">
        <f t="shared" si="42"/>
        <v>6.6228567479684752E-3</v>
      </c>
      <c r="P591" s="30">
        <f t="shared" si="42"/>
        <v>5.7576545927631173E-3</v>
      </c>
      <c r="Q591" s="30">
        <f t="shared" si="42"/>
        <v>4.9355780137732008E-3</v>
      </c>
      <c r="R591" s="30">
        <f t="shared" si="42"/>
        <v>0</v>
      </c>
      <c r="S591" s="30">
        <f t="shared" si="42"/>
        <v>0</v>
      </c>
      <c r="T591" s="30">
        <f t="shared" si="42"/>
        <v>7.50638721201069E-4</v>
      </c>
      <c r="U591" s="63">
        <f t="shared" si="41"/>
        <v>1.1315190068872315E-2</v>
      </c>
    </row>
    <row r="592" spans="1:21">
      <c r="A592" s="28">
        <v>44183</v>
      </c>
      <c r="B592" s="29">
        <v>1885.6999510000001</v>
      </c>
      <c r="C592" s="29">
        <v>25.948999400000002</v>
      </c>
      <c r="D592" s="29">
        <v>49.099998470000003</v>
      </c>
      <c r="E592" s="29">
        <v>12738.179690000001</v>
      </c>
      <c r="F592" s="29">
        <v>3709.4099120000001</v>
      </c>
      <c r="G592" s="29">
        <v>30179.050780000001</v>
      </c>
      <c r="H592" s="29">
        <v>11.789464949999999</v>
      </c>
      <c r="I592" s="29">
        <v>9.6089372629999996</v>
      </c>
      <c r="J592" s="29">
        <v>12.57651615</v>
      </c>
      <c r="L592" s="30">
        <f t="shared" si="43"/>
        <v>-7.9482833772070993E-4</v>
      </c>
      <c r="M592" s="30">
        <f t="shared" si="43"/>
        <v>-5.785478076686501E-3</v>
      </c>
      <c r="N592" s="30">
        <f t="shared" si="43"/>
        <v>1.5301857954215681E-2</v>
      </c>
      <c r="O592" s="30">
        <f t="shared" si="42"/>
        <v>-1.0884422178086828E-3</v>
      </c>
      <c r="P592" s="30">
        <f t="shared" si="42"/>
        <v>-3.5111184130531825E-3</v>
      </c>
      <c r="Q592" s="30">
        <f t="shared" si="42"/>
        <v>-4.1024600078510831E-3</v>
      </c>
      <c r="R592" s="30">
        <f t="shared" si="42"/>
        <v>0</v>
      </c>
      <c r="S592" s="30">
        <f t="shared" si="42"/>
        <v>-9.5227669434772011E-4</v>
      </c>
      <c r="T592" s="30">
        <f t="shared" si="42"/>
        <v>-7.5007568534779523E-4</v>
      </c>
      <c r="U592" s="63">
        <f t="shared" si="41"/>
        <v>-1.2907987414734327E-3</v>
      </c>
    </row>
    <row r="593" spans="1:21">
      <c r="A593" s="28">
        <v>44186</v>
      </c>
      <c r="B593" s="29">
        <v>1879.1999510000001</v>
      </c>
      <c r="C593" s="29">
        <v>26.277999879999999</v>
      </c>
      <c r="D593" s="29">
        <v>47.740001679999999</v>
      </c>
      <c r="E593" s="29">
        <v>12690.259770000001</v>
      </c>
      <c r="F593" s="29">
        <v>3694.919922</v>
      </c>
      <c r="G593" s="29">
        <v>30216.449219999999</v>
      </c>
      <c r="H593" s="29">
        <v>11.789464949999999</v>
      </c>
      <c r="I593" s="29">
        <v>9.6089372629999996</v>
      </c>
      <c r="J593" s="29">
        <v>12.57651615</v>
      </c>
      <c r="L593" s="30">
        <f t="shared" si="43"/>
        <v>-3.4469959001446338E-3</v>
      </c>
      <c r="M593" s="30">
        <f t="shared" si="43"/>
        <v>1.2678734733794661E-2</v>
      </c>
      <c r="N593" s="30">
        <f t="shared" si="43"/>
        <v>-2.7698509824413908E-2</v>
      </c>
      <c r="O593" s="30">
        <f t="shared" si="42"/>
        <v>-3.7619127038708289E-3</v>
      </c>
      <c r="P593" s="30">
        <f t="shared" si="42"/>
        <v>-3.9062789887751581E-3</v>
      </c>
      <c r="Q593" s="30">
        <f t="shared" si="42"/>
        <v>1.2392185649783283E-3</v>
      </c>
      <c r="R593" s="30">
        <f t="shared" si="42"/>
        <v>0</v>
      </c>
      <c r="S593" s="30">
        <f t="shared" si="42"/>
        <v>0</v>
      </c>
      <c r="T593" s="30">
        <f t="shared" si="42"/>
        <v>0</v>
      </c>
      <c r="U593" s="63">
        <f t="shared" si="41"/>
        <v>-1.990954040258034E-3</v>
      </c>
    </row>
    <row r="594" spans="1:21">
      <c r="A594" s="28">
        <v>44187</v>
      </c>
      <c r="B594" s="29">
        <v>1866.599976</v>
      </c>
      <c r="C594" s="29">
        <v>25.434000019999999</v>
      </c>
      <c r="D594" s="29">
        <v>47.020000459999999</v>
      </c>
      <c r="E594" s="29">
        <v>12717.559569999999</v>
      </c>
      <c r="F594" s="29">
        <v>3687.26001</v>
      </c>
      <c r="G594" s="29">
        <v>30015.509770000001</v>
      </c>
      <c r="H594" s="29">
        <v>11.79895496</v>
      </c>
      <c r="I594" s="29">
        <v>9.6180963520000002</v>
      </c>
      <c r="J594" s="29">
        <v>12.595398899999999</v>
      </c>
      <c r="L594" s="30">
        <f t="shared" si="43"/>
        <v>-6.7049677142100306E-3</v>
      </c>
      <c r="M594" s="30">
        <f t="shared" si="43"/>
        <v>-3.2118116441668842E-2</v>
      </c>
      <c r="N594" s="30">
        <f t="shared" si="43"/>
        <v>-1.5081717525402438E-2</v>
      </c>
      <c r="O594" s="30">
        <f t="shared" si="42"/>
        <v>2.1512404391070827E-3</v>
      </c>
      <c r="P594" s="30">
        <f t="shared" si="42"/>
        <v>-2.0730928306164076E-3</v>
      </c>
      <c r="Q594" s="30">
        <f t="shared" si="42"/>
        <v>-6.6500020745984267E-3</v>
      </c>
      <c r="R594" s="30">
        <f t="shared" si="42"/>
        <v>8.0495680170789008E-4</v>
      </c>
      <c r="S594" s="30">
        <f t="shared" si="42"/>
        <v>9.5318438962732621E-4</v>
      </c>
      <c r="T594" s="30">
        <f t="shared" si="42"/>
        <v>1.501429312759095E-3</v>
      </c>
      <c r="U594" s="63">
        <f t="shared" si="41"/>
        <v>-6.6598418581742804E-3</v>
      </c>
    </row>
    <row r="595" spans="1:21">
      <c r="A595" s="28">
        <v>44188</v>
      </c>
      <c r="B595" s="29">
        <v>1874.6999510000001</v>
      </c>
      <c r="C595" s="29">
        <v>25.823999400000002</v>
      </c>
      <c r="D595" s="29">
        <v>48.119998930000001</v>
      </c>
      <c r="E595" s="29">
        <v>12653.139649999999</v>
      </c>
      <c r="F595" s="29">
        <v>3690.01001</v>
      </c>
      <c r="G595" s="29">
        <v>30129.83008</v>
      </c>
      <c r="H595" s="29">
        <v>11.77997017</v>
      </c>
      <c r="I595" s="29">
        <v>9.6019344330000003</v>
      </c>
      <c r="J595" s="29">
        <v>12.57651615</v>
      </c>
      <c r="L595" s="30">
        <f t="shared" si="43"/>
        <v>4.3394273567696207E-3</v>
      </c>
      <c r="M595" s="30">
        <f t="shared" si="43"/>
        <v>1.5333780753846282E-2</v>
      </c>
      <c r="N595" s="30">
        <f t="shared" si="43"/>
        <v>2.3394267529532886E-2</v>
      </c>
      <c r="O595" s="30">
        <f t="shared" si="42"/>
        <v>-5.0654309614529547E-3</v>
      </c>
      <c r="P595" s="30">
        <f t="shared" si="42"/>
        <v>7.4581125077743948E-4</v>
      </c>
      <c r="Q595" s="30">
        <f t="shared" si="42"/>
        <v>3.8087079272017821E-3</v>
      </c>
      <c r="R595" s="30">
        <f t="shared" si="42"/>
        <v>-1.6090230079155443E-3</v>
      </c>
      <c r="S595" s="30">
        <f t="shared" si="42"/>
        <v>-1.6803656782498066E-3</v>
      </c>
      <c r="T595" s="30">
        <f t="shared" si="42"/>
        <v>-1.4991784023608012E-3</v>
      </c>
      <c r="U595" s="63">
        <f t="shared" si="41"/>
        <v>3.669595393678303E-3</v>
      </c>
    </row>
    <row r="596" spans="1:21">
      <c r="A596" s="28">
        <v>44189</v>
      </c>
      <c r="B596" s="29">
        <v>1879.900024</v>
      </c>
      <c r="C596" s="29">
        <v>25.81100082</v>
      </c>
      <c r="D596" s="29">
        <v>48.229999540000001</v>
      </c>
      <c r="E596" s="29">
        <v>12711.009770000001</v>
      </c>
      <c r="F596" s="29">
        <v>3703.0600589999999</v>
      </c>
      <c r="G596" s="29">
        <v>30199.869139999999</v>
      </c>
      <c r="H596" s="29">
        <v>11.789464949999999</v>
      </c>
      <c r="I596" s="29">
        <v>9.6209506989999998</v>
      </c>
      <c r="J596" s="29">
        <v>12.58595657</v>
      </c>
      <c r="L596" s="30">
        <f t="shared" si="43"/>
        <v>2.7738161497397051E-3</v>
      </c>
      <c r="M596" s="30">
        <f t="shared" si="43"/>
        <v>-5.0335270686230338E-4</v>
      </c>
      <c r="N596" s="30">
        <f t="shared" si="43"/>
        <v>2.2859645146713348E-3</v>
      </c>
      <c r="O596" s="30">
        <f t="shared" si="42"/>
        <v>4.5735779103648344E-3</v>
      </c>
      <c r="P596" s="30">
        <f t="shared" si="42"/>
        <v>3.5365890511500631E-3</v>
      </c>
      <c r="Q596" s="30">
        <f t="shared" si="42"/>
        <v>2.3245753399216973E-3</v>
      </c>
      <c r="R596" s="30">
        <f t="shared" si="42"/>
        <v>8.0601052999096368E-4</v>
      </c>
      <c r="S596" s="30">
        <f t="shared" si="42"/>
        <v>1.9804619717713745E-3</v>
      </c>
      <c r="T596" s="30">
        <f t="shared" si="42"/>
        <v>7.50638721201069E-4</v>
      </c>
      <c r="U596" s="63">
        <f t="shared" si="41"/>
        <v>2.2996965769820307E-3</v>
      </c>
    </row>
    <row r="597" spans="1:21">
      <c r="A597" s="28">
        <v>44193</v>
      </c>
      <c r="B597" s="29">
        <v>1877.1999510000001</v>
      </c>
      <c r="C597" s="29">
        <v>26.459999079999999</v>
      </c>
      <c r="D597" s="29">
        <v>47.619998930000001</v>
      </c>
      <c r="E597" s="29">
        <v>12838.860350000001</v>
      </c>
      <c r="F597" s="29">
        <v>3735.360107</v>
      </c>
      <c r="G597" s="29">
        <v>30403.970700000002</v>
      </c>
      <c r="H597" s="29">
        <v>11.79895496</v>
      </c>
      <c r="I597" s="29">
        <v>9.6209506989999998</v>
      </c>
      <c r="J597" s="29">
        <v>12.595398899999999</v>
      </c>
      <c r="L597" s="30">
        <f t="shared" si="43"/>
        <v>-1.4362854223783916E-3</v>
      </c>
      <c r="M597" s="30">
        <f t="shared" si="43"/>
        <v>2.5144250101960974E-2</v>
      </c>
      <c r="N597" s="30">
        <f t="shared" si="43"/>
        <v>-1.2647742397220885E-2</v>
      </c>
      <c r="O597" s="30">
        <f t="shared" si="42"/>
        <v>1.0058255190846355E-2</v>
      </c>
      <c r="P597" s="30">
        <f t="shared" si="42"/>
        <v>8.7225287965548848E-3</v>
      </c>
      <c r="Q597" s="30">
        <f t="shared" si="42"/>
        <v>6.7583590860553766E-3</v>
      </c>
      <c r="R597" s="30">
        <f t="shared" si="42"/>
        <v>8.0495680170789008E-4</v>
      </c>
      <c r="S597" s="30">
        <f t="shared" si="42"/>
        <v>0</v>
      </c>
      <c r="T597" s="30">
        <f t="shared" si="42"/>
        <v>7.5022744179054079E-4</v>
      </c>
      <c r="U597" s="63">
        <f t="shared" si="41"/>
        <v>6.9397990228848823E-3</v>
      </c>
    </row>
    <row r="598" spans="1:21">
      <c r="A598" s="28">
        <v>44194</v>
      </c>
      <c r="B598" s="29">
        <v>1879.6999510000001</v>
      </c>
      <c r="C598" s="29">
        <v>26.13800049</v>
      </c>
      <c r="D598" s="29">
        <v>48</v>
      </c>
      <c r="E598" s="29">
        <v>12843.490229999999</v>
      </c>
      <c r="F598" s="29">
        <v>3727.040039</v>
      </c>
      <c r="G598" s="29">
        <v>30335.66992</v>
      </c>
      <c r="H598" s="29">
        <v>11.79895496</v>
      </c>
      <c r="I598" s="29">
        <v>9.6209506989999998</v>
      </c>
      <c r="J598" s="29">
        <v>12.595398899999999</v>
      </c>
      <c r="L598" s="30">
        <f t="shared" si="43"/>
        <v>1.3317707571152138E-3</v>
      </c>
      <c r="M598" s="30">
        <f t="shared" si="43"/>
        <v>-1.2169259304448898E-2</v>
      </c>
      <c r="N598" s="30">
        <f t="shared" si="43"/>
        <v>7.9798630520464542E-3</v>
      </c>
      <c r="O598" s="30">
        <f t="shared" si="42"/>
        <v>3.6061456186797791E-4</v>
      </c>
      <c r="P598" s="30">
        <f t="shared" si="42"/>
        <v>-2.2273804296427668E-3</v>
      </c>
      <c r="Q598" s="30">
        <f t="shared" si="42"/>
        <v>-2.2464427647932439E-3</v>
      </c>
      <c r="R598" s="30">
        <f t="shared" si="42"/>
        <v>0</v>
      </c>
      <c r="S598" s="30">
        <f t="shared" si="42"/>
        <v>0</v>
      </c>
      <c r="T598" s="30">
        <f t="shared" si="42"/>
        <v>0</v>
      </c>
      <c r="U598" s="63">
        <f t="shared" si="41"/>
        <v>-1.8817530945097359E-3</v>
      </c>
    </row>
    <row r="599" spans="1:21">
      <c r="A599" s="28">
        <v>44195</v>
      </c>
      <c r="B599" s="29">
        <v>1891</v>
      </c>
      <c r="C599" s="29">
        <v>26.48800087</v>
      </c>
      <c r="D599" s="29">
        <v>48.400001529999997</v>
      </c>
      <c r="E599" s="29">
        <v>12845.360350000001</v>
      </c>
      <c r="F599" s="29">
        <v>3732.040039</v>
      </c>
      <c r="G599" s="29">
        <v>30409.560549999998</v>
      </c>
      <c r="H599" s="29">
        <v>11.80844879</v>
      </c>
      <c r="I599" s="29">
        <v>9.6304559709999999</v>
      </c>
      <c r="J599" s="29">
        <v>12.604846</v>
      </c>
      <c r="L599" s="30">
        <f t="shared" si="43"/>
        <v>6.0116238200613736E-3</v>
      </c>
      <c r="M599" s="30">
        <f t="shared" si="43"/>
        <v>1.3390480275409899E-2</v>
      </c>
      <c r="N599" s="30">
        <f t="shared" si="43"/>
        <v>8.3333652083332765E-3</v>
      </c>
      <c r="O599" s="30">
        <f t="shared" si="42"/>
        <v>1.4560839510990853E-4</v>
      </c>
      <c r="P599" s="30">
        <f t="shared" si="42"/>
        <v>1.3415471654931732E-3</v>
      </c>
      <c r="Q599" s="30">
        <f t="shared" si="42"/>
        <v>2.4357672072137238E-3</v>
      </c>
      <c r="R599" s="30">
        <f t="shared" si="42"/>
        <v>8.0463312489831296E-4</v>
      </c>
      <c r="S599" s="30">
        <f t="shared" si="42"/>
        <v>9.8797637545189332E-4</v>
      </c>
      <c r="T599" s="30">
        <f t="shared" si="42"/>
        <v>7.5004373223941379E-4</v>
      </c>
      <c r="U599" s="63">
        <f t="shared" si="41"/>
        <v>3.7246002220294068E-3</v>
      </c>
    </row>
    <row r="600" spans="1:21">
      <c r="A600" s="28">
        <v>44196</v>
      </c>
      <c r="B600" s="29">
        <v>1893.099976</v>
      </c>
      <c r="C600" s="29">
        <v>26.332000730000001</v>
      </c>
      <c r="D600" s="29">
        <v>48.520000459999999</v>
      </c>
      <c r="E600" s="29">
        <v>12888.280269999999</v>
      </c>
      <c r="F600" s="29">
        <v>3756.070068</v>
      </c>
      <c r="G600" s="29">
        <v>30606.480469999999</v>
      </c>
      <c r="H600" s="29">
        <v>11.837925909999999</v>
      </c>
      <c r="I600" s="29">
        <v>9.6513967510000001</v>
      </c>
      <c r="J600" s="29">
        <v>12.61428261</v>
      </c>
      <c r="L600" s="30">
        <f t="shared" si="43"/>
        <v>1.1105108408249187E-3</v>
      </c>
      <c r="M600" s="30">
        <f t="shared" si="43"/>
        <v>-5.8894644698038734E-3</v>
      </c>
      <c r="N600" s="30">
        <f t="shared" si="43"/>
        <v>2.4793166571621672E-3</v>
      </c>
      <c r="O600" s="30">
        <f t="shared" si="42"/>
        <v>3.3412780047075152E-3</v>
      </c>
      <c r="P600" s="30">
        <f t="shared" si="42"/>
        <v>6.4388454434800568E-3</v>
      </c>
      <c r="Q600" s="30">
        <f t="shared" si="42"/>
        <v>6.4755924268034004E-3</v>
      </c>
      <c r="R600" s="30">
        <f t="shared" si="42"/>
        <v>2.4962736871045887E-3</v>
      </c>
      <c r="S600" s="30">
        <f t="shared" si="42"/>
        <v>2.1744328682939962E-3</v>
      </c>
      <c r="T600" s="30">
        <f t="shared" si="42"/>
        <v>7.4864936866347875E-4</v>
      </c>
      <c r="U600" s="63">
        <f t="shared" si="41"/>
        <v>2.369258995134686E-3</v>
      </c>
    </row>
    <row r="601" spans="1:21">
      <c r="A601" s="28">
        <v>44200</v>
      </c>
      <c r="B601" s="29">
        <v>1944.6999510000001</v>
      </c>
      <c r="C601" s="29">
        <v>27.2840004</v>
      </c>
      <c r="D601" s="29">
        <v>47.619998930000001</v>
      </c>
      <c r="E601" s="29">
        <v>12694.660159999999</v>
      </c>
      <c r="F601" s="29">
        <v>3700.6499020000001</v>
      </c>
      <c r="G601" s="29">
        <v>30223.890630000002</v>
      </c>
      <c r="H601" s="29">
        <v>11.828417780000001</v>
      </c>
      <c r="I601" s="29">
        <v>9.6418781280000001</v>
      </c>
      <c r="J601" s="29">
        <v>12.61428261</v>
      </c>
      <c r="L601" s="30">
        <f t="shared" si="43"/>
        <v>2.7256867389025885E-2</v>
      </c>
      <c r="M601" s="30">
        <f t="shared" si="43"/>
        <v>3.6153715768182604E-2</v>
      </c>
      <c r="N601" s="30">
        <f t="shared" si="43"/>
        <v>-1.85490832948767E-2</v>
      </c>
      <c r="O601" s="30">
        <f t="shared" si="42"/>
        <v>-1.5022959304406891E-2</v>
      </c>
      <c r="P601" s="30">
        <f t="shared" si="42"/>
        <v>-1.4754827518302815E-2</v>
      </c>
      <c r="Q601" s="30">
        <f t="shared" si="42"/>
        <v>-1.250028863576802E-2</v>
      </c>
      <c r="R601" s="30">
        <f t="shared" si="42"/>
        <v>-8.0319222068847562E-4</v>
      </c>
      <c r="S601" s="30">
        <f t="shared" si="42"/>
        <v>-9.8624305326722173E-4</v>
      </c>
      <c r="T601" s="30">
        <f t="shared" si="42"/>
        <v>0</v>
      </c>
      <c r="U601" s="63">
        <f t="shared" si="41"/>
        <v>-1.2428872786775995E-3</v>
      </c>
    </row>
    <row r="602" spans="1:21">
      <c r="A602" s="28">
        <v>44201</v>
      </c>
      <c r="B602" s="29">
        <v>1952.6999510000001</v>
      </c>
      <c r="C602" s="29">
        <v>27.570999149999999</v>
      </c>
      <c r="D602" s="29">
        <v>49.930000309999997</v>
      </c>
      <c r="E602" s="29">
        <v>12802.37988</v>
      </c>
      <c r="F602" s="29">
        <v>3726.860107</v>
      </c>
      <c r="G602" s="29">
        <v>30391.599610000001</v>
      </c>
      <c r="H602" s="29">
        <v>11.79989147</v>
      </c>
      <c r="I602" s="29">
        <v>9.6228418349999991</v>
      </c>
      <c r="J602" s="29">
        <v>12.595398899999999</v>
      </c>
      <c r="L602" s="30">
        <f t="shared" si="43"/>
        <v>4.1137451543031833E-3</v>
      </c>
      <c r="M602" s="30">
        <f t="shared" si="43"/>
        <v>1.0518939517388359E-2</v>
      </c>
      <c r="N602" s="30">
        <f t="shared" si="43"/>
        <v>4.8509059888800721E-2</v>
      </c>
      <c r="O602" s="30">
        <f t="shared" si="42"/>
        <v>8.4854355014101213E-3</v>
      </c>
      <c r="P602" s="30">
        <f t="shared" si="42"/>
        <v>7.0825951370958595E-3</v>
      </c>
      <c r="Q602" s="30">
        <f t="shared" si="42"/>
        <v>5.5488878666578589E-3</v>
      </c>
      <c r="R602" s="30">
        <f t="shared" si="42"/>
        <v>-2.4116758919552339E-3</v>
      </c>
      <c r="S602" s="30">
        <f t="shared" si="42"/>
        <v>-1.9743345380729416E-3</v>
      </c>
      <c r="T602" s="30">
        <f t="shared" si="42"/>
        <v>-1.4970102211782077E-3</v>
      </c>
      <c r="U602" s="63">
        <f t="shared" si="41"/>
        <v>8.3473147279588163E-3</v>
      </c>
    </row>
    <row r="603" spans="1:21">
      <c r="A603" s="28">
        <v>44202</v>
      </c>
      <c r="B603" s="29">
        <v>1906.900024</v>
      </c>
      <c r="C603" s="29">
        <v>26.972999569999999</v>
      </c>
      <c r="D603" s="29">
        <v>50.630001069999999</v>
      </c>
      <c r="E603" s="29">
        <v>12623.349609999999</v>
      </c>
      <c r="F603" s="29">
        <v>3748.139893</v>
      </c>
      <c r="G603" s="29">
        <v>30829.400389999999</v>
      </c>
      <c r="H603" s="29">
        <v>11.752346989999999</v>
      </c>
      <c r="I603" s="29">
        <v>9.5847682949999999</v>
      </c>
      <c r="J603" s="29">
        <v>12.54819107</v>
      </c>
      <c r="L603" s="30">
        <f t="shared" si="43"/>
        <v>-2.3454666947958613E-2</v>
      </c>
      <c r="M603" s="30">
        <f t="shared" si="43"/>
        <v>-2.1689441748069527E-2</v>
      </c>
      <c r="N603" s="30">
        <f t="shared" si="43"/>
        <v>1.4019642612736138E-2</v>
      </c>
      <c r="O603" s="30">
        <f t="shared" si="42"/>
        <v>-1.3984139798857598E-2</v>
      </c>
      <c r="P603" s="30">
        <f t="shared" si="42"/>
        <v>5.7098429747957091E-3</v>
      </c>
      <c r="Q603" s="30">
        <f t="shared" si="42"/>
        <v>1.440532205010836E-2</v>
      </c>
      <c r="R603" s="30">
        <f t="shared" si="42"/>
        <v>-4.0292302790138068E-3</v>
      </c>
      <c r="S603" s="30">
        <f t="shared" si="42"/>
        <v>-3.9565796313433266E-3</v>
      </c>
      <c r="T603" s="30">
        <f t="shared" si="42"/>
        <v>-3.7480218272404331E-3</v>
      </c>
      <c r="U603" s="63">
        <f t="shared" si="41"/>
        <v>-3.9791886988090842E-3</v>
      </c>
    </row>
    <row r="604" spans="1:21">
      <c r="A604" s="28">
        <v>44203</v>
      </c>
      <c r="B604" s="29">
        <v>1912.3000489999999</v>
      </c>
      <c r="C604" s="29">
        <v>27.200000760000002</v>
      </c>
      <c r="D604" s="29">
        <v>50.83000183</v>
      </c>
      <c r="E604" s="29">
        <v>12939.570309999999</v>
      </c>
      <c r="F604" s="29">
        <v>3803.790039</v>
      </c>
      <c r="G604" s="29">
        <v>31041.130860000001</v>
      </c>
      <c r="H604" s="29">
        <v>11.733333590000001</v>
      </c>
      <c r="I604" s="29">
        <v>9.5752506260000008</v>
      </c>
      <c r="J604" s="29">
        <v>12.53874779</v>
      </c>
      <c r="L604" s="30">
        <f t="shared" si="43"/>
        <v>2.8318343552551362E-3</v>
      </c>
      <c r="M604" s="30">
        <f t="shared" si="43"/>
        <v>8.4158674829950542E-3</v>
      </c>
      <c r="N604" s="30">
        <f t="shared" si="43"/>
        <v>3.950242065440257E-3</v>
      </c>
      <c r="O604" s="30">
        <f t="shared" si="42"/>
        <v>2.5050458853606905E-2</v>
      </c>
      <c r="P604" s="30">
        <f t="shared" si="42"/>
        <v>1.4847403669199233E-2</v>
      </c>
      <c r="Q604" s="30">
        <f t="shared" si="42"/>
        <v>6.8678101851336049E-3</v>
      </c>
      <c r="R604" s="30">
        <f t="shared" si="42"/>
        <v>-1.6178385488597735E-3</v>
      </c>
      <c r="S604" s="30">
        <f t="shared" si="42"/>
        <v>-9.9299938267305432E-4</v>
      </c>
      <c r="T604" s="30">
        <f t="shared" si="42"/>
        <v>-7.5256106217380658E-4</v>
      </c>
      <c r="U604" s="63">
        <f t="shared" si="41"/>
        <v>9.1744387988563405E-3</v>
      </c>
    </row>
    <row r="605" spans="1:21">
      <c r="A605" s="28">
        <v>44204</v>
      </c>
      <c r="B605" s="29">
        <v>1834.099976</v>
      </c>
      <c r="C605" s="29">
        <v>24.582000730000001</v>
      </c>
      <c r="D605" s="29">
        <v>52.240001679999999</v>
      </c>
      <c r="E605" s="29">
        <v>13105.200199999999</v>
      </c>
      <c r="F605" s="29">
        <v>3824.679932</v>
      </c>
      <c r="G605" s="29">
        <v>31097.970700000002</v>
      </c>
      <c r="H605" s="29">
        <v>11.714317319999999</v>
      </c>
      <c r="I605" s="29">
        <v>9.5657329559999997</v>
      </c>
      <c r="J605" s="29">
        <v>12.519865039999999</v>
      </c>
      <c r="L605" s="30">
        <f t="shared" si="43"/>
        <v>-4.0893202424427733E-2</v>
      </c>
      <c r="M605" s="30">
        <f t="shared" si="43"/>
        <v>-9.6249998413603044E-2</v>
      </c>
      <c r="N605" s="30">
        <f t="shared" si="43"/>
        <v>2.7739519953505321E-2</v>
      </c>
      <c r="O605" s="30">
        <f t="shared" si="42"/>
        <v>1.2800261989534434E-2</v>
      </c>
      <c r="P605" s="30">
        <f t="shared" si="42"/>
        <v>5.4918627962683431E-3</v>
      </c>
      <c r="Q605" s="30">
        <f t="shared" si="42"/>
        <v>1.8311137006044031E-3</v>
      </c>
      <c r="R605" s="30">
        <f t="shared" si="42"/>
        <v>-1.6207047940927088E-3</v>
      </c>
      <c r="S605" s="30">
        <f t="shared" si="42"/>
        <v>-9.9398651500126611E-4</v>
      </c>
      <c r="T605" s="30">
        <f t="shared" si="42"/>
        <v>-1.5059518156239626E-3</v>
      </c>
      <c r="U605" s="63">
        <f t="shared" si="41"/>
        <v>-1.1852143070085683E-2</v>
      </c>
    </row>
    <row r="606" spans="1:21">
      <c r="A606" s="28">
        <v>44207</v>
      </c>
      <c r="B606" s="29">
        <v>1849.599976</v>
      </c>
      <c r="C606" s="29">
        <v>25.239000319999999</v>
      </c>
      <c r="D606" s="29">
        <v>52.25</v>
      </c>
      <c r="E606" s="29">
        <v>12902.490229999999</v>
      </c>
      <c r="F606" s="29">
        <v>3799.610107</v>
      </c>
      <c r="G606" s="29">
        <v>31008.689450000002</v>
      </c>
      <c r="H606" s="29">
        <v>11.704807280000001</v>
      </c>
      <c r="I606" s="29">
        <v>9.5562143329999998</v>
      </c>
      <c r="J606" s="29">
        <v>12.500982280000001</v>
      </c>
      <c r="L606" s="30">
        <f t="shared" si="43"/>
        <v>8.4510115058198387E-3</v>
      </c>
      <c r="M606" s="30">
        <f t="shared" si="43"/>
        <v>2.6726855849377396E-2</v>
      </c>
      <c r="N606" s="30">
        <f t="shared" si="43"/>
        <v>1.9139203059848064E-4</v>
      </c>
      <c r="O606" s="30">
        <f t="shared" si="42"/>
        <v>-1.5467903344200673E-2</v>
      </c>
      <c r="P606" s="30">
        <f t="shared" si="42"/>
        <v>-6.554751102242018E-3</v>
      </c>
      <c r="Q606" s="30">
        <f t="shared" si="42"/>
        <v>-2.8709670756748018E-3</v>
      </c>
      <c r="R606" s="30">
        <f t="shared" si="42"/>
        <v>-8.1183049256838835E-4</v>
      </c>
      <c r="S606" s="30">
        <f t="shared" si="42"/>
        <v>-9.950751336863517E-4</v>
      </c>
      <c r="T606" s="30">
        <f t="shared" si="42"/>
        <v>-1.5082239257108165E-3</v>
      </c>
      <c r="U606" s="63">
        <f t="shared" si="41"/>
        <v>3.2609623163266271E-4</v>
      </c>
    </row>
    <row r="607" spans="1:21">
      <c r="A607" s="28">
        <v>44208</v>
      </c>
      <c r="B607" s="29">
        <v>1842.900024</v>
      </c>
      <c r="C607" s="29">
        <v>25.384000780000001</v>
      </c>
      <c r="D607" s="29">
        <v>53.209999080000003</v>
      </c>
      <c r="E607" s="29">
        <v>12892.089840000001</v>
      </c>
      <c r="F607" s="29">
        <v>3801.1899410000001</v>
      </c>
      <c r="G607" s="29">
        <v>31068.689450000002</v>
      </c>
      <c r="H607" s="29">
        <v>11.704807280000001</v>
      </c>
      <c r="I607" s="29">
        <v>9.5562143329999998</v>
      </c>
      <c r="J607" s="29">
        <v>12.500982280000001</v>
      </c>
      <c r="L607" s="30">
        <f t="shared" si="43"/>
        <v>-3.6223789397367145E-3</v>
      </c>
      <c r="M607" s="30">
        <f t="shared" si="43"/>
        <v>5.7450952161959279E-3</v>
      </c>
      <c r="N607" s="30">
        <f t="shared" si="43"/>
        <v>1.8373188133971263E-2</v>
      </c>
      <c r="O607" s="30">
        <f t="shared" si="42"/>
        <v>-8.0607617712558088E-4</v>
      </c>
      <c r="P607" s="30">
        <f t="shared" si="42"/>
        <v>4.1578845079115467E-4</v>
      </c>
      <c r="Q607" s="30">
        <f t="shared" si="42"/>
        <v>1.9349414975033952E-3</v>
      </c>
      <c r="R607" s="30">
        <f t="shared" si="42"/>
        <v>0</v>
      </c>
      <c r="S607" s="30">
        <f t="shared" si="42"/>
        <v>0</v>
      </c>
      <c r="T607" s="30">
        <f t="shared" si="42"/>
        <v>0</v>
      </c>
      <c r="U607" s="63">
        <f t="shared" si="41"/>
        <v>2.1504555912983964E-3</v>
      </c>
    </row>
    <row r="608" spans="1:21">
      <c r="A608" s="28">
        <v>44209</v>
      </c>
      <c r="B608" s="29">
        <v>1853.599976</v>
      </c>
      <c r="C608" s="29">
        <v>25.520000459999999</v>
      </c>
      <c r="D608" s="29">
        <v>52.909999849999998</v>
      </c>
      <c r="E608" s="29">
        <v>12973.62988</v>
      </c>
      <c r="F608" s="29">
        <v>3809.8400879999999</v>
      </c>
      <c r="G608" s="29">
        <v>31060.470700000002</v>
      </c>
      <c r="H608" s="29">
        <v>11.733333590000001</v>
      </c>
      <c r="I608" s="29">
        <v>9.5847682949999999</v>
      </c>
      <c r="J608" s="29">
        <v>12.53874779</v>
      </c>
      <c r="L608" s="30">
        <f t="shared" si="43"/>
        <v>5.8060404040669589E-3</v>
      </c>
      <c r="M608" s="30">
        <f t="shared" si="43"/>
        <v>5.3576928703513715E-3</v>
      </c>
      <c r="N608" s="30">
        <f t="shared" si="43"/>
        <v>-5.638023589306207E-3</v>
      </c>
      <c r="O608" s="30">
        <f t="shared" si="42"/>
        <v>6.3248116490011164E-3</v>
      </c>
      <c r="P608" s="30">
        <f t="shared" si="42"/>
        <v>2.2756418737981399E-3</v>
      </c>
      <c r="Q608" s="30">
        <f t="shared" si="42"/>
        <v>-2.6453481448662775E-4</v>
      </c>
      <c r="R608" s="30">
        <f t="shared" si="42"/>
        <v>2.4371447831306181E-3</v>
      </c>
      <c r="S608" s="30">
        <f t="shared" si="42"/>
        <v>2.9879993274528616E-3</v>
      </c>
      <c r="T608" s="30">
        <f t="shared" si="42"/>
        <v>3.0210034023021581E-3</v>
      </c>
      <c r="U608" s="63">
        <f t="shared" si="41"/>
        <v>2.9063963755890008E-3</v>
      </c>
    </row>
    <row r="609" spans="1:21">
      <c r="A609" s="28">
        <v>44210</v>
      </c>
      <c r="B609" s="29">
        <v>1850.3000489999999</v>
      </c>
      <c r="C609" s="29">
        <v>25.746000290000001</v>
      </c>
      <c r="D609" s="29">
        <v>53.569999690000003</v>
      </c>
      <c r="E609" s="29">
        <v>12898.690430000001</v>
      </c>
      <c r="F609" s="29">
        <v>3795.540039</v>
      </c>
      <c r="G609" s="29">
        <v>30991.519530000001</v>
      </c>
      <c r="H609" s="29">
        <v>11.72382069</v>
      </c>
      <c r="I609" s="29">
        <v>9.5752506260000008</v>
      </c>
      <c r="J609" s="29">
        <v>12.529311180000001</v>
      </c>
      <c r="L609" s="30">
        <f t="shared" si="43"/>
        <v>-1.7802800187347589E-3</v>
      </c>
      <c r="M609" s="30">
        <f t="shared" si="43"/>
        <v>8.8557925519725522E-3</v>
      </c>
      <c r="N609" s="30">
        <f t="shared" si="43"/>
        <v>1.2474009485373472E-2</v>
      </c>
      <c r="O609" s="30">
        <f t="shared" si="42"/>
        <v>-5.7762901125709698E-3</v>
      </c>
      <c r="P609" s="30">
        <f t="shared" si="42"/>
        <v>-3.7534512393423425E-3</v>
      </c>
      <c r="Q609" s="30">
        <f t="shared" si="42"/>
        <v>-2.2199010010495179E-3</v>
      </c>
      <c r="R609" s="30">
        <f t="shared" si="42"/>
        <v>-8.1075850499201518E-4</v>
      </c>
      <c r="S609" s="30">
        <f t="shared" si="42"/>
        <v>-9.9299938267305432E-4</v>
      </c>
      <c r="T609" s="30">
        <f t="shared" si="42"/>
        <v>-7.5259588581289005E-4</v>
      </c>
      <c r="U609" s="63">
        <f t="shared" si="41"/>
        <v>6.1352632345329478E-5</v>
      </c>
    </row>
    <row r="610" spans="1:21">
      <c r="A610" s="28">
        <v>44211</v>
      </c>
      <c r="B610" s="29">
        <v>1829.3000489999999</v>
      </c>
      <c r="C610" s="29">
        <v>24.825000760000002</v>
      </c>
      <c r="D610" s="29">
        <v>52.36000061</v>
      </c>
      <c r="E610" s="29">
        <v>12803.929690000001</v>
      </c>
      <c r="F610" s="29">
        <v>3768.25</v>
      </c>
      <c r="G610" s="29">
        <v>30814.259770000001</v>
      </c>
      <c r="H610" s="29">
        <v>11.733333590000001</v>
      </c>
      <c r="I610" s="29">
        <v>9.5847682949999999</v>
      </c>
      <c r="J610" s="29">
        <v>12.53874779</v>
      </c>
      <c r="L610" s="30">
        <f t="shared" si="43"/>
        <v>-1.1349510589566014E-2</v>
      </c>
      <c r="M610" s="30">
        <f t="shared" si="43"/>
        <v>-3.5772528533596137E-2</v>
      </c>
      <c r="N610" s="30">
        <f t="shared" si="43"/>
        <v>-2.2587251950756948E-2</v>
      </c>
      <c r="O610" s="30">
        <f t="shared" si="42"/>
        <v>-7.3465395975085279E-3</v>
      </c>
      <c r="P610" s="30">
        <f t="shared" si="42"/>
        <v>-7.1900279590226823E-3</v>
      </c>
      <c r="Q610" s="30">
        <f t="shared" si="42"/>
        <v>-5.7196214541339607E-3</v>
      </c>
      <c r="R610" s="30">
        <f t="shared" si="42"/>
        <v>8.1141636771331349E-4</v>
      </c>
      <c r="S610" s="30">
        <f t="shared" si="42"/>
        <v>9.9398641056502868E-4</v>
      </c>
      <c r="T610" s="30">
        <f t="shared" si="42"/>
        <v>7.5316271297198867E-4</v>
      </c>
      <c r="U610" s="63">
        <f t="shared" si="41"/>
        <v>-1.0775971063926746E-2</v>
      </c>
    </row>
    <row r="611" spans="1:21">
      <c r="A611" s="28">
        <v>44215</v>
      </c>
      <c r="B611" s="29">
        <v>1839.5</v>
      </c>
      <c r="C611" s="29">
        <v>25.278999330000001</v>
      </c>
      <c r="D611" s="29">
        <v>52.979999540000001</v>
      </c>
      <c r="E611" s="29">
        <v>12996.54004</v>
      </c>
      <c r="F611" s="29">
        <v>3798.9099120000001</v>
      </c>
      <c r="G611" s="29">
        <v>30930.519530000001</v>
      </c>
      <c r="H611" s="29">
        <v>11.742840770000001</v>
      </c>
      <c r="I611" s="29">
        <v>9.5847682949999999</v>
      </c>
      <c r="J611" s="29">
        <v>12.5576334</v>
      </c>
      <c r="L611" s="30">
        <f t="shared" si="43"/>
        <v>5.5758764154496543E-3</v>
      </c>
      <c r="M611" s="30">
        <f t="shared" si="43"/>
        <v>1.8287957949693956E-2</v>
      </c>
      <c r="N611" s="30">
        <f t="shared" si="43"/>
        <v>1.1841079502997287E-2</v>
      </c>
      <c r="O611" s="30">
        <f t="shared" si="42"/>
        <v>1.5043065266941325E-2</v>
      </c>
      <c r="P611" s="30">
        <f t="shared" si="42"/>
        <v>8.1363794864990346E-3</v>
      </c>
      <c r="Q611" s="30">
        <f t="shared" si="42"/>
        <v>3.7729207473349291E-3</v>
      </c>
      <c r="R611" s="30">
        <f t="shared" si="42"/>
        <v>8.1027100500263849E-4</v>
      </c>
      <c r="S611" s="30">
        <f t="shared" si="42"/>
        <v>0</v>
      </c>
      <c r="T611" s="30">
        <f t="shared" si="42"/>
        <v>1.5061799085760441E-3</v>
      </c>
      <c r="U611" s="63">
        <f t="shared" si="41"/>
        <v>8.5289768658772247E-3</v>
      </c>
    </row>
    <row r="612" spans="1:21">
      <c r="A612" s="28">
        <v>44216</v>
      </c>
      <c r="B612" s="29">
        <v>1865.900024</v>
      </c>
      <c r="C612" s="29">
        <v>25.73399925</v>
      </c>
      <c r="D612" s="29">
        <v>53.240001679999999</v>
      </c>
      <c r="E612" s="29">
        <v>13296.450199999999</v>
      </c>
      <c r="F612" s="29">
        <v>3851.8500979999999</v>
      </c>
      <c r="G612" s="29">
        <v>31188.380860000001</v>
      </c>
      <c r="H612" s="29">
        <v>11.742840770000001</v>
      </c>
      <c r="I612" s="29">
        <v>9.5942850110000002</v>
      </c>
      <c r="J612" s="29">
        <v>12.5576334</v>
      </c>
      <c r="L612" s="30">
        <f t="shared" si="43"/>
        <v>1.4351739059527135E-2</v>
      </c>
      <c r="M612" s="30">
        <f t="shared" si="43"/>
        <v>1.7999127024779904E-2</v>
      </c>
      <c r="N612" s="30">
        <f t="shared" si="43"/>
        <v>4.9075527039914579E-3</v>
      </c>
      <c r="O612" s="30">
        <f t="shared" si="42"/>
        <v>2.3076154043842001E-2</v>
      </c>
      <c r="P612" s="30">
        <f t="shared" si="42"/>
        <v>1.3935625541624974E-2</v>
      </c>
      <c r="Q612" s="30">
        <f t="shared" si="42"/>
        <v>8.3367927185928892E-3</v>
      </c>
      <c r="R612" s="30">
        <f t="shared" si="42"/>
        <v>0</v>
      </c>
      <c r="S612" s="30">
        <f t="shared" si="42"/>
        <v>9.9289995408291531E-4</v>
      </c>
      <c r="T612" s="30">
        <f t="shared" si="42"/>
        <v>0</v>
      </c>
      <c r="U612" s="63">
        <f t="shared" si="41"/>
        <v>1.12506847282646E-2</v>
      </c>
    </row>
    <row r="613" spans="1:21">
      <c r="A613" s="28">
        <v>44217</v>
      </c>
      <c r="B613" s="29">
        <v>1865.3000489999999</v>
      </c>
      <c r="C613" s="29">
        <v>25.822000500000001</v>
      </c>
      <c r="D613" s="29">
        <v>53.130001069999999</v>
      </c>
      <c r="E613" s="29">
        <v>13404.990229999999</v>
      </c>
      <c r="F613" s="29">
        <v>3853.070068</v>
      </c>
      <c r="G613" s="29">
        <v>31176.009770000001</v>
      </c>
      <c r="H613" s="29">
        <v>11.72382069</v>
      </c>
      <c r="I613" s="29">
        <v>9.5752506260000008</v>
      </c>
      <c r="J613" s="29">
        <v>12.53874779</v>
      </c>
      <c r="L613" s="30">
        <f t="shared" si="43"/>
        <v>-3.2154723848165645E-4</v>
      </c>
      <c r="M613" s="30">
        <f t="shared" si="43"/>
        <v>3.4196492020182045E-3</v>
      </c>
      <c r="N613" s="30">
        <f t="shared" si="43"/>
        <v>-2.0661270948330035E-3</v>
      </c>
      <c r="O613" s="30">
        <f t="shared" si="42"/>
        <v>8.1630832566124134E-3</v>
      </c>
      <c r="P613" s="30">
        <f t="shared" si="42"/>
        <v>3.1672312498187694E-4</v>
      </c>
      <c r="Q613" s="30">
        <f t="shared" si="42"/>
        <v>-3.9665701324897995E-4</v>
      </c>
      <c r="R613" s="30">
        <f t="shared" si="42"/>
        <v>-1.6197171001920418E-3</v>
      </c>
      <c r="S613" s="30">
        <f t="shared" si="42"/>
        <v>-1.9839294932531004E-3</v>
      </c>
      <c r="T613" s="30">
        <f t="shared" si="42"/>
        <v>-1.5039147424067423E-3</v>
      </c>
      <c r="U613" s="63">
        <f t="shared" si="41"/>
        <v>9.0624831914749675E-4</v>
      </c>
    </row>
    <row r="614" spans="1:21">
      <c r="A614" s="28">
        <v>44218</v>
      </c>
      <c r="B614" s="29">
        <v>1855.6999510000001</v>
      </c>
      <c r="C614" s="29">
        <v>25.524000170000001</v>
      </c>
      <c r="D614" s="29">
        <v>52.270000459999999</v>
      </c>
      <c r="E614" s="29">
        <v>13366.400390000001</v>
      </c>
      <c r="F614" s="29">
        <v>3841.469971</v>
      </c>
      <c r="G614" s="29">
        <v>30996.980469999999</v>
      </c>
      <c r="H614" s="29">
        <v>11.733333590000001</v>
      </c>
      <c r="I614" s="29">
        <v>9.5752506260000008</v>
      </c>
      <c r="J614" s="29">
        <v>12.54819107</v>
      </c>
      <c r="L614" s="30">
        <f t="shared" si="43"/>
        <v>-5.1466776110077328E-3</v>
      </c>
      <c r="M614" s="30">
        <f t="shared" si="43"/>
        <v>-1.1540559376877146E-2</v>
      </c>
      <c r="N614" s="30">
        <f t="shared" si="43"/>
        <v>-1.6186722994169123E-2</v>
      </c>
      <c r="O614" s="30">
        <f t="shared" si="42"/>
        <v>-2.8787667381984239E-3</v>
      </c>
      <c r="P614" s="30">
        <f t="shared" si="42"/>
        <v>-3.0106114851996546E-3</v>
      </c>
      <c r="Q614" s="30">
        <f t="shared" si="42"/>
        <v>-5.7425341254633278E-3</v>
      </c>
      <c r="R614" s="30">
        <f t="shared" si="42"/>
        <v>8.1141636771331349E-4</v>
      </c>
      <c r="S614" s="30">
        <f t="shared" si="42"/>
        <v>0</v>
      </c>
      <c r="T614" s="30">
        <f t="shared" si="42"/>
        <v>7.5312783685865803E-4</v>
      </c>
      <c r="U614" s="63">
        <f t="shared" si="41"/>
        <v>-4.5803527612999972E-3</v>
      </c>
    </row>
    <row r="615" spans="1:21">
      <c r="A615" s="28">
        <v>44221</v>
      </c>
      <c r="B615" s="29">
        <v>1854.900024</v>
      </c>
      <c r="C615" s="29">
        <v>25.454999919999999</v>
      </c>
      <c r="D615" s="29">
        <v>52.770000459999999</v>
      </c>
      <c r="E615" s="29">
        <v>13483.29004</v>
      </c>
      <c r="F615" s="29">
        <v>3855.360107</v>
      </c>
      <c r="G615" s="29">
        <v>30960</v>
      </c>
      <c r="H615" s="29">
        <v>11.752346989999999</v>
      </c>
      <c r="I615" s="29">
        <v>9.5942850110000002</v>
      </c>
      <c r="J615" s="29">
        <v>12.57651615</v>
      </c>
      <c r="L615" s="30">
        <f t="shared" si="43"/>
        <v>-4.3106483867128009E-4</v>
      </c>
      <c r="M615" s="30">
        <f t="shared" si="43"/>
        <v>-2.7033478114885101E-3</v>
      </c>
      <c r="N615" s="30">
        <f t="shared" si="43"/>
        <v>9.5657163879809826E-3</v>
      </c>
      <c r="O615" s="30">
        <f t="shared" si="42"/>
        <v>8.7450358054101951E-3</v>
      </c>
      <c r="P615" s="30">
        <f t="shared" si="42"/>
        <v>3.6158387557001515E-3</v>
      </c>
      <c r="Q615" s="30">
        <f t="shared" si="42"/>
        <v>-1.1930345936691511E-3</v>
      </c>
      <c r="R615" s="30">
        <f t="shared" si="42"/>
        <v>1.6204601918250461E-3</v>
      </c>
      <c r="S615" s="30">
        <f t="shared" si="42"/>
        <v>1.987873293709308E-3</v>
      </c>
      <c r="T615" s="30">
        <f t="shared" si="42"/>
        <v>2.2573038489761554E-3</v>
      </c>
      <c r="U615" s="63">
        <f t="shared" si="41"/>
        <v>2.9306247924122454E-3</v>
      </c>
    </row>
    <row r="616" spans="1:21">
      <c r="A616" s="28">
        <v>44222</v>
      </c>
      <c r="B616" s="29">
        <v>1850.6999510000001</v>
      </c>
      <c r="C616" s="29">
        <v>25.528999330000001</v>
      </c>
      <c r="D616" s="29">
        <v>52.61000061</v>
      </c>
      <c r="E616" s="29">
        <v>13490.190430000001</v>
      </c>
      <c r="F616" s="29">
        <v>3849.6201169999999</v>
      </c>
      <c r="G616" s="29">
        <v>30937.039059999999</v>
      </c>
      <c r="H616" s="29">
        <v>11.752346989999999</v>
      </c>
      <c r="I616" s="29">
        <v>9.5942850110000002</v>
      </c>
      <c r="J616" s="29">
        <v>12.567075729999999</v>
      </c>
      <c r="L616" s="30">
        <f t="shared" si="43"/>
        <v>-2.2643123325550851E-3</v>
      </c>
      <c r="M616" s="30">
        <f t="shared" si="43"/>
        <v>2.9070677757834229E-3</v>
      </c>
      <c r="N616" s="30">
        <f t="shared" si="43"/>
        <v>-3.0320229032645418E-3</v>
      </c>
      <c r="O616" s="30">
        <f t="shared" si="42"/>
        <v>5.1177346030018001E-4</v>
      </c>
      <c r="P616" s="30">
        <f t="shared" si="42"/>
        <v>-1.4888336862691753E-3</v>
      </c>
      <c r="Q616" s="30">
        <f t="shared" si="42"/>
        <v>-7.4163242894054182E-4</v>
      </c>
      <c r="R616" s="30">
        <f t="shared" si="42"/>
        <v>0</v>
      </c>
      <c r="S616" s="30">
        <f t="shared" si="42"/>
        <v>0</v>
      </c>
      <c r="T616" s="30">
        <f t="shared" si="42"/>
        <v>-7.50638721201069E-4</v>
      </c>
      <c r="U616" s="63">
        <f t="shared" si="41"/>
        <v>-4.1759097791468637E-4</v>
      </c>
    </row>
    <row r="617" spans="1:21">
      <c r="A617" s="28">
        <v>44223</v>
      </c>
      <c r="B617" s="29">
        <v>1844.900024</v>
      </c>
      <c r="C617" s="29">
        <v>25.375999449999998</v>
      </c>
      <c r="D617" s="29">
        <v>52.849998470000003</v>
      </c>
      <c r="E617" s="29">
        <v>13112.650390000001</v>
      </c>
      <c r="F617" s="29">
        <v>3750.7700199999999</v>
      </c>
      <c r="G617" s="29">
        <v>30303.16992</v>
      </c>
      <c r="H617" s="29">
        <v>11.752346989999999</v>
      </c>
      <c r="I617" s="29">
        <v>9.5942850110000002</v>
      </c>
      <c r="J617" s="29">
        <v>12.57651615</v>
      </c>
      <c r="L617" s="30">
        <f t="shared" si="43"/>
        <v>-3.1339099549152483E-3</v>
      </c>
      <c r="M617" s="30">
        <f t="shared" si="43"/>
        <v>-5.9931796786177882E-3</v>
      </c>
      <c r="N617" s="30">
        <f t="shared" si="43"/>
        <v>4.5618296372798017E-3</v>
      </c>
      <c r="O617" s="30">
        <f t="shared" si="42"/>
        <v>-2.7986264683144246E-2</v>
      </c>
      <c r="P617" s="30">
        <f t="shared" si="42"/>
        <v>-2.5677883530241363E-2</v>
      </c>
      <c r="Q617" s="30">
        <f t="shared" si="42"/>
        <v>-2.0489004741877759E-2</v>
      </c>
      <c r="R617" s="30">
        <f t="shared" si="42"/>
        <v>0</v>
      </c>
      <c r="S617" s="30">
        <f t="shared" si="42"/>
        <v>0</v>
      </c>
      <c r="T617" s="30">
        <f t="shared" si="42"/>
        <v>7.5120260296235308E-4</v>
      </c>
      <c r="U617" s="63">
        <f t="shared" si="41"/>
        <v>-1.2453579699491452E-2</v>
      </c>
    </row>
    <row r="618" spans="1:21">
      <c r="A618" s="28">
        <v>44224</v>
      </c>
      <c r="B618" s="29">
        <v>1837.900024</v>
      </c>
      <c r="C618" s="29">
        <v>25.9090004</v>
      </c>
      <c r="D618" s="29">
        <v>52.340000150000002</v>
      </c>
      <c r="E618" s="29">
        <v>13201.530269999999</v>
      </c>
      <c r="F618" s="29">
        <v>3787.3798830000001</v>
      </c>
      <c r="G618" s="29">
        <v>30603.359380000002</v>
      </c>
      <c r="H618" s="29">
        <v>11.742840770000001</v>
      </c>
      <c r="I618" s="29">
        <v>9.5847682949999999</v>
      </c>
      <c r="J618" s="29">
        <v>12.5576334</v>
      </c>
      <c r="L618" s="30">
        <f t="shared" si="43"/>
        <v>-3.7942435410798225E-3</v>
      </c>
      <c r="M618" s="30">
        <f t="shared" si="43"/>
        <v>2.1004136252848138E-2</v>
      </c>
      <c r="N618" s="30">
        <f t="shared" si="43"/>
        <v>-9.6499211875946678E-3</v>
      </c>
      <c r="O618" s="30">
        <f t="shared" si="42"/>
        <v>6.7781781223863469E-3</v>
      </c>
      <c r="P618" s="30">
        <f t="shared" si="42"/>
        <v>9.7606258994253903E-3</v>
      </c>
      <c r="Q618" s="30">
        <f t="shared" si="42"/>
        <v>9.9062065385402409E-3</v>
      </c>
      <c r="R618" s="30">
        <f t="shared" si="42"/>
        <v>-8.088784315241071E-4</v>
      </c>
      <c r="S618" s="30">
        <f t="shared" si="42"/>
        <v>-9.9191508164386821E-4</v>
      </c>
      <c r="T618" s="30">
        <f t="shared" si="42"/>
        <v>-1.501429312759206E-3</v>
      </c>
      <c r="U618" s="63">
        <f t="shared" si="41"/>
        <v>6.0324405436368005E-3</v>
      </c>
    </row>
    <row r="619" spans="1:21">
      <c r="A619" s="28">
        <v>44225</v>
      </c>
      <c r="B619" s="29">
        <v>1847.3000489999999</v>
      </c>
      <c r="C619" s="29">
        <v>26.899999619999999</v>
      </c>
      <c r="D619" s="29">
        <v>52.200000760000002</v>
      </c>
      <c r="E619" s="29">
        <v>12925.37988</v>
      </c>
      <c r="F619" s="29">
        <v>3714.23999</v>
      </c>
      <c r="G619" s="29">
        <v>29982.619139999999</v>
      </c>
      <c r="H619" s="29">
        <v>11.75522614</v>
      </c>
      <c r="I619" s="29">
        <v>9.5866765980000004</v>
      </c>
      <c r="J619" s="29">
        <v>12.55196095</v>
      </c>
      <c r="L619" s="30">
        <f t="shared" si="43"/>
        <v>5.1145464264925611E-3</v>
      </c>
      <c r="M619" s="30">
        <f t="shared" si="43"/>
        <v>3.8249226319051699E-2</v>
      </c>
      <c r="N619" s="30">
        <f t="shared" si="43"/>
        <v>-2.6748068322273166E-3</v>
      </c>
      <c r="O619" s="30">
        <f t="shared" si="42"/>
        <v>-2.0918059069829242E-2</v>
      </c>
      <c r="P619" s="30">
        <f t="shared" si="42"/>
        <v>-1.9311475283558144E-2</v>
      </c>
      <c r="Q619" s="30">
        <f t="shared" si="42"/>
        <v>-2.0283401972061577E-2</v>
      </c>
      <c r="R619" s="30">
        <f t="shared" si="42"/>
        <v>1.0547166773853256E-3</v>
      </c>
      <c r="S619" s="30">
        <f t="shared" si="42"/>
        <v>1.9909745768154075E-4</v>
      </c>
      <c r="T619" s="30">
        <f t="shared" si="42"/>
        <v>-4.5171329814430727E-4</v>
      </c>
      <c r="U619" s="63">
        <f t="shared" si="41"/>
        <v>-3.0869542064390913E-3</v>
      </c>
    </row>
    <row r="620" spans="1:21">
      <c r="A620" s="28">
        <v>44228</v>
      </c>
      <c r="B620" s="29">
        <v>1860.8000489999999</v>
      </c>
      <c r="C620" s="29">
        <v>29.398000719999999</v>
      </c>
      <c r="D620" s="29">
        <v>53.549999239999998</v>
      </c>
      <c r="E620" s="29">
        <v>13248.900390000001</v>
      </c>
      <c r="F620" s="29">
        <v>3773.860107</v>
      </c>
      <c r="G620" s="29">
        <v>30211.910159999999</v>
      </c>
      <c r="H620" s="29">
        <v>11.75522614</v>
      </c>
      <c r="I620" s="29">
        <v>9.5866765980000004</v>
      </c>
      <c r="J620" s="29">
        <v>12.561415670000001</v>
      </c>
      <c r="L620" s="30">
        <f t="shared" si="43"/>
        <v>7.3079627791423629E-3</v>
      </c>
      <c r="M620" s="30">
        <f t="shared" si="43"/>
        <v>9.2862495735604123E-2</v>
      </c>
      <c r="N620" s="30">
        <f t="shared" si="43"/>
        <v>2.586203947020782E-2</v>
      </c>
      <c r="O620" s="30">
        <f t="shared" si="42"/>
        <v>2.5029864731527018E-2</v>
      </c>
      <c r="P620" s="30">
        <f t="shared" si="42"/>
        <v>1.6051767564970953E-2</v>
      </c>
      <c r="Q620" s="30">
        <f t="shared" si="42"/>
        <v>7.6474646504147703E-3</v>
      </c>
      <c r="R620" s="30">
        <f t="shared" si="42"/>
        <v>0</v>
      </c>
      <c r="S620" s="30">
        <f t="shared" si="42"/>
        <v>0</v>
      </c>
      <c r="T620" s="30">
        <f t="shared" si="42"/>
        <v>7.532464479185208E-4</v>
      </c>
      <c r="U620" s="63">
        <f t="shared" si="41"/>
        <v>2.4609409875459041E-2</v>
      </c>
    </row>
    <row r="621" spans="1:21">
      <c r="A621" s="28">
        <v>44229</v>
      </c>
      <c r="B621" s="29">
        <v>1830.5</v>
      </c>
      <c r="C621" s="29">
        <v>26.384000780000001</v>
      </c>
      <c r="D621" s="29">
        <v>54.759998320000001</v>
      </c>
      <c r="E621" s="29">
        <v>13456.12012</v>
      </c>
      <c r="F621" s="29">
        <v>3826.3100589999999</v>
      </c>
      <c r="G621" s="29">
        <v>30687.480469999999</v>
      </c>
      <c r="H621" s="29">
        <v>11.73617363</v>
      </c>
      <c r="I621" s="29">
        <v>9.5771427150000008</v>
      </c>
      <c r="J621" s="29">
        <v>12.55196095</v>
      </c>
      <c r="L621" s="30">
        <f t="shared" si="43"/>
        <v>-1.6283344906554142E-2</v>
      </c>
      <c r="M621" s="30">
        <f t="shared" si="43"/>
        <v>-0.1025239766712952</v>
      </c>
      <c r="N621" s="30">
        <f t="shared" si="43"/>
        <v>2.2595688089126487E-2</v>
      </c>
      <c r="O621" s="30">
        <f t="shared" si="42"/>
        <v>1.5640522903803022E-2</v>
      </c>
      <c r="P621" s="30">
        <f t="shared" si="42"/>
        <v>1.389822370540772E-2</v>
      </c>
      <c r="Q621" s="30">
        <f t="shared" si="42"/>
        <v>1.5741153322693435E-2</v>
      </c>
      <c r="R621" s="30">
        <f t="shared" si="42"/>
        <v>-1.6207693304316484E-3</v>
      </c>
      <c r="S621" s="30">
        <f t="shared" si="42"/>
        <v>-9.9449302399423622E-4</v>
      </c>
      <c r="T621" s="30">
        <f t="shared" si="42"/>
        <v>-7.5267949476276463E-4</v>
      </c>
      <c r="U621" s="63">
        <f t="shared" si="41"/>
        <v>-8.4254498434362529E-3</v>
      </c>
    </row>
    <row r="622" spans="1:21">
      <c r="A622" s="28">
        <v>44230</v>
      </c>
      <c r="B622" s="29">
        <v>1832.1999510000001</v>
      </c>
      <c r="C622" s="29">
        <v>26.87800026</v>
      </c>
      <c r="D622" s="29">
        <v>55.689998629999998</v>
      </c>
      <c r="E622" s="29">
        <v>13402.37012</v>
      </c>
      <c r="F622" s="29">
        <v>3830.169922</v>
      </c>
      <c r="G622" s="29">
        <v>30723.599610000001</v>
      </c>
      <c r="H622" s="29">
        <v>11.71712112</v>
      </c>
      <c r="I622" s="29">
        <v>9.5676174159999992</v>
      </c>
      <c r="J622" s="29">
        <v>12.533041000000001</v>
      </c>
      <c r="L622" s="30">
        <f t="shared" si="43"/>
        <v>9.2868123463540897E-4</v>
      </c>
      <c r="M622" s="30">
        <f t="shared" si="43"/>
        <v>1.87234485065082E-2</v>
      </c>
      <c r="N622" s="30">
        <f t="shared" si="43"/>
        <v>1.6983205597731699E-2</v>
      </c>
      <c r="O622" s="30">
        <f t="shared" si="43"/>
        <v>-3.9944649364500595E-3</v>
      </c>
      <c r="P622" s="30">
        <f t="shared" si="43"/>
        <v>1.0087690073419253E-3</v>
      </c>
      <c r="Q622" s="30">
        <f t="shared" si="43"/>
        <v>1.1769992011991803E-3</v>
      </c>
      <c r="R622" s="30">
        <f t="shared" si="42"/>
        <v>-1.6234004881537922E-3</v>
      </c>
      <c r="S622" s="30">
        <f t="shared" si="42"/>
        <v>-9.9458672418895056E-4</v>
      </c>
      <c r="T622" s="30">
        <f t="shared" si="42"/>
        <v>-1.5073302152042167E-3</v>
      </c>
      <c r="U622" s="63">
        <f t="shared" si="41"/>
        <v>3.72987678196282E-3</v>
      </c>
    </row>
    <row r="623" spans="1:21">
      <c r="A623" s="28">
        <v>44231</v>
      </c>
      <c r="B623" s="29">
        <v>1788.900024</v>
      </c>
      <c r="C623" s="29">
        <v>26.222999569999999</v>
      </c>
      <c r="D623" s="29">
        <v>56.229999540000001</v>
      </c>
      <c r="E623" s="29">
        <v>13560.889649999999</v>
      </c>
      <c r="F623" s="29">
        <v>3871.73999</v>
      </c>
      <c r="G623" s="29">
        <v>31055.859380000002</v>
      </c>
      <c r="H623" s="29">
        <v>11.71712112</v>
      </c>
      <c r="I623" s="29">
        <v>9.5676174159999992</v>
      </c>
      <c r="J623" s="29">
        <v>12.533041000000001</v>
      </c>
      <c r="L623" s="30">
        <f t="shared" si="43"/>
        <v>-2.3632751969219989E-2</v>
      </c>
      <c r="M623" s="30">
        <f t="shared" si="43"/>
        <v>-2.4369398157004118E-2</v>
      </c>
      <c r="N623" s="30">
        <f t="shared" si="43"/>
        <v>9.6965509657798155E-3</v>
      </c>
      <c r="O623" s="30">
        <f t="shared" si="43"/>
        <v>1.1827723647434896E-2</v>
      </c>
      <c r="P623" s="30">
        <f t="shared" si="43"/>
        <v>1.0853322136239241E-2</v>
      </c>
      <c r="Q623" s="30">
        <f t="shared" si="43"/>
        <v>1.0814480536709414E-2</v>
      </c>
      <c r="R623" s="30">
        <f t="shared" si="42"/>
        <v>0</v>
      </c>
      <c r="S623" s="30">
        <f t="shared" si="42"/>
        <v>0</v>
      </c>
      <c r="T623" s="30">
        <f t="shared" si="42"/>
        <v>0</v>
      </c>
      <c r="U623" s="63">
        <f t="shared" si="41"/>
        <v>7.7162020824863794E-4</v>
      </c>
    </row>
    <row r="624" spans="1:21">
      <c r="A624" s="28">
        <v>44232</v>
      </c>
      <c r="B624" s="29">
        <v>1810.900024</v>
      </c>
      <c r="C624" s="29">
        <v>27.013999940000001</v>
      </c>
      <c r="D624" s="29">
        <v>56.849998470000003</v>
      </c>
      <c r="E624" s="29">
        <v>13603.95996</v>
      </c>
      <c r="F624" s="29">
        <v>3886.830078</v>
      </c>
      <c r="G624" s="29">
        <v>31148.240229999999</v>
      </c>
      <c r="H624" s="29">
        <v>11.698068620000001</v>
      </c>
      <c r="I624" s="29">
        <v>9.5580854419999994</v>
      </c>
      <c r="J624" s="29">
        <v>12.5141201</v>
      </c>
      <c r="L624" s="30">
        <f t="shared" si="43"/>
        <v>1.2298060095503605E-2</v>
      </c>
      <c r="M624" s="30">
        <f t="shared" si="43"/>
        <v>3.0164374136089744E-2</v>
      </c>
      <c r="N624" s="30">
        <f t="shared" si="43"/>
        <v>1.1026123689703349E-2</v>
      </c>
      <c r="O624" s="30">
        <f t="shared" si="43"/>
        <v>3.1760681718990824E-3</v>
      </c>
      <c r="P624" s="30">
        <f t="shared" si="43"/>
        <v>3.8974951931107782E-3</v>
      </c>
      <c r="Q624" s="30">
        <f t="shared" si="43"/>
        <v>2.9746673202510898E-3</v>
      </c>
      <c r="R624" s="30">
        <f t="shared" si="42"/>
        <v>-1.6260393491605019E-3</v>
      </c>
      <c r="S624" s="30">
        <f t="shared" si="42"/>
        <v>-9.9627457762463401E-4</v>
      </c>
      <c r="T624" s="30">
        <f t="shared" si="42"/>
        <v>-1.5096814891135679E-3</v>
      </c>
      <c r="U624" s="63">
        <f t="shared" si="41"/>
        <v>7.4159784089054947E-3</v>
      </c>
    </row>
    <row r="625" spans="1:21">
      <c r="A625" s="28">
        <v>44235</v>
      </c>
      <c r="B625" s="29">
        <v>1831.900024</v>
      </c>
      <c r="C625" s="29">
        <v>27.56999969</v>
      </c>
      <c r="D625" s="29">
        <v>57.97000122</v>
      </c>
      <c r="E625" s="29">
        <v>13695.01953</v>
      </c>
      <c r="F625" s="29">
        <v>3915.5900879999999</v>
      </c>
      <c r="G625" s="29">
        <v>31385.759770000001</v>
      </c>
      <c r="H625" s="29">
        <v>11.707592959999999</v>
      </c>
      <c r="I625" s="29">
        <v>9.5676174159999992</v>
      </c>
      <c r="J625" s="29">
        <v>12.533041000000001</v>
      </c>
      <c r="L625" s="30">
        <f t="shared" si="43"/>
        <v>1.1596443603559159E-2</v>
      </c>
      <c r="M625" s="30">
        <f t="shared" si="43"/>
        <v>2.0581911276927212E-2</v>
      </c>
      <c r="N625" s="30">
        <f t="shared" si="43"/>
        <v>1.9701016361346468E-2</v>
      </c>
      <c r="O625" s="30">
        <f t="shared" si="43"/>
        <v>6.6936076162928959E-3</v>
      </c>
      <c r="P625" s="30">
        <f t="shared" si="43"/>
        <v>7.3993484209113891E-3</v>
      </c>
      <c r="Q625" s="30">
        <f t="shared" si="43"/>
        <v>7.6254561492445916E-3</v>
      </c>
      <c r="R625" s="30">
        <f t="shared" si="42"/>
        <v>8.1418055487514351E-4</v>
      </c>
      <c r="S625" s="30">
        <f t="shared" si="42"/>
        <v>9.9726813051015384E-4</v>
      </c>
      <c r="T625" s="30">
        <f t="shared" si="42"/>
        <v>1.5119640732872419E-3</v>
      </c>
      <c r="U625" s="63">
        <f t="shared" si="41"/>
        <v>8.8481244725858912E-3</v>
      </c>
    </row>
    <row r="626" spans="1:21">
      <c r="A626" s="28">
        <v>44236</v>
      </c>
      <c r="B626" s="29">
        <v>1835.3000489999999</v>
      </c>
      <c r="C626" s="29">
        <v>27.39599991</v>
      </c>
      <c r="D626" s="29">
        <v>58.36000061</v>
      </c>
      <c r="E626" s="29">
        <v>13687.08008</v>
      </c>
      <c r="F626" s="29">
        <v>3911.2299800000001</v>
      </c>
      <c r="G626" s="29">
        <v>31375.83008</v>
      </c>
      <c r="H626" s="29">
        <v>11.71712112</v>
      </c>
      <c r="I626" s="29">
        <v>9.5676174159999992</v>
      </c>
      <c r="J626" s="29">
        <v>12.533041000000001</v>
      </c>
      <c r="L626" s="30">
        <f t="shared" si="43"/>
        <v>1.8560101290767683E-3</v>
      </c>
      <c r="M626" s="30">
        <f t="shared" si="43"/>
        <v>-6.3111999258784746E-3</v>
      </c>
      <c r="N626" s="30">
        <f t="shared" si="43"/>
        <v>6.727607069041186E-3</v>
      </c>
      <c r="O626" s="30">
        <f t="shared" si="43"/>
        <v>-5.7973265263389084E-4</v>
      </c>
      <c r="P626" s="30">
        <f t="shared" si="43"/>
        <v>-1.1135251397642598E-3</v>
      </c>
      <c r="Q626" s="30">
        <f t="shared" si="43"/>
        <v>-3.1637564528519402E-4</v>
      </c>
      <c r="R626" s="30">
        <f t="shared" si="42"/>
        <v>8.1384448815002841E-4</v>
      </c>
      <c r="S626" s="30">
        <f t="shared" si="42"/>
        <v>0</v>
      </c>
      <c r="T626" s="30">
        <f t="shared" si="42"/>
        <v>0</v>
      </c>
      <c r="U626" s="63">
        <f t="shared" si="41"/>
        <v>-7.3821271687246842E-4</v>
      </c>
    </row>
    <row r="627" spans="1:21">
      <c r="A627" s="28">
        <v>44237</v>
      </c>
      <c r="B627" s="29">
        <v>1840.599976</v>
      </c>
      <c r="C627" s="29">
        <v>27.073999400000002</v>
      </c>
      <c r="D627" s="29">
        <v>58.680000309999997</v>
      </c>
      <c r="E627" s="29">
        <v>13655.26953</v>
      </c>
      <c r="F627" s="29">
        <v>3909.8798830000001</v>
      </c>
      <c r="G627" s="29">
        <v>31437.800780000001</v>
      </c>
      <c r="H627" s="29">
        <v>11.72664642</v>
      </c>
      <c r="I627" s="29">
        <v>9.5771427150000008</v>
      </c>
      <c r="J627" s="29">
        <v>12.55196095</v>
      </c>
      <c r="L627" s="30">
        <f t="shared" si="43"/>
        <v>2.8877714044022174E-3</v>
      </c>
      <c r="M627" s="30">
        <f t="shared" si="43"/>
        <v>-1.1753559317339013E-2</v>
      </c>
      <c r="N627" s="30">
        <f t="shared" si="43"/>
        <v>5.4832024786710676E-3</v>
      </c>
      <c r="O627" s="30">
        <f t="shared" si="43"/>
        <v>-2.3241297496667812E-3</v>
      </c>
      <c r="P627" s="30">
        <f t="shared" si="43"/>
        <v>-3.4518476461464775E-4</v>
      </c>
      <c r="Q627" s="30">
        <f t="shared" si="43"/>
        <v>1.9751094980433592E-3</v>
      </c>
      <c r="R627" s="30">
        <f t="shared" si="42"/>
        <v>8.1293859664399726E-4</v>
      </c>
      <c r="S627" s="30">
        <f t="shared" si="42"/>
        <v>9.955769117682145E-4</v>
      </c>
      <c r="T627" s="30">
        <f t="shared" si="42"/>
        <v>1.5096056894730037E-3</v>
      </c>
      <c r="U627" s="63">
        <f t="shared" si="41"/>
        <v>-1.2210182934837036E-3</v>
      </c>
    </row>
    <row r="628" spans="1:21">
      <c r="A628" s="28">
        <v>44238</v>
      </c>
      <c r="B628" s="29">
        <v>1824.900024</v>
      </c>
      <c r="C628" s="29">
        <v>27.041999820000001</v>
      </c>
      <c r="D628" s="29">
        <v>58.240001679999999</v>
      </c>
      <c r="E628" s="29">
        <v>13734.349609999999</v>
      </c>
      <c r="F628" s="29">
        <v>3916.3798830000001</v>
      </c>
      <c r="G628" s="29">
        <v>31430.699219999999</v>
      </c>
      <c r="H628" s="29">
        <v>11.71712112</v>
      </c>
      <c r="I628" s="29">
        <v>9.5676174159999992</v>
      </c>
      <c r="J628" s="29">
        <v>12.542498589999999</v>
      </c>
      <c r="L628" s="30">
        <f t="shared" si="43"/>
        <v>-8.5298012630202757E-3</v>
      </c>
      <c r="M628" s="30">
        <f t="shared" si="43"/>
        <v>-1.1819302913924634E-3</v>
      </c>
      <c r="N628" s="30">
        <f t="shared" si="43"/>
        <v>-7.4982724552749014E-3</v>
      </c>
      <c r="O628" s="30">
        <f t="shared" si="43"/>
        <v>5.7911767926854818E-3</v>
      </c>
      <c r="P628" s="30">
        <f t="shared" si="43"/>
        <v>1.6624551634596418E-3</v>
      </c>
      <c r="Q628" s="30">
        <f t="shared" si="43"/>
        <v>-2.2589239144621409E-4</v>
      </c>
      <c r="R628" s="30">
        <f t="shared" si="42"/>
        <v>-8.1227826429164374E-4</v>
      </c>
      <c r="S628" s="30">
        <f t="shared" si="42"/>
        <v>-9.9458672418895056E-4</v>
      </c>
      <c r="T628" s="30">
        <f t="shared" si="42"/>
        <v>-7.5385511775361014E-4</v>
      </c>
      <c r="U628" s="63">
        <f t="shared" si="41"/>
        <v>-2.7323371725425263E-4</v>
      </c>
    </row>
    <row r="629" spans="1:21">
      <c r="A629" s="28">
        <v>44239</v>
      </c>
      <c r="B629" s="29">
        <v>1821.599976</v>
      </c>
      <c r="C629" s="29">
        <v>27.32299995</v>
      </c>
      <c r="D629" s="29">
        <v>59.47000122</v>
      </c>
      <c r="E629" s="29">
        <v>13807.700199999999</v>
      </c>
      <c r="F629" s="29">
        <v>3934.830078</v>
      </c>
      <c r="G629" s="29">
        <v>31458.400389999999</v>
      </c>
      <c r="H629" s="29">
        <v>11.67901707</v>
      </c>
      <c r="I629" s="29">
        <v>9.5485582349999998</v>
      </c>
      <c r="J629" s="29">
        <v>12.50466061</v>
      </c>
      <c r="L629" s="30">
        <f t="shared" si="43"/>
        <v>-1.8083445430433498E-3</v>
      </c>
      <c r="M629" s="30">
        <f t="shared" si="43"/>
        <v>1.0391248127742836E-2</v>
      </c>
      <c r="N629" s="30">
        <f t="shared" si="43"/>
        <v>2.1119496986937714E-2</v>
      </c>
      <c r="O629" s="30">
        <f t="shared" si="43"/>
        <v>5.3406671653817295E-3</v>
      </c>
      <c r="P629" s="30">
        <f t="shared" si="43"/>
        <v>4.7110330333601791E-3</v>
      </c>
      <c r="Q629" s="30">
        <f t="shared" si="43"/>
        <v>8.8134119467420113E-4</v>
      </c>
      <c r="R629" s="30">
        <f t="shared" si="42"/>
        <v>-3.25199762038475E-3</v>
      </c>
      <c r="S629" s="30">
        <f t="shared" si="42"/>
        <v>-1.9920509120825436E-3</v>
      </c>
      <c r="T629" s="30">
        <f t="shared" si="42"/>
        <v>-3.0167816825721339E-3</v>
      </c>
      <c r="U629" s="63">
        <f t="shared" si="41"/>
        <v>4.513873560787451E-3</v>
      </c>
    </row>
    <row r="630" spans="1:21">
      <c r="A630" s="28">
        <v>44243</v>
      </c>
      <c r="B630" s="29">
        <v>1797.1999510000001</v>
      </c>
      <c r="C630" s="29">
        <v>27.319000240000001</v>
      </c>
      <c r="D630" s="29">
        <v>60.049999239999998</v>
      </c>
      <c r="E630" s="29">
        <v>13773.76953</v>
      </c>
      <c r="F630" s="29">
        <v>3932.5900879999999</v>
      </c>
      <c r="G630" s="29">
        <v>31522.75</v>
      </c>
      <c r="H630" s="29">
        <v>11.63138485</v>
      </c>
      <c r="I630" s="29">
        <v>9.5199699399999993</v>
      </c>
      <c r="J630" s="29">
        <v>12.4573698</v>
      </c>
      <c r="L630" s="30">
        <f t="shared" si="43"/>
        <v>-1.3394831643322336E-2</v>
      </c>
      <c r="M630" s="30">
        <f t="shared" si="43"/>
        <v>-1.4638619504880879E-4</v>
      </c>
      <c r="N630" s="30">
        <f t="shared" si="43"/>
        <v>9.7527830519859027E-3</v>
      </c>
      <c r="O630" s="30">
        <f t="shared" si="43"/>
        <v>-2.4573730243649949E-3</v>
      </c>
      <c r="P630" s="30">
        <f t="shared" si="43"/>
        <v>-5.6927235880499527E-4</v>
      </c>
      <c r="Q630" s="30">
        <f t="shared" si="43"/>
        <v>2.0455461562647326E-3</v>
      </c>
      <c r="R630" s="30">
        <f t="shared" si="42"/>
        <v>-4.0784442487333816E-3</v>
      </c>
      <c r="S630" s="30">
        <f t="shared" si="42"/>
        <v>-2.9939907467088078E-3</v>
      </c>
      <c r="T630" s="30">
        <f t="shared" si="42"/>
        <v>-3.7818547399983693E-3</v>
      </c>
      <c r="U630" s="63">
        <f t="shared" si="41"/>
        <v>-1.3375021871618218E-3</v>
      </c>
    </row>
    <row r="631" spans="1:21">
      <c r="A631" s="28">
        <v>44244</v>
      </c>
      <c r="B631" s="29">
        <v>1771.099976</v>
      </c>
      <c r="C631" s="29">
        <v>27.31399918</v>
      </c>
      <c r="D631" s="29">
        <v>61.13999939</v>
      </c>
      <c r="E631" s="29">
        <v>13699.70996</v>
      </c>
      <c r="F631" s="29">
        <v>3931.330078</v>
      </c>
      <c r="G631" s="29">
        <v>31613.019530000001</v>
      </c>
      <c r="H631" s="29">
        <v>11.6504364</v>
      </c>
      <c r="I631" s="29">
        <v>9.5294971470000007</v>
      </c>
      <c r="J631" s="29">
        <v>12.47628593</v>
      </c>
      <c r="L631" s="30">
        <f t="shared" si="43"/>
        <v>-1.4522577182064511E-2</v>
      </c>
      <c r="M631" s="30">
        <f t="shared" si="43"/>
        <v>-1.8306160386782899E-4</v>
      </c>
      <c r="N631" s="30">
        <f t="shared" si="43"/>
        <v>1.8151543110660695E-2</v>
      </c>
      <c r="O631" s="30">
        <f t="shared" si="43"/>
        <v>-5.376855612306719E-3</v>
      </c>
      <c r="P631" s="30">
        <f t="shared" si="43"/>
        <v>-3.2040206881589484E-4</v>
      </c>
      <c r="Q631" s="30">
        <f t="shared" si="43"/>
        <v>2.8636311869998377E-3</v>
      </c>
      <c r="R631" s="30">
        <f t="shared" si="42"/>
        <v>1.6379433958804146E-3</v>
      </c>
      <c r="S631" s="30">
        <f t="shared" si="42"/>
        <v>1.0007601977786162E-3</v>
      </c>
      <c r="T631" s="30">
        <f t="shared" si="42"/>
        <v>1.5184690110106036E-3</v>
      </c>
      <c r="U631" s="63">
        <f t="shared" si="41"/>
        <v>2.3908099348556215E-4</v>
      </c>
    </row>
    <row r="632" spans="1:21">
      <c r="A632" s="28">
        <v>44245</v>
      </c>
      <c r="B632" s="29">
        <v>1773.400024</v>
      </c>
      <c r="C632" s="29">
        <v>27.076999659999998</v>
      </c>
      <c r="D632" s="29">
        <v>60.520000459999999</v>
      </c>
      <c r="E632" s="29">
        <v>13637.509770000001</v>
      </c>
      <c r="F632" s="29">
        <v>3913.969971</v>
      </c>
      <c r="G632" s="29">
        <v>31493.339840000001</v>
      </c>
      <c r="H632" s="29">
        <v>11.6504364</v>
      </c>
      <c r="I632" s="29">
        <v>9.5199699399999993</v>
      </c>
      <c r="J632" s="29">
        <v>12.47628593</v>
      </c>
      <c r="L632" s="30">
        <f t="shared" si="43"/>
        <v>1.2986550907163608E-3</v>
      </c>
      <c r="M632" s="30">
        <f t="shared" si="43"/>
        <v>-8.6768516919901728E-3</v>
      </c>
      <c r="N632" s="30">
        <f t="shared" si="43"/>
        <v>-1.0140643378897529E-2</v>
      </c>
      <c r="O632" s="30">
        <f t="shared" si="43"/>
        <v>-4.5402559748790594E-3</v>
      </c>
      <c r="P632" s="30">
        <f t="shared" si="43"/>
        <v>-4.4158355201839861E-3</v>
      </c>
      <c r="Q632" s="30">
        <f t="shared" si="43"/>
        <v>-3.7857721843503889E-3</v>
      </c>
      <c r="R632" s="30">
        <f t="shared" si="42"/>
        <v>0</v>
      </c>
      <c r="S632" s="30">
        <f t="shared" si="42"/>
        <v>-9.9975967808552113E-4</v>
      </c>
      <c r="T632" s="30">
        <f t="shared" si="42"/>
        <v>0</v>
      </c>
      <c r="U632" s="63">
        <f t="shared" si="41"/>
        <v>-4.1415424782059833E-3</v>
      </c>
    </row>
    <row r="633" spans="1:21">
      <c r="A633" s="28">
        <v>44246</v>
      </c>
      <c r="B633" s="29">
        <v>1775.8000489999999</v>
      </c>
      <c r="C633" s="29">
        <v>27.252000809999998</v>
      </c>
      <c r="D633" s="29">
        <v>59.240001679999999</v>
      </c>
      <c r="E633" s="29">
        <v>13580.780269999999</v>
      </c>
      <c r="F633" s="29">
        <v>3906.709961</v>
      </c>
      <c r="G633" s="29">
        <v>31494.320309999999</v>
      </c>
      <c r="H633" s="29">
        <v>11.61233234</v>
      </c>
      <c r="I633" s="29">
        <v>9.4913816450000006</v>
      </c>
      <c r="J633" s="29">
        <v>12.447909360000001</v>
      </c>
      <c r="L633" s="30">
        <f t="shared" si="43"/>
        <v>1.3533466603810052E-3</v>
      </c>
      <c r="M633" s="30">
        <f t="shared" si="43"/>
        <v>6.4630923735071732E-3</v>
      </c>
      <c r="N633" s="30">
        <f t="shared" si="43"/>
        <v>-2.1150012727544465E-2</v>
      </c>
      <c r="O633" s="30">
        <f t="shared" si="43"/>
        <v>-4.1598137018237225E-3</v>
      </c>
      <c r="P633" s="30">
        <f t="shared" si="43"/>
        <v>-1.8548967043160447E-3</v>
      </c>
      <c r="Q633" s="30">
        <f t="shared" si="43"/>
        <v>3.1132614228379651E-5</v>
      </c>
      <c r="R633" s="30">
        <f t="shared" si="42"/>
        <v>-3.2706122493403322E-3</v>
      </c>
      <c r="S633" s="30">
        <f t="shared" si="42"/>
        <v>-3.0029816459692382E-3</v>
      </c>
      <c r="T633" s="30">
        <f t="shared" si="42"/>
        <v>-2.2744404992968148E-3</v>
      </c>
      <c r="U633" s="63">
        <f t="shared" si="41"/>
        <v>-2.3310523626979048E-3</v>
      </c>
    </row>
    <row r="634" spans="1:21">
      <c r="A634" s="28">
        <v>44249</v>
      </c>
      <c r="B634" s="29">
        <v>1806.6999510000001</v>
      </c>
      <c r="C634" s="29">
        <v>28.083000179999999</v>
      </c>
      <c r="D634" s="29">
        <v>61.490001679999999</v>
      </c>
      <c r="E634" s="29">
        <v>13223.740229999999</v>
      </c>
      <c r="F634" s="29">
        <v>3876.5</v>
      </c>
      <c r="G634" s="29">
        <v>31521.689450000002</v>
      </c>
      <c r="H634" s="29">
        <v>11.574231149999999</v>
      </c>
      <c r="I634" s="29">
        <v>9.4723196030000008</v>
      </c>
      <c r="J634" s="29">
        <v>12.419530869999999</v>
      </c>
      <c r="L634" s="30">
        <f t="shared" si="43"/>
        <v>1.7400552510064671E-2</v>
      </c>
      <c r="M634" s="30">
        <f t="shared" si="43"/>
        <v>3.0493150788952983E-2</v>
      </c>
      <c r="N634" s="30">
        <f t="shared" si="43"/>
        <v>3.7981092778389014E-2</v>
      </c>
      <c r="O634" s="30">
        <f t="shared" si="43"/>
        <v>-2.629009768965207E-2</v>
      </c>
      <c r="P634" s="30">
        <f t="shared" si="43"/>
        <v>-7.7328394740282524E-3</v>
      </c>
      <c r="Q634" s="30">
        <f t="shared" si="43"/>
        <v>8.6901827791829866E-4</v>
      </c>
      <c r="R634" s="30">
        <f t="shared" si="42"/>
        <v>-3.2810971030132752E-3</v>
      </c>
      <c r="S634" s="30">
        <f t="shared" si="42"/>
        <v>-2.0083527049027383E-3</v>
      </c>
      <c r="T634" s="30">
        <f t="shared" si="42"/>
        <v>-2.2797796143336768E-3</v>
      </c>
      <c r="U634" s="63">
        <f t="shared" si="41"/>
        <v>2.4518932256989753E-3</v>
      </c>
    </row>
    <row r="635" spans="1:21">
      <c r="A635" s="28">
        <v>44250</v>
      </c>
      <c r="B635" s="29">
        <v>1804.400024</v>
      </c>
      <c r="C635" s="29">
        <v>27.68600082</v>
      </c>
      <c r="D635" s="29">
        <v>61.66999817</v>
      </c>
      <c r="E635" s="29">
        <v>13194.70996</v>
      </c>
      <c r="F635" s="29">
        <v>3881.3701169999999</v>
      </c>
      <c r="G635" s="29">
        <v>31537.349610000001</v>
      </c>
      <c r="H635" s="29">
        <v>11.574231149999999</v>
      </c>
      <c r="I635" s="29">
        <v>9.4627923969999994</v>
      </c>
      <c r="J635" s="29">
        <v>12.410075190000001</v>
      </c>
      <c r="L635" s="30">
        <f t="shared" si="43"/>
        <v>-1.2729988721852381E-3</v>
      </c>
      <c r="M635" s="30">
        <f t="shared" si="43"/>
        <v>-1.4136643430381457E-2</v>
      </c>
      <c r="N635" s="30">
        <f t="shared" si="43"/>
        <v>2.9272480904574127E-3</v>
      </c>
      <c r="O635" s="30">
        <f t="shared" si="43"/>
        <v>-2.1953146004894952E-3</v>
      </c>
      <c r="P635" s="30">
        <f t="shared" si="43"/>
        <v>1.2563180704243671E-3</v>
      </c>
      <c r="Q635" s="30">
        <f t="shared" si="43"/>
        <v>4.9680585886235917E-4</v>
      </c>
      <c r="R635" s="30">
        <f t="shared" si="42"/>
        <v>0</v>
      </c>
      <c r="S635" s="30">
        <f t="shared" si="42"/>
        <v>-1.0057943987641371E-3</v>
      </c>
      <c r="T635" s="30">
        <f t="shared" si="42"/>
        <v>-7.6135565014290307E-4</v>
      </c>
      <c r="U635" s="63">
        <f t="shared" si="41"/>
        <v>-2.0391173100623309E-3</v>
      </c>
    </row>
    <row r="636" spans="1:21">
      <c r="A636" s="28">
        <v>44251</v>
      </c>
      <c r="B636" s="29">
        <v>1796.400024</v>
      </c>
      <c r="C636" s="29">
        <v>27.85700035</v>
      </c>
      <c r="D636" s="29">
        <v>63.22000122</v>
      </c>
      <c r="E636" s="29">
        <v>13302.190430000001</v>
      </c>
      <c r="F636" s="29">
        <v>3925.429932</v>
      </c>
      <c r="G636" s="29">
        <v>31961.859380000002</v>
      </c>
      <c r="H636" s="29">
        <v>11.555175780000001</v>
      </c>
      <c r="I636" s="29">
        <v>9.4532604219999996</v>
      </c>
      <c r="J636" s="29">
        <v>12.391153340000001</v>
      </c>
      <c r="L636" s="30">
        <f t="shared" si="43"/>
        <v>-4.4336066801116125E-3</v>
      </c>
      <c r="M636" s="30">
        <f t="shared" si="43"/>
        <v>6.1763896892061965E-3</v>
      </c>
      <c r="N636" s="30">
        <f t="shared" si="43"/>
        <v>2.5133826755227906E-2</v>
      </c>
      <c r="O636" s="30">
        <f t="shared" si="43"/>
        <v>8.1457243339058127E-3</v>
      </c>
      <c r="P636" s="30">
        <f t="shared" si="43"/>
        <v>1.1351613907424785E-2</v>
      </c>
      <c r="Q636" s="30">
        <f t="shared" si="43"/>
        <v>1.3460540446474045E-2</v>
      </c>
      <c r="R636" s="30">
        <f t="shared" si="42"/>
        <v>-1.6463616246336077E-3</v>
      </c>
      <c r="S636" s="30">
        <f t="shared" si="42"/>
        <v>-1.0073110135039309E-3</v>
      </c>
      <c r="T636" s="30">
        <f t="shared" si="42"/>
        <v>-1.5247167894072433E-3</v>
      </c>
      <c r="U636" s="63">
        <f t="shared" si="41"/>
        <v>7.0995675317806302E-3</v>
      </c>
    </row>
    <row r="637" spans="1:21">
      <c r="A637" s="28">
        <v>44252</v>
      </c>
      <c r="B637" s="29">
        <v>1774.400024</v>
      </c>
      <c r="C637" s="29">
        <v>27.63699913</v>
      </c>
      <c r="D637" s="29">
        <v>63.52999878</v>
      </c>
      <c r="E637" s="29">
        <v>12828.309569999999</v>
      </c>
      <c r="F637" s="29">
        <v>3829.3400879999999</v>
      </c>
      <c r="G637" s="29">
        <v>31402.009770000001</v>
      </c>
      <c r="H637" s="29">
        <v>11.459912299999999</v>
      </c>
      <c r="I637" s="29">
        <v>9.3865566250000008</v>
      </c>
      <c r="J637" s="29">
        <v>12.28710461</v>
      </c>
      <c r="L637" s="30">
        <f t="shared" si="43"/>
        <v>-1.2246715489912519E-2</v>
      </c>
      <c r="M637" s="30">
        <f t="shared" si="43"/>
        <v>-7.8975200931854506E-3</v>
      </c>
      <c r="N637" s="30">
        <f t="shared" si="43"/>
        <v>4.9034728569719022E-3</v>
      </c>
      <c r="O637" s="30">
        <f t="shared" si="43"/>
        <v>-3.5624272746184182E-2</v>
      </c>
      <c r="P637" s="30">
        <f t="shared" si="43"/>
        <v>-2.4478807586572393E-2</v>
      </c>
      <c r="Q637" s="30">
        <f t="shared" si="43"/>
        <v>-1.7516177746227268E-2</v>
      </c>
      <c r="R637" s="30">
        <f t="shared" si="43"/>
        <v>-8.2442259480713931E-3</v>
      </c>
      <c r="S637" s="30">
        <f t="shared" si="43"/>
        <v>-7.0561683506320527E-3</v>
      </c>
      <c r="T637" s="30">
        <f t="shared" si="43"/>
        <v>-8.3970173836942497E-3</v>
      </c>
      <c r="U637" s="63">
        <f t="shared" si="41"/>
        <v>-1.5749300016097947E-2</v>
      </c>
    </row>
    <row r="638" spans="1:21">
      <c r="A638" s="28">
        <v>44253</v>
      </c>
      <c r="B638" s="29">
        <v>1728.099976</v>
      </c>
      <c r="C638" s="29">
        <v>26.402000430000001</v>
      </c>
      <c r="D638" s="29">
        <v>61.5</v>
      </c>
      <c r="E638" s="29">
        <v>12909.440430000001</v>
      </c>
      <c r="F638" s="29">
        <v>3811.1499020000001</v>
      </c>
      <c r="G638" s="29">
        <v>30932.369139999999</v>
      </c>
      <c r="H638" s="29">
        <v>11.570565220000001</v>
      </c>
      <c r="I638" s="29">
        <v>9.4638299939999992</v>
      </c>
      <c r="J638" s="29">
        <v>12.394183160000001</v>
      </c>
      <c r="L638" s="30">
        <f t="shared" si="43"/>
        <v>-2.609335402037849E-2</v>
      </c>
      <c r="M638" s="30">
        <f t="shared" si="43"/>
        <v>-4.4686425403523855E-2</v>
      </c>
      <c r="N638" s="30">
        <f t="shared" si="43"/>
        <v>-3.1953389248908115E-2</v>
      </c>
      <c r="O638" s="30">
        <f t="shared" si="43"/>
        <v>6.3243609422811708E-3</v>
      </c>
      <c r="P638" s="30">
        <f t="shared" si="43"/>
        <v>-4.7502142880968545E-3</v>
      </c>
      <c r="Q638" s="30">
        <f t="shared" si="43"/>
        <v>-1.4955750712767224E-2</v>
      </c>
      <c r="R638" s="30">
        <f t="shared" si="43"/>
        <v>9.6556515532846277E-3</v>
      </c>
      <c r="S638" s="30">
        <f t="shared" si="43"/>
        <v>8.2323446272289935E-3</v>
      </c>
      <c r="T638" s="30">
        <f t="shared" si="43"/>
        <v>8.714709722000169E-3</v>
      </c>
      <c r="U638" s="63">
        <f t="shared" si="41"/>
        <v>-9.5340775315658158E-3</v>
      </c>
    </row>
    <row r="639" spans="1:21">
      <c r="A639" s="28">
        <v>44256</v>
      </c>
      <c r="B639" s="29">
        <v>1722.5</v>
      </c>
      <c r="C639" s="29">
        <v>26.646999359999999</v>
      </c>
      <c r="D639" s="29">
        <v>60.63999939</v>
      </c>
      <c r="E639" s="29">
        <v>13282.950199999999</v>
      </c>
      <c r="F639" s="29">
        <v>3901.820068</v>
      </c>
      <c r="G639" s="29">
        <v>31535.509770000001</v>
      </c>
      <c r="H639" s="29">
        <v>11.551488880000001</v>
      </c>
      <c r="I639" s="29">
        <v>9.435209274</v>
      </c>
      <c r="J639" s="29">
        <v>12.384707450000001</v>
      </c>
      <c r="L639" s="30">
        <f t="shared" si="43"/>
        <v>-3.2405393656460557E-3</v>
      </c>
      <c r="M639" s="30">
        <f t="shared" si="43"/>
        <v>9.2795593519350295E-3</v>
      </c>
      <c r="N639" s="30">
        <f t="shared" si="43"/>
        <v>-1.3983749756097619E-2</v>
      </c>
      <c r="O639" s="30">
        <f t="shared" si="43"/>
        <v>2.8933072043309194E-2</v>
      </c>
      <c r="P639" s="30">
        <f t="shared" si="43"/>
        <v>2.3790763504846213E-2</v>
      </c>
      <c r="Q639" s="30">
        <f t="shared" si="43"/>
        <v>1.9498688486167426E-2</v>
      </c>
      <c r="R639" s="30">
        <f t="shared" si="43"/>
        <v>-1.6486956027892408E-3</v>
      </c>
      <c r="S639" s="30">
        <f t="shared" si="43"/>
        <v>-3.0242216965166158E-3</v>
      </c>
      <c r="T639" s="30">
        <f t="shared" si="43"/>
        <v>-7.6452880175126303E-4</v>
      </c>
      <c r="U639" s="63">
        <f t="shared" si="41"/>
        <v>1.0930111215309044E-2</v>
      </c>
    </row>
    <row r="640" spans="1:21">
      <c r="A640" s="28">
        <v>44257</v>
      </c>
      <c r="B640" s="29">
        <v>1733.099976</v>
      </c>
      <c r="C640" s="29">
        <v>26.850000380000001</v>
      </c>
      <c r="D640" s="29">
        <v>59.75</v>
      </c>
      <c r="E640" s="29">
        <v>13059.950199999999</v>
      </c>
      <c r="F640" s="29">
        <v>3870.290039</v>
      </c>
      <c r="G640" s="29">
        <v>31391.519530000001</v>
      </c>
      <c r="H640" s="29">
        <v>11.561026569999999</v>
      </c>
      <c r="I640" s="29">
        <v>9.4447526929999999</v>
      </c>
      <c r="J640" s="29">
        <v>12.403658869999999</v>
      </c>
      <c r="L640" s="30">
        <f t="shared" si="43"/>
        <v>6.1538322206096119E-3</v>
      </c>
      <c r="M640" s="30">
        <f t="shared" si="43"/>
        <v>7.6181568234932051E-3</v>
      </c>
      <c r="N640" s="30">
        <f t="shared" si="43"/>
        <v>-1.4676771090910812E-2</v>
      </c>
      <c r="O640" s="30">
        <f t="shared" si="43"/>
        <v>-1.6788439062280003E-2</v>
      </c>
      <c r="P640" s="30">
        <f t="shared" si="43"/>
        <v>-8.0808516155286281E-3</v>
      </c>
      <c r="Q640" s="30">
        <f t="shared" si="43"/>
        <v>-4.565971536536817E-3</v>
      </c>
      <c r="R640" s="30">
        <f t="shared" si="43"/>
        <v>8.2566759134494738E-4</v>
      </c>
      <c r="S640" s="30">
        <f t="shared" si="43"/>
        <v>1.0114687149862522E-3</v>
      </c>
      <c r="T640" s="30">
        <f t="shared" si="43"/>
        <v>1.5302275065043336E-3</v>
      </c>
      <c r="U640" s="63">
        <f t="shared" si="41"/>
        <v>-3.879788809431582E-3</v>
      </c>
    </row>
    <row r="641" spans="1:21">
      <c r="A641" s="28">
        <v>44258</v>
      </c>
      <c r="B641" s="29">
        <v>1715.3000489999999</v>
      </c>
      <c r="C641" s="29">
        <v>26.35700035</v>
      </c>
      <c r="D641" s="29">
        <v>61.27999878</v>
      </c>
      <c r="E641" s="29">
        <v>12683.33008</v>
      </c>
      <c r="F641" s="29">
        <v>3819.719971</v>
      </c>
      <c r="G641" s="29">
        <v>31270.089840000001</v>
      </c>
      <c r="H641" s="29">
        <v>11.522871970000001</v>
      </c>
      <c r="I641" s="29">
        <v>9.4161319730000006</v>
      </c>
      <c r="J641" s="29">
        <v>12.36575603</v>
      </c>
      <c r="L641" s="30">
        <f t="shared" si="43"/>
        <v>-1.0270571372969717E-2</v>
      </c>
      <c r="M641" s="30">
        <f t="shared" si="43"/>
        <v>-1.836126715168418E-2</v>
      </c>
      <c r="N641" s="30">
        <f t="shared" si="43"/>
        <v>2.5606674142259367E-2</v>
      </c>
      <c r="O641" s="30">
        <f t="shared" si="43"/>
        <v>-2.8837791433538484E-2</v>
      </c>
      <c r="P641" s="30">
        <f t="shared" si="43"/>
        <v>-1.3066221779354348E-2</v>
      </c>
      <c r="Q641" s="30">
        <f t="shared" si="43"/>
        <v>-3.8682323066251412E-3</v>
      </c>
      <c r="R641" s="30">
        <f t="shared" si="43"/>
        <v>-3.3002778575915714E-3</v>
      </c>
      <c r="S641" s="30">
        <f t="shared" si="43"/>
        <v>-3.0303302723014847E-3</v>
      </c>
      <c r="T641" s="30">
        <f t="shared" si="43"/>
        <v>-3.0557789759658727E-3</v>
      </c>
      <c r="U641" s="63">
        <f t="shared" si="41"/>
        <v>-9.7198522381642134E-3</v>
      </c>
    </row>
    <row r="642" spans="1:21">
      <c r="A642" s="28">
        <v>44259</v>
      </c>
      <c r="B642" s="29">
        <v>1700.1999510000001</v>
      </c>
      <c r="C642" s="29">
        <v>25.434000019999999</v>
      </c>
      <c r="D642" s="29">
        <v>63.83000183</v>
      </c>
      <c r="E642" s="29">
        <v>12464</v>
      </c>
      <c r="F642" s="29">
        <v>3768.469971</v>
      </c>
      <c r="G642" s="29">
        <v>30924.140630000002</v>
      </c>
      <c r="H642" s="29">
        <v>11.48471737</v>
      </c>
      <c r="I642" s="29">
        <v>9.3970518110000008</v>
      </c>
      <c r="J642" s="29">
        <v>12.3278532</v>
      </c>
      <c r="L642" s="30">
        <f t="shared" si="43"/>
        <v>-8.8031816992035772E-3</v>
      </c>
      <c r="M642" s="30">
        <f t="shared" si="43"/>
        <v>-3.5019172050813507E-2</v>
      </c>
      <c r="N642" s="30">
        <f t="shared" si="43"/>
        <v>4.1612322140454294E-2</v>
      </c>
      <c r="O642" s="30">
        <f t="shared" si="43"/>
        <v>-1.7292783410711277E-2</v>
      </c>
      <c r="P642" s="30">
        <f t="shared" si="43"/>
        <v>-1.341721392905737E-2</v>
      </c>
      <c r="Q642" s="30">
        <f t="shared" si="43"/>
        <v>-1.1063262426495135E-2</v>
      </c>
      <c r="R642" s="30">
        <f t="shared" si="43"/>
        <v>-3.3112057566322406E-3</v>
      </c>
      <c r="S642" s="30">
        <f t="shared" si="43"/>
        <v>-2.0263269519491534E-3</v>
      </c>
      <c r="T642" s="30">
        <f t="shared" si="43"/>
        <v>-3.0651445741001204E-3</v>
      </c>
      <c r="U642" s="63">
        <f t="shared" si="41"/>
        <v>-9.8020188961142809E-3</v>
      </c>
    </row>
    <row r="643" spans="1:21">
      <c r="A643" s="28">
        <v>44260</v>
      </c>
      <c r="B643" s="29">
        <v>1698</v>
      </c>
      <c r="C643" s="29">
        <v>25.256999969999999</v>
      </c>
      <c r="D643" s="29">
        <v>66.089996339999999</v>
      </c>
      <c r="E643" s="29">
        <v>12668.509770000001</v>
      </c>
      <c r="F643" s="29">
        <v>3841.9399410000001</v>
      </c>
      <c r="G643" s="29">
        <v>31496.300780000001</v>
      </c>
      <c r="H643" s="29">
        <v>11.475174900000001</v>
      </c>
      <c r="I643" s="29">
        <v>9.3779678339999997</v>
      </c>
      <c r="J643" s="29">
        <v>12.299425129999999</v>
      </c>
      <c r="L643" s="30">
        <f t="shared" si="43"/>
        <v>-1.293936632986048E-3</v>
      </c>
      <c r="M643" s="30">
        <f t="shared" si="43"/>
        <v>-6.9591904482509959E-3</v>
      </c>
      <c r="N643" s="30">
        <f t="shared" si="43"/>
        <v>3.5406461620024698E-2</v>
      </c>
      <c r="O643" s="30">
        <f t="shared" si="43"/>
        <v>1.6408036745828136E-2</v>
      </c>
      <c r="P643" s="30">
        <f t="shared" si="43"/>
        <v>1.9495968009665132E-2</v>
      </c>
      <c r="Q643" s="30">
        <f t="shared" si="43"/>
        <v>1.8502054975294557E-2</v>
      </c>
      <c r="R643" s="30">
        <f t="shared" si="43"/>
        <v>-8.3088418221988203E-4</v>
      </c>
      <c r="S643" s="30">
        <f t="shared" si="43"/>
        <v>-2.0308472682529777E-3</v>
      </c>
      <c r="T643" s="30">
        <f t="shared" si="43"/>
        <v>-2.3060032869307578E-3</v>
      </c>
      <c r="U643" s="63">
        <f t="shared" si="41"/>
        <v>9.5143510136280508E-3</v>
      </c>
    </row>
    <row r="644" spans="1:21">
      <c r="A644" s="28">
        <v>44263</v>
      </c>
      <c r="B644" s="29">
        <v>1677.6999510000001</v>
      </c>
      <c r="C644" s="29">
        <v>25.239999770000001</v>
      </c>
      <c r="D644" s="29">
        <v>65.050003050000001</v>
      </c>
      <c r="E644" s="29">
        <v>12299.08008</v>
      </c>
      <c r="F644" s="29">
        <v>3821.3500979999999</v>
      </c>
      <c r="G644" s="29">
        <v>31802.439450000002</v>
      </c>
      <c r="H644" s="29">
        <v>11.437025070000001</v>
      </c>
      <c r="I644" s="29">
        <v>9.3493461609999997</v>
      </c>
      <c r="J644" s="29">
        <v>12.26152229</v>
      </c>
      <c r="L644" s="30">
        <f t="shared" ref="L644:T672" si="44">(B644/B643)-1</f>
        <v>-1.1955270318021127E-2</v>
      </c>
      <c r="M644" s="30">
        <f t="shared" si="44"/>
        <v>-6.7308864949089386E-4</v>
      </c>
      <c r="N644" s="30">
        <f t="shared" si="44"/>
        <v>-1.5736016758871485E-2</v>
      </c>
      <c r="O644" s="30">
        <f t="shared" si="44"/>
        <v>-2.9161258641078547E-2</v>
      </c>
      <c r="P644" s="30">
        <f t="shared" si="44"/>
        <v>-5.3592308355140394E-3</v>
      </c>
      <c r="Q644" s="30">
        <f t="shared" si="44"/>
        <v>9.7198293900722099E-3</v>
      </c>
      <c r="R644" s="30">
        <f t="shared" si="44"/>
        <v>-3.3245532492929275E-3</v>
      </c>
      <c r="S644" s="30">
        <f t="shared" si="44"/>
        <v>-3.0520122809796213E-3</v>
      </c>
      <c r="T644" s="30">
        <f t="shared" si="44"/>
        <v>-3.0816757368236081E-3</v>
      </c>
      <c r="U644" s="63">
        <f t="shared" ref="U644:U707" si="45">SUMPRODUCT($L$2:$T$2,L644:T644)</f>
        <v>-7.5344491160683801E-3</v>
      </c>
    </row>
    <row r="645" spans="1:21">
      <c r="A645" s="28">
        <v>44264</v>
      </c>
      <c r="B645" s="29">
        <v>1716.599976</v>
      </c>
      <c r="C645" s="29">
        <v>26.148000719999999</v>
      </c>
      <c r="D645" s="29">
        <v>64.010002139999997</v>
      </c>
      <c r="E645" s="29">
        <v>12794.490229999999</v>
      </c>
      <c r="F645" s="29">
        <v>3875.4399410000001</v>
      </c>
      <c r="G645" s="29">
        <v>31832.740229999999</v>
      </c>
      <c r="H645" s="29">
        <v>11.46563911</v>
      </c>
      <c r="I645" s="29">
        <v>9.3779678339999997</v>
      </c>
      <c r="J645" s="29">
        <v>12.28995323</v>
      </c>
      <c r="L645" s="30">
        <f t="shared" si="44"/>
        <v>2.3186520913238029E-2</v>
      </c>
      <c r="M645" s="30">
        <f t="shared" si="44"/>
        <v>3.5974681389626673E-2</v>
      </c>
      <c r="N645" s="30">
        <f t="shared" si="44"/>
        <v>-1.5987715007493852E-2</v>
      </c>
      <c r="O645" s="30">
        <f t="shared" si="44"/>
        <v>4.0280260537989721E-2</v>
      </c>
      <c r="P645" s="30">
        <f t="shared" si="44"/>
        <v>1.4154642106283255E-2</v>
      </c>
      <c r="Q645" s="30">
        <f t="shared" si="44"/>
        <v>9.5278162694523161E-4</v>
      </c>
      <c r="R645" s="30">
        <f t="shared" si="44"/>
        <v>2.50187787688394E-3</v>
      </c>
      <c r="S645" s="30">
        <f t="shared" si="44"/>
        <v>3.0613555757934563E-3</v>
      </c>
      <c r="T645" s="30">
        <f t="shared" si="44"/>
        <v>2.3187120919876403E-3</v>
      </c>
      <c r="U645" s="63">
        <f t="shared" si="45"/>
        <v>1.5309538456997222E-2</v>
      </c>
    </row>
    <row r="646" spans="1:21">
      <c r="A646" s="28">
        <v>44265</v>
      </c>
      <c r="B646" s="29">
        <v>1721.5</v>
      </c>
      <c r="C646" s="29">
        <v>26.101999280000001</v>
      </c>
      <c r="D646" s="29">
        <v>64.440002440000001</v>
      </c>
      <c r="E646" s="29">
        <v>12752.070309999999</v>
      </c>
      <c r="F646" s="29">
        <v>3898.8100589999999</v>
      </c>
      <c r="G646" s="29">
        <v>32297.019530000001</v>
      </c>
      <c r="H646" s="29">
        <v>11.48471737</v>
      </c>
      <c r="I646" s="29">
        <v>9.3875083920000009</v>
      </c>
      <c r="J646" s="29">
        <v>12.30889893</v>
      </c>
      <c r="L646" s="30">
        <f t="shared" si="44"/>
        <v>2.8544938066572545E-3</v>
      </c>
      <c r="M646" s="30">
        <f t="shared" si="44"/>
        <v>-1.7592717887915388E-3</v>
      </c>
      <c r="N646" s="30">
        <f t="shared" si="44"/>
        <v>6.7177048214983603E-3</v>
      </c>
      <c r="O646" s="30">
        <f t="shared" si="44"/>
        <v>-3.3154834024208268E-3</v>
      </c>
      <c r="P646" s="30">
        <f t="shared" si="44"/>
        <v>6.0303135529871099E-3</v>
      </c>
      <c r="Q646" s="30">
        <f t="shared" si="44"/>
        <v>1.4584961792339035E-2</v>
      </c>
      <c r="R646" s="30">
        <f t="shared" si="44"/>
        <v>1.6639508549820548E-3</v>
      </c>
      <c r="S646" s="30">
        <f t="shared" si="44"/>
        <v>1.0173374625377374E-3</v>
      </c>
      <c r="T646" s="30">
        <f t="shared" si="44"/>
        <v>1.5415599754891041E-3</v>
      </c>
      <c r="U646" s="63">
        <f t="shared" si="45"/>
        <v>2.6387612077026284E-3</v>
      </c>
    </row>
    <row r="647" spans="1:21">
      <c r="A647" s="28">
        <v>44266</v>
      </c>
      <c r="B647" s="29">
        <v>1722.3000489999999</v>
      </c>
      <c r="C647" s="29">
        <v>26.16200066</v>
      </c>
      <c r="D647" s="29">
        <v>66.019996640000002</v>
      </c>
      <c r="E647" s="29">
        <v>13052.900390000001</v>
      </c>
      <c r="F647" s="29">
        <v>3939.3400879999999</v>
      </c>
      <c r="G647" s="29">
        <v>32485.589840000001</v>
      </c>
      <c r="H647" s="29">
        <v>11.48471737</v>
      </c>
      <c r="I647" s="29">
        <v>9.3779678339999997</v>
      </c>
      <c r="J647" s="29">
        <v>12.318380360000001</v>
      </c>
      <c r="L647" s="30">
        <f t="shared" si="44"/>
        <v>4.6473947139125116E-4</v>
      </c>
      <c r="M647" s="30">
        <f t="shared" si="44"/>
        <v>2.2987273639982764E-3</v>
      </c>
      <c r="N647" s="30">
        <f t="shared" si="44"/>
        <v>2.4518841405555936E-2</v>
      </c>
      <c r="O647" s="30">
        <f t="shared" si="44"/>
        <v>2.359068548768084E-2</v>
      </c>
      <c r="P647" s="30">
        <f t="shared" si="44"/>
        <v>1.0395486927207598E-2</v>
      </c>
      <c r="Q647" s="30">
        <f t="shared" si="44"/>
        <v>5.8386288500968941E-3</v>
      </c>
      <c r="R647" s="30">
        <f t="shared" si="44"/>
        <v>0</v>
      </c>
      <c r="S647" s="30">
        <f t="shared" si="44"/>
        <v>-1.0163035388742747E-3</v>
      </c>
      <c r="T647" s="30">
        <f t="shared" si="44"/>
        <v>7.7029066969536153E-4</v>
      </c>
      <c r="U647" s="63">
        <f t="shared" si="45"/>
        <v>8.2920005353451509E-3</v>
      </c>
    </row>
    <row r="648" spans="1:21">
      <c r="A648" s="28">
        <v>44267</v>
      </c>
      <c r="B648" s="29">
        <v>1719.5</v>
      </c>
      <c r="C648" s="29">
        <v>25.879999160000001</v>
      </c>
      <c r="D648" s="29">
        <v>65.61000061</v>
      </c>
      <c r="E648" s="29">
        <v>12937.29004</v>
      </c>
      <c r="F648" s="29">
        <v>3943.3400879999999</v>
      </c>
      <c r="G648" s="29">
        <v>32778.640630000002</v>
      </c>
      <c r="H648" s="29">
        <v>11.41794395</v>
      </c>
      <c r="I648" s="29">
        <v>9.3398084640000008</v>
      </c>
      <c r="J648" s="29">
        <v>12.26152229</v>
      </c>
      <c r="L648" s="30">
        <f t="shared" si="44"/>
        <v>-1.625761435486095E-3</v>
      </c>
      <c r="M648" s="30">
        <f t="shared" si="44"/>
        <v>-1.0779049494909709E-2</v>
      </c>
      <c r="N648" s="30">
        <f t="shared" si="44"/>
        <v>-6.2101795041836771E-3</v>
      </c>
      <c r="O648" s="30">
        <f t="shared" si="44"/>
        <v>-8.8570621506137703E-3</v>
      </c>
      <c r="P648" s="30">
        <f t="shared" si="44"/>
        <v>1.01539849585075E-3</v>
      </c>
      <c r="Q648" s="30">
        <f t="shared" si="44"/>
        <v>9.0209471782212169E-3</v>
      </c>
      <c r="R648" s="30">
        <f t="shared" si="44"/>
        <v>-5.8141108613106729E-3</v>
      </c>
      <c r="S648" s="30">
        <f t="shared" si="44"/>
        <v>-4.069044666761501E-3</v>
      </c>
      <c r="T648" s="30">
        <f t="shared" si="44"/>
        <v>-4.6157098854188172E-3</v>
      </c>
      <c r="U648" s="63">
        <f t="shared" si="45"/>
        <v>-3.8394417797970441E-3</v>
      </c>
    </row>
    <row r="649" spans="1:21">
      <c r="A649" s="28">
        <v>44270</v>
      </c>
      <c r="B649" s="29">
        <v>1728.900024</v>
      </c>
      <c r="C649" s="29">
        <v>26.25300026</v>
      </c>
      <c r="D649" s="29">
        <v>65.38999939</v>
      </c>
      <c r="E649" s="29">
        <v>13082.54004</v>
      </c>
      <c r="F649" s="29">
        <v>3968.9399410000001</v>
      </c>
      <c r="G649" s="29">
        <v>32953.460939999997</v>
      </c>
      <c r="H649" s="29">
        <v>11.427482599999999</v>
      </c>
      <c r="I649" s="29">
        <v>9.3398084640000008</v>
      </c>
      <c r="J649" s="29">
        <v>12.270998949999999</v>
      </c>
      <c r="L649" s="30">
        <f t="shared" si="44"/>
        <v>5.4667193951729587E-3</v>
      </c>
      <c r="M649" s="30">
        <f t="shared" si="44"/>
        <v>1.4412716851108343E-2</v>
      </c>
      <c r="N649" s="30">
        <f t="shared" si="44"/>
        <v>-3.353165949619985E-3</v>
      </c>
      <c r="O649" s="30">
        <f t="shared" si="44"/>
        <v>1.1227235344566822E-2</v>
      </c>
      <c r="P649" s="30">
        <f t="shared" si="44"/>
        <v>6.4919211705587454E-3</v>
      </c>
      <c r="Q649" s="30">
        <f t="shared" si="44"/>
        <v>5.3333605860395039E-3</v>
      </c>
      <c r="R649" s="30">
        <f t="shared" si="44"/>
        <v>8.3540872522847032E-4</v>
      </c>
      <c r="S649" s="30">
        <f t="shared" si="44"/>
        <v>0</v>
      </c>
      <c r="T649" s="30">
        <f t="shared" si="44"/>
        <v>7.7287793276115124E-4</v>
      </c>
      <c r="U649" s="63">
        <f t="shared" si="45"/>
        <v>5.8010375024544489E-3</v>
      </c>
    </row>
    <row r="650" spans="1:21">
      <c r="A650" s="28">
        <v>44271</v>
      </c>
      <c r="B650" s="29">
        <v>1730.599976</v>
      </c>
      <c r="C650" s="29">
        <v>25.974000929999999</v>
      </c>
      <c r="D650" s="29">
        <v>64.800003050000001</v>
      </c>
      <c r="E650" s="29">
        <v>13152.280269999999</v>
      </c>
      <c r="F650" s="29">
        <v>3962.709961</v>
      </c>
      <c r="G650" s="29">
        <v>32825.949220000002</v>
      </c>
      <c r="H650" s="29">
        <v>11.427482599999999</v>
      </c>
      <c r="I650" s="29">
        <v>9.3398084640000008</v>
      </c>
      <c r="J650" s="29">
        <v>12.270998949999999</v>
      </c>
      <c r="L650" s="30">
        <f t="shared" si="44"/>
        <v>9.8325639215790517E-4</v>
      </c>
      <c r="M650" s="30">
        <f t="shared" si="44"/>
        <v>-1.0627331247358263E-2</v>
      </c>
      <c r="N650" s="30">
        <f t="shared" si="44"/>
        <v>-9.0227304710791545E-3</v>
      </c>
      <c r="O650" s="30">
        <f t="shared" si="44"/>
        <v>5.3307866657978931E-3</v>
      </c>
      <c r="P650" s="30">
        <f t="shared" si="44"/>
        <v>-1.5696836164345029E-3</v>
      </c>
      <c r="Q650" s="30">
        <f t="shared" si="44"/>
        <v>-3.8694484998756939E-3</v>
      </c>
      <c r="R650" s="30">
        <f t="shared" si="44"/>
        <v>0</v>
      </c>
      <c r="S650" s="30">
        <f t="shared" si="44"/>
        <v>0</v>
      </c>
      <c r="T650" s="30">
        <f t="shared" si="44"/>
        <v>0</v>
      </c>
      <c r="U650" s="63">
        <f t="shared" si="45"/>
        <v>-2.2231744203669184E-3</v>
      </c>
    </row>
    <row r="651" spans="1:21">
      <c r="A651" s="28">
        <v>44272</v>
      </c>
      <c r="B651" s="29">
        <v>1726.8000489999999</v>
      </c>
      <c r="C651" s="29">
        <v>26.030000690000001</v>
      </c>
      <c r="D651" s="29">
        <v>64.599998470000003</v>
      </c>
      <c r="E651" s="29">
        <v>13202.37988</v>
      </c>
      <c r="F651" s="29">
        <v>3974.1201169999999</v>
      </c>
      <c r="G651" s="29">
        <v>33015.371090000001</v>
      </c>
      <c r="H651" s="29">
        <v>11.41794395</v>
      </c>
      <c r="I651" s="29">
        <v>9.3302688600000003</v>
      </c>
      <c r="J651" s="29">
        <v>12.26152229</v>
      </c>
      <c r="L651" s="30">
        <f t="shared" si="44"/>
        <v>-2.1957281016395935E-3</v>
      </c>
      <c r="M651" s="30">
        <f t="shared" si="44"/>
        <v>2.1559928387975269E-3</v>
      </c>
      <c r="N651" s="30">
        <f t="shared" si="44"/>
        <v>-3.0864902868240618E-3</v>
      </c>
      <c r="O651" s="30">
        <f t="shared" si="44"/>
        <v>3.8091957418422417E-3</v>
      </c>
      <c r="P651" s="30">
        <f t="shared" si="44"/>
        <v>2.8793820673973514E-3</v>
      </c>
      <c r="Q651" s="30">
        <f t="shared" si="44"/>
        <v>5.7704917755916352E-3</v>
      </c>
      <c r="R651" s="30">
        <f t="shared" si="44"/>
        <v>-8.3471140004187649E-4</v>
      </c>
      <c r="S651" s="30">
        <f t="shared" si="44"/>
        <v>-1.0213918236943176E-3</v>
      </c>
      <c r="T651" s="30">
        <f t="shared" si="44"/>
        <v>-7.722810537766911E-4</v>
      </c>
      <c r="U651" s="63">
        <f t="shared" si="45"/>
        <v>1.2245582110920819E-3</v>
      </c>
    </row>
    <row r="652" spans="1:21">
      <c r="A652" s="28">
        <v>44273</v>
      </c>
      <c r="B652" s="29">
        <v>1732.1999510000001</v>
      </c>
      <c r="C652" s="29">
        <v>26.320999149999999</v>
      </c>
      <c r="D652" s="29">
        <v>60</v>
      </c>
      <c r="E652" s="29">
        <v>12789.139649999999</v>
      </c>
      <c r="F652" s="29">
        <v>3915.459961</v>
      </c>
      <c r="G652" s="29">
        <v>32862.300779999998</v>
      </c>
      <c r="H652" s="29">
        <v>11.379791259999999</v>
      </c>
      <c r="I652" s="29">
        <v>9.3016490940000001</v>
      </c>
      <c r="J652" s="29">
        <v>12.22362137</v>
      </c>
      <c r="L652" s="30">
        <f t="shared" si="44"/>
        <v>3.1271148058671372E-3</v>
      </c>
      <c r="M652" s="30">
        <f t="shared" si="44"/>
        <v>1.117934891610628E-2</v>
      </c>
      <c r="N652" s="30">
        <f t="shared" si="44"/>
        <v>-7.1207408342838008E-2</v>
      </c>
      <c r="O652" s="30">
        <f t="shared" si="44"/>
        <v>-3.1300434751617034E-2</v>
      </c>
      <c r="P652" s="30">
        <f t="shared" si="44"/>
        <v>-1.4760539257248628E-2</v>
      </c>
      <c r="Q652" s="30">
        <f t="shared" si="44"/>
        <v>-4.6363346812832162E-3</v>
      </c>
      <c r="R652" s="30">
        <f t="shared" si="44"/>
        <v>-3.3414676203591398E-3</v>
      </c>
      <c r="S652" s="30">
        <f t="shared" si="44"/>
        <v>-3.067410642655366E-3</v>
      </c>
      <c r="T652" s="30">
        <f t="shared" si="44"/>
        <v>-3.0910452310567438E-3</v>
      </c>
      <c r="U652" s="63">
        <f t="shared" si="45"/>
        <v>-1.2677428299068729E-2</v>
      </c>
    </row>
    <row r="653" spans="1:21">
      <c r="A653" s="28">
        <v>44274</v>
      </c>
      <c r="B653" s="29">
        <v>1741.400024</v>
      </c>
      <c r="C653" s="29">
        <v>26.291999820000001</v>
      </c>
      <c r="D653" s="29">
        <v>61.41999817</v>
      </c>
      <c r="E653" s="29">
        <v>12866.990229999999</v>
      </c>
      <c r="F653" s="29">
        <v>3913.1000979999999</v>
      </c>
      <c r="G653" s="29">
        <v>32627.970700000002</v>
      </c>
      <c r="H653" s="29">
        <v>11.38932705</v>
      </c>
      <c r="I653" s="29">
        <v>9.3111886980000005</v>
      </c>
      <c r="J653" s="29">
        <v>12.22362137</v>
      </c>
      <c r="L653" s="30">
        <f t="shared" si="44"/>
        <v>5.311207285676689E-3</v>
      </c>
      <c r="M653" s="30">
        <f t="shared" si="44"/>
        <v>-1.1017564278139602E-3</v>
      </c>
      <c r="N653" s="30">
        <f t="shared" si="44"/>
        <v>2.3666636166666644E-2</v>
      </c>
      <c r="O653" s="30">
        <f t="shared" si="44"/>
        <v>6.0872413728003671E-3</v>
      </c>
      <c r="P653" s="30">
        <f t="shared" si="44"/>
        <v>-6.0270390286343289E-4</v>
      </c>
      <c r="Q653" s="30">
        <f t="shared" si="44"/>
        <v>-7.1306656697210924E-3</v>
      </c>
      <c r="R653" s="30">
        <f t="shared" si="44"/>
        <v>8.3795825267185542E-4</v>
      </c>
      <c r="S653" s="30">
        <f t="shared" si="44"/>
        <v>1.0255820127802462E-3</v>
      </c>
      <c r="T653" s="30">
        <f t="shared" si="44"/>
        <v>0</v>
      </c>
      <c r="U653" s="63">
        <f t="shared" si="45"/>
        <v>2.4010467506536083E-3</v>
      </c>
    </row>
    <row r="654" spans="1:21">
      <c r="A654" s="28">
        <v>44277</v>
      </c>
      <c r="B654" s="29">
        <v>1737.8000489999999</v>
      </c>
      <c r="C654" s="29">
        <v>25.740999219999999</v>
      </c>
      <c r="D654" s="29">
        <v>61.549999239999998</v>
      </c>
      <c r="E654" s="29">
        <v>13086.509770000001</v>
      </c>
      <c r="F654" s="29">
        <v>3940.5900879999999</v>
      </c>
      <c r="G654" s="29">
        <v>32731.199219999999</v>
      </c>
      <c r="H654" s="29">
        <v>11.41794395</v>
      </c>
      <c r="I654" s="29">
        <v>9.3302688600000003</v>
      </c>
      <c r="J654" s="29">
        <v>12.26152229</v>
      </c>
      <c r="L654" s="30">
        <f t="shared" si="44"/>
        <v>-2.0672877859108096E-3</v>
      </c>
      <c r="M654" s="30">
        <f t="shared" si="44"/>
        <v>-2.0956968042456059E-2</v>
      </c>
      <c r="N654" s="30">
        <f t="shared" si="44"/>
        <v>2.116591889830044E-3</v>
      </c>
      <c r="O654" s="30">
        <f t="shared" si="44"/>
        <v>1.7060675113297341E-2</v>
      </c>
      <c r="P654" s="30">
        <f t="shared" si="44"/>
        <v>7.0251180167995031E-3</v>
      </c>
      <c r="Q654" s="30">
        <f t="shared" si="44"/>
        <v>3.1638044838626644E-3</v>
      </c>
      <c r="R654" s="30">
        <f t="shared" si="44"/>
        <v>2.5126067479113168E-3</v>
      </c>
      <c r="S654" s="30">
        <f t="shared" si="44"/>
        <v>2.0491650012526286E-3</v>
      </c>
      <c r="T654" s="30">
        <f t="shared" si="44"/>
        <v>3.1006294168289816E-3</v>
      </c>
      <c r="U654" s="63">
        <f t="shared" si="45"/>
        <v>1.7689429492587475E-3</v>
      </c>
    </row>
    <row r="655" spans="1:21">
      <c r="A655" s="28">
        <v>44278</v>
      </c>
      <c r="B655" s="29">
        <v>1724.6999510000001</v>
      </c>
      <c r="C655" s="29">
        <v>25.200000760000002</v>
      </c>
      <c r="D655" s="29">
        <v>57.759998320000001</v>
      </c>
      <c r="E655" s="29">
        <v>13017.79004</v>
      </c>
      <c r="F655" s="29">
        <v>3910.5200199999999</v>
      </c>
      <c r="G655" s="29">
        <v>32423.150389999999</v>
      </c>
      <c r="H655" s="29">
        <v>11.44655991</v>
      </c>
      <c r="I655" s="29">
        <v>9.3493461609999997</v>
      </c>
      <c r="J655" s="29">
        <v>12.28995323</v>
      </c>
      <c r="L655" s="30">
        <f t="shared" si="44"/>
        <v>-7.538322954668053E-3</v>
      </c>
      <c r="M655" s="30">
        <f t="shared" si="44"/>
        <v>-2.1016995314605214E-2</v>
      </c>
      <c r="N655" s="30">
        <f t="shared" si="44"/>
        <v>-6.157597021604766E-2</v>
      </c>
      <c r="O655" s="30">
        <f t="shared" si="44"/>
        <v>-5.2511885298505145E-3</v>
      </c>
      <c r="P655" s="30">
        <f t="shared" si="44"/>
        <v>-7.6308540925305035E-3</v>
      </c>
      <c r="Q655" s="30">
        <f t="shared" si="44"/>
        <v>-9.4114739863173646E-3</v>
      </c>
      <c r="R655" s="30">
        <f t="shared" si="44"/>
        <v>2.506227051499943E-3</v>
      </c>
      <c r="S655" s="30">
        <f t="shared" si="44"/>
        <v>2.0446678746617319E-3</v>
      </c>
      <c r="T655" s="30">
        <f t="shared" si="44"/>
        <v>2.3187120919876403E-3</v>
      </c>
      <c r="U655" s="63">
        <f t="shared" si="45"/>
        <v>-1.0926800890423905E-2</v>
      </c>
    </row>
    <row r="656" spans="1:21">
      <c r="A656" s="28">
        <v>44279</v>
      </c>
      <c r="B656" s="29">
        <v>1732.900024</v>
      </c>
      <c r="C656" s="29">
        <v>25.20100021</v>
      </c>
      <c r="D656" s="29">
        <v>61.180000309999997</v>
      </c>
      <c r="E656" s="29">
        <v>12798.87988</v>
      </c>
      <c r="F656" s="29">
        <v>3889.139893</v>
      </c>
      <c r="G656" s="29">
        <v>32420.060549999998</v>
      </c>
      <c r="H656" s="29">
        <v>11.45610046</v>
      </c>
      <c r="I656" s="29">
        <v>9.3588905330000003</v>
      </c>
      <c r="J656" s="29">
        <v>12.299425129999999</v>
      </c>
      <c r="L656" s="30">
        <f t="shared" si="44"/>
        <v>4.7544925105642566E-3</v>
      </c>
      <c r="M656" s="30">
        <f t="shared" si="44"/>
        <v>3.9660713089473276E-5</v>
      </c>
      <c r="N656" s="30">
        <f t="shared" si="44"/>
        <v>5.9210562490888963E-2</v>
      </c>
      <c r="O656" s="30">
        <f t="shared" si="44"/>
        <v>-1.6816230660300246E-2</v>
      </c>
      <c r="P656" s="30">
        <f t="shared" si="44"/>
        <v>-5.4673360296464413E-3</v>
      </c>
      <c r="Q656" s="30">
        <f t="shared" si="44"/>
        <v>-9.5297340413691423E-5</v>
      </c>
      <c r="R656" s="30">
        <f t="shared" si="44"/>
        <v>8.3348622424672669E-4</v>
      </c>
      <c r="S656" s="30">
        <f t="shared" si="44"/>
        <v>1.0208598372165589E-3</v>
      </c>
      <c r="T656" s="30">
        <f t="shared" si="44"/>
        <v>7.7070268883350224E-4</v>
      </c>
      <c r="U656" s="63">
        <f t="shared" si="45"/>
        <v>1.3508773551950425E-3</v>
      </c>
    </row>
    <row r="657" spans="1:21">
      <c r="A657" s="28">
        <v>44280</v>
      </c>
      <c r="B657" s="29">
        <v>1724.900024</v>
      </c>
      <c r="C657" s="29">
        <v>25.021999359999999</v>
      </c>
      <c r="D657" s="29">
        <v>58.560001370000002</v>
      </c>
      <c r="E657" s="29">
        <v>12780.509770000001</v>
      </c>
      <c r="F657" s="29">
        <v>3909.5200199999999</v>
      </c>
      <c r="G657" s="29">
        <v>32619.480469999999</v>
      </c>
      <c r="H657" s="29">
        <v>11.437025070000001</v>
      </c>
      <c r="I657" s="29">
        <v>9.3493461609999997</v>
      </c>
      <c r="J657" s="29">
        <v>12.28995323</v>
      </c>
      <c r="L657" s="30">
        <f t="shared" si="44"/>
        <v>-4.6165386861348745E-3</v>
      </c>
      <c r="M657" s="30">
        <f t="shared" si="44"/>
        <v>-7.1029264119831792E-3</v>
      </c>
      <c r="N657" s="30">
        <f t="shared" si="44"/>
        <v>-4.2824434892520746E-2</v>
      </c>
      <c r="O657" s="30">
        <f t="shared" si="44"/>
        <v>-1.4352904451198079E-3</v>
      </c>
      <c r="P657" s="30">
        <f t="shared" si="44"/>
        <v>5.2402658584438377E-3</v>
      </c>
      <c r="Q657" s="30">
        <f t="shared" si="44"/>
        <v>6.1511273149057466E-3</v>
      </c>
      <c r="R657" s="30">
        <f t="shared" si="44"/>
        <v>-1.6650857826013832E-3</v>
      </c>
      <c r="S657" s="30">
        <f t="shared" si="44"/>
        <v>-1.0198187452183927E-3</v>
      </c>
      <c r="T657" s="30">
        <f t="shared" si="44"/>
        <v>-7.7010916363040582E-4</v>
      </c>
      <c r="U657" s="63">
        <f t="shared" si="45"/>
        <v>-3.2025061841932283E-3</v>
      </c>
    </row>
    <row r="658" spans="1:21">
      <c r="A658" s="28">
        <v>44281</v>
      </c>
      <c r="B658" s="29">
        <v>1732.1999510000001</v>
      </c>
      <c r="C658" s="29">
        <v>25.091999049999998</v>
      </c>
      <c r="D658" s="29">
        <v>60.97000122</v>
      </c>
      <c r="E658" s="29">
        <v>12979.12012</v>
      </c>
      <c r="F658" s="29">
        <v>3974.540039</v>
      </c>
      <c r="G658" s="29">
        <v>33072.878909999999</v>
      </c>
      <c r="H658" s="29">
        <v>11.427482599999999</v>
      </c>
      <c r="I658" s="29">
        <v>9.3302688600000003</v>
      </c>
      <c r="J658" s="29">
        <v>12.270998949999999</v>
      </c>
      <c r="L658" s="30">
        <f t="shared" si="44"/>
        <v>4.2320870186272064E-3</v>
      </c>
      <c r="M658" s="30">
        <f t="shared" si="44"/>
        <v>2.7975258488697197E-3</v>
      </c>
      <c r="N658" s="30">
        <f t="shared" si="44"/>
        <v>4.1154368060425384E-2</v>
      </c>
      <c r="O658" s="30">
        <f t="shared" si="44"/>
        <v>1.5540096097434342E-2</v>
      </c>
      <c r="P658" s="30">
        <f t="shared" si="44"/>
        <v>1.6631202466639294E-2</v>
      </c>
      <c r="Q658" s="30">
        <f t="shared" si="44"/>
        <v>1.389962174342374E-2</v>
      </c>
      <c r="R658" s="30">
        <f t="shared" si="44"/>
        <v>-8.3434896239165113E-4</v>
      </c>
      <c r="S658" s="30">
        <f t="shared" si="44"/>
        <v>-2.0404957385767863E-3</v>
      </c>
      <c r="T658" s="30">
        <f t="shared" si="44"/>
        <v>-1.5422581067056074E-3</v>
      </c>
      <c r="U658" s="63">
        <f t="shared" si="45"/>
        <v>1.0691235435883399E-2</v>
      </c>
    </row>
    <row r="659" spans="1:21">
      <c r="A659" s="28">
        <v>44284</v>
      </c>
      <c r="B659" s="29">
        <v>1712.099976</v>
      </c>
      <c r="C659" s="29">
        <v>24.74699974</v>
      </c>
      <c r="D659" s="29">
        <v>61.560001370000002</v>
      </c>
      <c r="E659" s="29">
        <v>12965.740229999999</v>
      </c>
      <c r="F659" s="29">
        <v>3971.0900879999999</v>
      </c>
      <c r="G659" s="29">
        <v>33171.371090000001</v>
      </c>
      <c r="H659" s="29">
        <v>11.39886761</v>
      </c>
      <c r="I659" s="29">
        <v>9.3207302090000006</v>
      </c>
      <c r="J659" s="29">
        <v>12.252049449999999</v>
      </c>
      <c r="L659" s="30">
        <f t="shared" si="44"/>
        <v>-1.1603726803245951E-2</v>
      </c>
      <c r="M659" s="30">
        <f t="shared" si="44"/>
        <v>-1.3749375221660531E-2</v>
      </c>
      <c r="N659" s="30">
        <f t="shared" si="44"/>
        <v>9.6768925404984163E-3</v>
      </c>
      <c r="O659" s="30">
        <f t="shared" si="44"/>
        <v>-1.0308780469164835E-3</v>
      </c>
      <c r="P659" s="30">
        <f t="shared" si="44"/>
        <v>-8.6801264200320194E-4</v>
      </c>
      <c r="Q659" s="30">
        <f t="shared" si="44"/>
        <v>2.9780346690719828E-3</v>
      </c>
      <c r="R659" s="30">
        <f t="shared" si="44"/>
        <v>-2.5040501921218539E-3</v>
      </c>
      <c r="S659" s="30">
        <f t="shared" si="44"/>
        <v>-1.0223339909198881E-3</v>
      </c>
      <c r="T659" s="30">
        <f t="shared" si="44"/>
        <v>-1.5442508044546388E-3</v>
      </c>
      <c r="U659" s="63">
        <f t="shared" si="45"/>
        <v>-2.6802214194092391E-3</v>
      </c>
    </row>
    <row r="660" spans="1:21">
      <c r="A660" s="28">
        <v>44285</v>
      </c>
      <c r="B660" s="29">
        <v>1683.900024</v>
      </c>
      <c r="C660" s="29">
        <v>24.121000290000001</v>
      </c>
      <c r="D660" s="29">
        <v>60.549999239999998</v>
      </c>
      <c r="E660" s="29">
        <v>12896.530269999999</v>
      </c>
      <c r="F660" s="29">
        <v>3958.5500489999999</v>
      </c>
      <c r="G660" s="29">
        <v>33066.960939999997</v>
      </c>
      <c r="H660" s="29">
        <v>11.40840244</v>
      </c>
      <c r="I660" s="29">
        <v>9.3302688600000003</v>
      </c>
      <c r="J660" s="29">
        <v>12.26152229</v>
      </c>
      <c r="L660" s="30">
        <f t="shared" si="44"/>
        <v>-1.647097272081266E-2</v>
      </c>
      <c r="M660" s="30">
        <f t="shared" si="44"/>
        <v>-2.5295973515050418E-2</v>
      </c>
      <c r="N660" s="30">
        <f t="shared" si="44"/>
        <v>-1.640679187008931E-2</v>
      </c>
      <c r="O660" s="30">
        <f t="shared" si="44"/>
        <v>-5.3379104295073754E-3</v>
      </c>
      <c r="P660" s="30">
        <f t="shared" si="44"/>
        <v>-3.1578329179421383E-3</v>
      </c>
      <c r="Q660" s="30">
        <f t="shared" si="44"/>
        <v>-3.1475982622701792E-3</v>
      </c>
      <c r="R660" s="30">
        <f t="shared" si="44"/>
        <v>8.3647168527822835E-4</v>
      </c>
      <c r="S660" s="30">
        <f t="shared" si="44"/>
        <v>1.0233802273118542E-3</v>
      </c>
      <c r="T660" s="30">
        <f t="shared" si="44"/>
        <v>7.7316370935820444E-4</v>
      </c>
      <c r="U660" s="63">
        <f t="shared" si="45"/>
        <v>-7.4360540082827045E-3</v>
      </c>
    </row>
    <row r="661" spans="1:21">
      <c r="A661" s="28">
        <v>44286</v>
      </c>
      <c r="B661" s="29">
        <v>1713.8000489999999</v>
      </c>
      <c r="C661" s="29">
        <v>24.517000199999998</v>
      </c>
      <c r="D661" s="29">
        <v>59.159999849999998</v>
      </c>
      <c r="E661" s="29">
        <v>13091.440430000001</v>
      </c>
      <c r="F661" s="29">
        <v>3972.889893</v>
      </c>
      <c r="G661" s="29">
        <v>32981.550779999998</v>
      </c>
      <c r="H661" s="29">
        <v>11.42560196</v>
      </c>
      <c r="I661" s="29">
        <v>9.3417310709999999</v>
      </c>
      <c r="J661" s="29">
        <v>12.26532269</v>
      </c>
      <c r="L661" s="30">
        <f t="shared" si="44"/>
        <v>1.7756413429447004E-2</v>
      </c>
      <c r="M661" s="30">
        <f t="shared" si="44"/>
        <v>1.641722587119121E-2</v>
      </c>
      <c r="N661" s="30">
        <f t="shared" si="44"/>
        <v>-2.2956224730746988E-2</v>
      </c>
      <c r="O661" s="30">
        <f t="shared" si="44"/>
        <v>1.5113379794362336E-2</v>
      </c>
      <c r="P661" s="30">
        <f t="shared" si="44"/>
        <v>3.6224991025748388E-3</v>
      </c>
      <c r="Q661" s="30">
        <f t="shared" si="44"/>
        <v>-2.5829455617338848E-3</v>
      </c>
      <c r="R661" s="30">
        <f t="shared" si="44"/>
        <v>1.5076186249964874E-3</v>
      </c>
      <c r="S661" s="30">
        <f t="shared" si="44"/>
        <v>1.2284973961618206E-3</v>
      </c>
      <c r="T661" s="30">
        <f t="shared" si="44"/>
        <v>3.0994520175520179E-4</v>
      </c>
      <c r="U661" s="63">
        <f t="shared" si="45"/>
        <v>4.7723141184115234E-3</v>
      </c>
    </row>
    <row r="662" spans="1:21">
      <c r="A662" s="28">
        <v>44287</v>
      </c>
      <c r="B662" s="29">
        <v>1726.5</v>
      </c>
      <c r="C662" s="29">
        <v>24.934999470000001</v>
      </c>
      <c r="D662" s="29">
        <v>61.450000760000002</v>
      </c>
      <c r="E662" s="29">
        <v>13329.51953</v>
      </c>
      <c r="F662" s="29">
        <v>4019.8701169999999</v>
      </c>
      <c r="G662" s="29">
        <v>33153.210939999997</v>
      </c>
      <c r="H662" s="29">
        <v>11.46381283</v>
      </c>
      <c r="I662" s="29">
        <v>9.3703880309999992</v>
      </c>
      <c r="J662" s="29">
        <v>12.30329609</v>
      </c>
      <c r="L662" s="30">
        <f t="shared" si="44"/>
        <v>7.410404152695893E-3</v>
      </c>
      <c r="M662" s="30">
        <f t="shared" si="44"/>
        <v>1.7049364383494359E-2</v>
      </c>
      <c r="N662" s="30">
        <f t="shared" si="44"/>
        <v>3.8708602363189515E-2</v>
      </c>
      <c r="O662" s="30">
        <f t="shared" si="44"/>
        <v>1.818585978166487E-2</v>
      </c>
      <c r="P662" s="30">
        <f t="shared" si="44"/>
        <v>1.1825201620305759E-2</v>
      </c>
      <c r="Q662" s="30">
        <f t="shared" si="44"/>
        <v>5.2047328260893533E-3</v>
      </c>
      <c r="R662" s="30">
        <f t="shared" si="44"/>
        <v>3.3443200746685608E-3</v>
      </c>
      <c r="S662" s="30">
        <f t="shared" si="44"/>
        <v>3.0676284493953432E-3</v>
      </c>
      <c r="T662" s="30">
        <f t="shared" si="44"/>
        <v>3.0959968163708496E-3</v>
      </c>
      <c r="U662" s="63">
        <f t="shared" si="45"/>
        <v>1.2671989141251406E-2</v>
      </c>
    </row>
    <row r="663" spans="1:21">
      <c r="A663" s="28">
        <v>44291</v>
      </c>
      <c r="B663" s="29">
        <v>1727</v>
      </c>
      <c r="C663" s="29">
        <v>24.76300049</v>
      </c>
      <c r="D663" s="29">
        <v>58.650001529999997</v>
      </c>
      <c r="E663" s="29">
        <v>13598.160159999999</v>
      </c>
      <c r="F663" s="29">
        <v>4077.9099120000001</v>
      </c>
      <c r="G663" s="29">
        <v>33527.191409999999</v>
      </c>
      <c r="H663" s="29">
        <v>11.44470692</v>
      </c>
      <c r="I663" s="29">
        <v>9.3608322140000002</v>
      </c>
      <c r="J663" s="29">
        <v>12.284307480000001</v>
      </c>
      <c r="L663" s="30">
        <f t="shared" si="44"/>
        <v>2.8960324355642442E-4</v>
      </c>
      <c r="M663" s="30">
        <f t="shared" si="44"/>
        <v>-6.8978938702981552E-3</v>
      </c>
      <c r="N663" s="30">
        <f t="shared" si="44"/>
        <v>-4.556548731277843E-2</v>
      </c>
      <c r="O663" s="30">
        <f t="shared" si="44"/>
        <v>2.01538119506397E-2</v>
      </c>
      <c r="P663" s="30">
        <f t="shared" si="44"/>
        <v>1.4438226437851975E-2</v>
      </c>
      <c r="Q663" s="30">
        <f t="shared" si="44"/>
        <v>1.1280369514639954E-2</v>
      </c>
      <c r="R663" s="30">
        <f t="shared" si="44"/>
        <v>-1.6666278735816276E-3</v>
      </c>
      <c r="S663" s="30">
        <f t="shared" si="44"/>
        <v>-1.0197888250076392E-3</v>
      </c>
      <c r="T663" s="30">
        <f t="shared" si="44"/>
        <v>-1.5433758450658086E-3</v>
      </c>
      <c r="U663" s="63">
        <f t="shared" si="45"/>
        <v>2.3050494930446307E-3</v>
      </c>
    </row>
    <row r="664" spans="1:21">
      <c r="A664" s="28">
        <v>44292</v>
      </c>
      <c r="B664" s="29">
        <v>1741.5</v>
      </c>
      <c r="C664" s="29">
        <v>25.211999890000001</v>
      </c>
      <c r="D664" s="29">
        <v>59.33000183</v>
      </c>
      <c r="E664" s="29">
        <v>13578.45996</v>
      </c>
      <c r="F664" s="29">
        <v>4073.9399410000001</v>
      </c>
      <c r="G664" s="29">
        <v>33430.238279999998</v>
      </c>
      <c r="H664" s="29">
        <v>11.482921599999999</v>
      </c>
      <c r="I664" s="29">
        <v>9.3799400330000005</v>
      </c>
      <c r="J664" s="29">
        <v>12.32227898</v>
      </c>
      <c r="L664" s="30">
        <f t="shared" si="44"/>
        <v>8.3960625361898522E-3</v>
      </c>
      <c r="M664" s="30">
        <f t="shared" si="44"/>
        <v>1.8131865731752406E-2</v>
      </c>
      <c r="N664" s="30">
        <f t="shared" si="44"/>
        <v>1.1594207711182802E-2</v>
      </c>
      <c r="O664" s="30">
        <f t="shared" si="44"/>
        <v>-1.448740106617441E-3</v>
      </c>
      <c r="P664" s="30">
        <f t="shared" si="44"/>
        <v>-9.7353082477802388E-4</v>
      </c>
      <c r="Q664" s="30">
        <f t="shared" si="44"/>
        <v>-2.8917760755553523E-3</v>
      </c>
      <c r="R664" s="30">
        <f t="shared" si="44"/>
        <v>3.3390702153515139E-3</v>
      </c>
      <c r="S664" s="30">
        <f t="shared" si="44"/>
        <v>2.0412521625399194E-3</v>
      </c>
      <c r="T664" s="30">
        <f t="shared" si="44"/>
        <v>3.0910574374518607E-3</v>
      </c>
      <c r="U664" s="63">
        <f t="shared" si="45"/>
        <v>4.2329890108550429E-3</v>
      </c>
    </row>
    <row r="665" spans="1:21">
      <c r="A665" s="28">
        <v>44293</v>
      </c>
      <c r="B665" s="29">
        <v>1740.099976</v>
      </c>
      <c r="C665" s="29">
        <v>25.232999800000002</v>
      </c>
      <c r="D665" s="29">
        <v>59.770000459999999</v>
      </c>
      <c r="E665" s="29">
        <v>13616.700199999999</v>
      </c>
      <c r="F665" s="29">
        <v>4079.9499510000001</v>
      </c>
      <c r="G665" s="29">
        <v>33446.261720000002</v>
      </c>
      <c r="H665" s="29">
        <v>11.46381283</v>
      </c>
      <c r="I665" s="29">
        <v>9.3703880309999992</v>
      </c>
      <c r="J665" s="29">
        <v>12.30329609</v>
      </c>
      <c r="L665" s="30">
        <f t="shared" si="44"/>
        <v>-8.0391846109673093E-4</v>
      </c>
      <c r="M665" s="30">
        <f t="shared" si="44"/>
        <v>8.3293313071641784E-4</v>
      </c>
      <c r="N665" s="30">
        <f t="shared" si="44"/>
        <v>7.4161236546181897E-3</v>
      </c>
      <c r="O665" s="30">
        <f t="shared" si="44"/>
        <v>2.8162427928239975E-3</v>
      </c>
      <c r="P665" s="30">
        <f t="shared" si="44"/>
        <v>1.4752328426630434E-3</v>
      </c>
      <c r="Q665" s="30">
        <f t="shared" si="44"/>
        <v>4.79309775353709E-4</v>
      </c>
      <c r="R665" s="30">
        <f t="shared" si="44"/>
        <v>-1.6641034978414071E-3</v>
      </c>
      <c r="S665" s="30">
        <f t="shared" si="44"/>
        <v>-1.0183436105557497E-3</v>
      </c>
      <c r="T665" s="30">
        <f t="shared" si="44"/>
        <v>-1.5405340222219843E-3</v>
      </c>
      <c r="U665" s="63">
        <f t="shared" si="45"/>
        <v>1.097586694867254E-3</v>
      </c>
    </row>
    <row r="666" spans="1:21">
      <c r="A666" s="28">
        <v>44294</v>
      </c>
      <c r="B666" s="29">
        <v>1756.8000489999999</v>
      </c>
      <c r="C666" s="29">
        <v>25.569000240000001</v>
      </c>
      <c r="D666" s="29">
        <v>59.599998470000003</v>
      </c>
      <c r="E666" s="29">
        <v>13758.509770000001</v>
      </c>
      <c r="F666" s="29">
        <v>4097.169922</v>
      </c>
      <c r="G666" s="29">
        <v>33503.570310000003</v>
      </c>
      <c r="H666" s="29">
        <v>11.49247169</v>
      </c>
      <c r="I666" s="29">
        <v>9.3894891739999995</v>
      </c>
      <c r="J666" s="29">
        <v>12.3317728</v>
      </c>
      <c r="L666" s="30">
        <f t="shared" si="44"/>
        <v>9.5971916730834828E-3</v>
      </c>
      <c r="M666" s="30">
        <f t="shared" si="44"/>
        <v>1.3315913393697976E-2</v>
      </c>
      <c r="N666" s="30">
        <f t="shared" si="44"/>
        <v>-2.8442695113205518E-3</v>
      </c>
      <c r="O666" s="30">
        <f t="shared" si="44"/>
        <v>1.04143858583301E-2</v>
      </c>
      <c r="P666" s="30">
        <f t="shared" si="44"/>
        <v>4.2206329015823663E-3</v>
      </c>
      <c r="Q666" s="30">
        <f t="shared" si="44"/>
        <v>1.71345277627033E-3</v>
      </c>
      <c r="R666" s="30">
        <f t="shared" si="44"/>
        <v>2.4999413742172738E-3</v>
      </c>
      <c r="S666" s="30">
        <f t="shared" si="44"/>
        <v>2.0384580592403001E-3</v>
      </c>
      <c r="T666" s="30">
        <f t="shared" si="44"/>
        <v>2.3145594312035112E-3</v>
      </c>
      <c r="U666" s="63">
        <f t="shared" si="45"/>
        <v>5.4751234303749771E-3</v>
      </c>
    </row>
    <row r="667" spans="1:21">
      <c r="A667" s="28">
        <v>44295</v>
      </c>
      <c r="B667" s="29">
        <v>1743.3000489999999</v>
      </c>
      <c r="C667" s="29">
        <v>25.31100082</v>
      </c>
      <c r="D667" s="29">
        <v>59.319999690000003</v>
      </c>
      <c r="E667" s="29">
        <v>13845.059569999999</v>
      </c>
      <c r="F667" s="29">
        <v>4128.7998049999997</v>
      </c>
      <c r="G667" s="29">
        <v>33800.601560000003</v>
      </c>
      <c r="H667" s="29">
        <v>11.482921599999999</v>
      </c>
      <c r="I667" s="29">
        <v>9.3799400330000005</v>
      </c>
      <c r="J667" s="29">
        <v>12.31278801</v>
      </c>
      <c r="L667" s="30">
        <f t="shared" si="44"/>
        <v>-7.6844260151770483E-3</v>
      </c>
      <c r="M667" s="30">
        <f t="shared" si="44"/>
        <v>-1.0090320997235835E-2</v>
      </c>
      <c r="N667" s="30">
        <f t="shared" si="44"/>
        <v>-4.6979662279846846E-3</v>
      </c>
      <c r="O667" s="30">
        <f t="shared" si="44"/>
        <v>6.2906376814673148E-3</v>
      </c>
      <c r="P667" s="30">
        <f t="shared" si="44"/>
        <v>7.7199343942659926E-3</v>
      </c>
      <c r="Q667" s="30">
        <f t="shared" si="44"/>
        <v>8.8656596073686256E-3</v>
      </c>
      <c r="R667" s="30">
        <f t="shared" si="44"/>
        <v>-8.3098660215197295E-4</v>
      </c>
      <c r="S667" s="30">
        <f t="shared" si="44"/>
        <v>-1.0170032493823644E-3</v>
      </c>
      <c r="T667" s="30">
        <f t="shared" si="44"/>
        <v>-1.53950209008058E-3</v>
      </c>
      <c r="U667" s="63">
        <f t="shared" si="45"/>
        <v>7.4930252924387342E-4</v>
      </c>
    </row>
    <row r="668" spans="1:21">
      <c r="A668" s="28">
        <v>44298</v>
      </c>
      <c r="B668" s="29">
        <v>1731.1999510000001</v>
      </c>
      <c r="C668" s="29">
        <v>24.853000640000001</v>
      </c>
      <c r="D668" s="29">
        <v>59.700000760000002</v>
      </c>
      <c r="E668" s="29">
        <v>13819.349609999999</v>
      </c>
      <c r="F668" s="29">
        <v>4127.9902339999999</v>
      </c>
      <c r="G668" s="29">
        <v>33745.398439999997</v>
      </c>
      <c r="H668" s="29">
        <v>11.47336578</v>
      </c>
      <c r="I668" s="29">
        <v>9.3799400330000005</v>
      </c>
      <c r="J668" s="29">
        <v>12.31278801</v>
      </c>
      <c r="L668" s="30">
        <f t="shared" si="44"/>
        <v>-6.9409153099839749E-3</v>
      </c>
      <c r="M668" s="30">
        <f t="shared" si="44"/>
        <v>-1.8094905976143827E-2</v>
      </c>
      <c r="N668" s="30">
        <f t="shared" si="44"/>
        <v>6.4059519889723138E-3</v>
      </c>
      <c r="O668" s="30">
        <f t="shared" si="44"/>
        <v>-1.856977203313015E-3</v>
      </c>
      <c r="P668" s="30">
        <f t="shared" si="44"/>
        <v>-1.9607901526719207E-4</v>
      </c>
      <c r="Q668" s="30">
        <f t="shared" si="44"/>
        <v>-1.6331993352843854E-3</v>
      </c>
      <c r="R668" s="30">
        <f t="shared" si="44"/>
        <v>-8.321767171169947E-4</v>
      </c>
      <c r="S668" s="30">
        <f t="shared" si="44"/>
        <v>0</v>
      </c>
      <c r="T668" s="30">
        <f t="shared" si="44"/>
        <v>0</v>
      </c>
      <c r="U668" s="63">
        <f t="shared" si="45"/>
        <v>-2.9885633564653903E-3</v>
      </c>
    </row>
    <row r="669" spans="1:21">
      <c r="A669" s="28">
        <v>44299</v>
      </c>
      <c r="B669" s="29">
        <v>1746.1999510000001</v>
      </c>
      <c r="C669" s="29">
        <v>25.416999820000001</v>
      </c>
      <c r="D669" s="29">
        <v>60.180000309999997</v>
      </c>
      <c r="E669" s="29">
        <v>13986.490229999999</v>
      </c>
      <c r="F669" s="29">
        <v>4141.5898440000001</v>
      </c>
      <c r="G669" s="29">
        <v>33677.269529999998</v>
      </c>
      <c r="H669" s="29">
        <v>11.502026559999999</v>
      </c>
      <c r="I669" s="29">
        <v>9.3990421299999998</v>
      </c>
      <c r="J669" s="29">
        <v>12.34127045</v>
      </c>
      <c r="L669" s="30">
        <f t="shared" si="44"/>
        <v>8.6645104115994354E-3</v>
      </c>
      <c r="M669" s="30">
        <f t="shared" si="44"/>
        <v>2.269340383359042E-2</v>
      </c>
      <c r="N669" s="30">
        <f t="shared" si="44"/>
        <v>8.0401933649822954E-3</v>
      </c>
      <c r="O669" s="30">
        <f t="shared" si="44"/>
        <v>1.2094680626579812E-2</v>
      </c>
      <c r="P669" s="30">
        <f t="shared" si="44"/>
        <v>3.2944869607460792E-3</v>
      </c>
      <c r="Q669" s="30">
        <f t="shared" si="44"/>
        <v>-2.0189096335944123E-3</v>
      </c>
      <c r="R669" s="30">
        <f t="shared" si="44"/>
        <v>2.4980272179555563E-3</v>
      </c>
      <c r="S669" s="30">
        <f t="shared" si="44"/>
        <v>2.0364839149071834E-3</v>
      </c>
      <c r="T669" s="30">
        <f t="shared" si="44"/>
        <v>2.313240508718728E-3</v>
      </c>
      <c r="U669" s="63">
        <f t="shared" si="45"/>
        <v>7.472186200411895E-3</v>
      </c>
    </row>
    <row r="670" spans="1:21">
      <c r="A670" s="28">
        <v>44300</v>
      </c>
      <c r="B670" s="29">
        <v>1734.900024</v>
      </c>
      <c r="C670" s="29">
        <v>25.51499939</v>
      </c>
      <c r="D670" s="29">
        <v>63.150001529999997</v>
      </c>
      <c r="E670" s="29">
        <v>13803.910159999999</v>
      </c>
      <c r="F670" s="29">
        <v>4124.6601559999999</v>
      </c>
      <c r="G670" s="29">
        <v>33730.890630000002</v>
      </c>
      <c r="H670" s="29">
        <v>11.49247169</v>
      </c>
      <c r="I670" s="29">
        <v>9.3894891739999995</v>
      </c>
      <c r="J670" s="29">
        <v>12.34127045</v>
      </c>
      <c r="L670" s="30">
        <f t="shared" si="44"/>
        <v>-6.4711529704997162E-3</v>
      </c>
      <c r="M670" s="30">
        <f t="shared" si="44"/>
        <v>3.8556702480236904E-3</v>
      </c>
      <c r="N670" s="30">
        <f t="shared" si="44"/>
        <v>4.9351964185790909E-2</v>
      </c>
      <c r="O670" s="30">
        <f t="shared" si="44"/>
        <v>-1.3054030496398528E-2</v>
      </c>
      <c r="P670" s="30">
        <f t="shared" si="44"/>
        <v>-4.0877268483083817E-3</v>
      </c>
      <c r="Q670" s="30">
        <f t="shared" si="44"/>
        <v>1.5922044972274119E-3</v>
      </c>
      <c r="R670" s="30">
        <f t="shared" si="44"/>
        <v>-8.3071187065653085E-4</v>
      </c>
      <c r="S670" s="30">
        <f t="shared" si="44"/>
        <v>-1.0163754846367334E-3</v>
      </c>
      <c r="T670" s="30">
        <f t="shared" si="44"/>
        <v>0</v>
      </c>
      <c r="U670" s="63">
        <f t="shared" si="45"/>
        <v>1.0713226319369422E-3</v>
      </c>
    </row>
    <row r="671" spans="1:21">
      <c r="A671" s="28">
        <v>44301</v>
      </c>
      <c r="B671" s="29">
        <v>1765.400024</v>
      </c>
      <c r="C671" s="29">
        <v>25.955999370000001</v>
      </c>
      <c r="D671" s="29">
        <v>63.459999080000003</v>
      </c>
      <c r="E671" s="29">
        <v>14026.190430000001</v>
      </c>
      <c r="F671" s="29">
        <v>4170.419922</v>
      </c>
      <c r="G671" s="29">
        <v>34035.988279999998</v>
      </c>
      <c r="H671" s="29">
        <v>11.54024124</v>
      </c>
      <c r="I671" s="29">
        <v>9.4277000429999998</v>
      </c>
      <c r="J671" s="29">
        <v>12.379240039999999</v>
      </c>
      <c r="L671" s="30">
        <f t="shared" si="44"/>
        <v>1.7580263748961711E-2</v>
      </c>
      <c r="M671" s="30">
        <f t="shared" si="44"/>
        <v>1.7283950246647528E-2</v>
      </c>
      <c r="N671" s="30">
        <f t="shared" si="44"/>
        <v>4.9089080362529902E-3</v>
      </c>
      <c r="O671" s="30">
        <f t="shared" si="44"/>
        <v>1.6102703322723011E-2</v>
      </c>
      <c r="P671" s="30">
        <f t="shared" si="44"/>
        <v>1.1094190616755428E-2</v>
      </c>
      <c r="Q671" s="30">
        <f t="shared" si="44"/>
        <v>9.0450517108091599E-3</v>
      </c>
      <c r="R671" s="30">
        <f t="shared" si="44"/>
        <v>4.1565949683013415E-3</v>
      </c>
      <c r="S671" s="30">
        <f t="shared" si="44"/>
        <v>4.0695365095908542E-3</v>
      </c>
      <c r="T671" s="30">
        <f t="shared" si="44"/>
        <v>3.0766354366700277E-3</v>
      </c>
      <c r="U671" s="63">
        <f t="shared" si="45"/>
        <v>1.0499193957368765E-2</v>
      </c>
    </row>
    <row r="672" spans="1:21">
      <c r="A672" s="28">
        <v>44302</v>
      </c>
      <c r="B672" s="29">
        <v>1779</v>
      </c>
      <c r="C672" s="29">
        <v>26.099000929999999</v>
      </c>
      <c r="D672" s="29">
        <v>63.130001069999999</v>
      </c>
      <c r="E672" s="29">
        <v>14041.910159999999</v>
      </c>
      <c r="F672" s="29">
        <v>4185.4702150000003</v>
      </c>
      <c r="G672" s="29">
        <v>34200.671880000002</v>
      </c>
      <c r="H672" s="29">
        <v>11.511581420000001</v>
      </c>
      <c r="I672" s="29">
        <v>9.4085960390000007</v>
      </c>
      <c r="J672" s="29">
        <v>12.360255240000001</v>
      </c>
      <c r="L672" s="30">
        <f t="shared" si="44"/>
        <v>7.7036228702351828E-3</v>
      </c>
      <c r="M672" s="30">
        <f t="shared" si="44"/>
        <v>5.5093837059219108E-3</v>
      </c>
      <c r="N672" s="30">
        <f t="shared" si="44"/>
        <v>-5.2000947807137043E-3</v>
      </c>
      <c r="O672" s="30">
        <f t="shared" ref="L672:T700" si="46">(E672/E671)-1</f>
        <v>1.1207412360791924E-3</v>
      </c>
      <c r="P672" s="30">
        <f t="shared" si="46"/>
        <v>3.6088195628949382E-3</v>
      </c>
      <c r="Q672" s="30">
        <f t="shared" si="46"/>
        <v>4.8385138296915819E-3</v>
      </c>
      <c r="R672" s="30">
        <f t="shared" si="46"/>
        <v>-2.4834680145733312E-3</v>
      </c>
      <c r="S672" s="30">
        <f t="shared" si="46"/>
        <v>-2.0263695188502684E-3</v>
      </c>
      <c r="T672" s="30">
        <f t="shared" si="46"/>
        <v>-1.5335997960015391E-3</v>
      </c>
      <c r="U672" s="63">
        <f t="shared" si="45"/>
        <v>1.7551954626038638E-3</v>
      </c>
    </row>
    <row r="673" spans="1:21">
      <c r="A673" s="28">
        <v>44305</v>
      </c>
      <c r="B673" s="29">
        <v>1769.400024</v>
      </c>
      <c r="C673" s="29">
        <v>25.830999370000001</v>
      </c>
      <c r="D673" s="29">
        <v>63.380001069999999</v>
      </c>
      <c r="E673" s="29">
        <v>13907.66992</v>
      </c>
      <c r="F673" s="29">
        <v>4163.2597660000001</v>
      </c>
      <c r="G673" s="29">
        <v>34077.628909999999</v>
      </c>
      <c r="H673" s="29">
        <v>11.502026559999999</v>
      </c>
      <c r="I673" s="29">
        <v>9.3990421299999998</v>
      </c>
      <c r="J673" s="29">
        <v>12.35075951</v>
      </c>
      <c r="L673" s="30">
        <f t="shared" si="46"/>
        <v>-5.3962765598650764E-3</v>
      </c>
      <c r="M673" s="30">
        <f t="shared" si="46"/>
        <v>-1.026865207288219E-2</v>
      </c>
      <c r="N673" s="30">
        <f t="shared" si="46"/>
        <v>3.9600823025931486E-3</v>
      </c>
      <c r="O673" s="30">
        <f t="shared" si="46"/>
        <v>-9.5599700090944761E-3</v>
      </c>
      <c r="P673" s="30">
        <f t="shared" si="46"/>
        <v>-5.3065600420239001E-3</v>
      </c>
      <c r="Q673" s="30">
        <f t="shared" si="46"/>
        <v>-3.5976769822453347E-3</v>
      </c>
      <c r="R673" s="30">
        <f t="shared" si="46"/>
        <v>-8.3002149325905883E-4</v>
      </c>
      <c r="S673" s="30">
        <f t="shared" si="46"/>
        <v>-1.0154447018874135E-3</v>
      </c>
      <c r="T673" s="30">
        <f t="shared" si="46"/>
        <v>-7.6824708030875932E-4</v>
      </c>
      <c r="U673" s="63">
        <f t="shared" si="45"/>
        <v>-4.6434105568933298E-3</v>
      </c>
    </row>
    <row r="674" spans="1:21">
      <c r="A674" s="28">
        <v>44306</v>
      </c>
      <c r="B674" s="29">
        <v>1777.3000489999999</v>
      </c>
      <c r="C674" s="29">
        <v>25.834999079999999</v>
      </c>
      <c r="D674" s="29">
        <v>62.439998629999998</v>
      </c>
      <c r="E674" s="29">
        <v>13809.299800000001</v>
      </c>
      <c r="F674" s="29">
        <v>4134.9399409999996</v>
      </c>
      <c r="G674" s="29">
        <v>33821.300779999998</v>
      </c>
      <c r="H674" s="29">
        <v>11.52113247</v>
      </c>
      <c r="I674" s="29">
        <v>9.4085960390000007</v>
      </c>
      <c r="J674" s="29">
        <v>12.369748120000001</v>
      </c>
      <c r="L674" s="30">
        <f t="shared" si="46"/>
        <v>4.4648043929267356E-3</v>
      </c>
      <c r="M674" s="30">
        <f t="shared" si="46"/>
        <v>1.5484147332855969E-4</v>
      </c>
      <c r="N674" s="30">
        <f t="shared" si="46"/>
        <v>-1.4831215275017406E-2</v>
      </c>
      <c r="O674" s="30">
        <f t="shared" si="46"/>
        <v>-7.0730841733982475E-3</v>
      </c>
      <c r="P674" s="30">
        <f t="shared" si="46"/>
        <v>-6.8023199588167493E-3</v>
      </c>
      <c r="Q674" s="30">
        <f t="shared" si="46"/>
        <v>-7.5218886465655554E-3</v>
      </c>
      <c r="R674" s="30">
        <f t="shared" si="46"/>
        <v>1.6610907565144384E-3</v>
      </c>
      <c r="S674" s="30">
        <f t="shared" si="46"/>
        <v>1.0164768779477029E-3</v>
      </c>
      <c r="T674" s="30">
        <f t="shared" si="46"/>
        <v>1.5374447202722852E-3</v>
      </c>
      <c r="U674" s="63">
        <f t="shared" si="45"/>
        <v>-3.6497634197869104E-3</v>
      </c>
    </row>
    <row r="675" spans="1:21">
      <c r="A675" s="28">
        <v>44307</v>
      </c>
      <c r="B675" s="29">
        <v>1792.3000489999999</v>
      </c>
      <c r="C675" s="29">
        <v>26.565000529999999</v>
      </c>
      <c r="D675" s="29">
        <v>61.349998470000003</v>
      </c>
      <c r="E675" s="29">
        <v>13935.150390000001</v>
      </c>
      <c r="F675" s="29">
        <v>4173.419922</v>
      </c>
      <c r="G675" s="29">
        <v>34137.308590000001</v>
      </c>
      <c r="H675" s="29">
        <v>11.52113247</v>
      </c>
      <c r="I675" s="29">
        <v>9.4085960390000007</v>
      </c>
      <c r="J675" s="29">
        <v>12.369748120000001</v>
      </c>
      <c r="L675" s="30">
        <f t="shared" si="46"/>
        <v>8.4397679550167748E-3</v>
      </c>
      <c r="M675" s="30">
        <f t="shared" si="46"/>
        <v>2.8256298664439461E-2</v>
      </c>
      <c r="N675" s="30">
        <f t="shared" si="46"/>
        <v>-1.7456761433628398E-2</v>
      </c>
      <c r="O675" s="30">
        <f t="shared" si="46"/>
        <v>9.1134664192025205E-3</v>
      </c>
      <c r="P675" s="30">
        <f t="shared" si="46"/>
        <v>9.3060556015462925E-3</v>
      </c>
      <c r="Q675" s="30">
        <f t="shared" si="46"/>
        <v>9.3434552401032711E-3</v>
      </c>
      <c r="R675" s="30">
        <f t="shared" si="46"/>
        <v>0</v>
      </c>
      <c r="S675" s="30">
        <f t="shared" si="46"/>
        <v>0</v>
      </c>
      <c r="T675" s="30">
        <f t="shared" si="46"/>
        <v>0</v>
      </c>
      <c r="U675" s="63">
        <f t="shared" si="45"/>
        <v>7.6337890077945239E-3</v>
      </c>
    </row>
    <row r="676" spans="1:21">
      <c r="A676" s="28">
        <v>44308</v>
      </c>
      <c r="B676" s="29">
        <v>1781.1999510000001</v>
      </c>
      <c r="C676" s="29">
        <v>26.17399979</v>
      </c>
      <c r="D676" s="29">
        <v>61.430000309999997</v>
      </c>
      <c r="E676" s="29">
        <v>13762.360350000001</v>
      </c>
      <c r="F676" s="29">
        <v>4134.9799800000001</v>
      </c>
      <c r="G676" s="29">
        <v>33815.898439999997</v>
      </c>
      <c r="H676" s="29">
        <v>11.530686380000001</v>
      </c>
      <c r="I676" s="29">
        <v>9.4181442260000008</v>
      </c>
      <c r="J676" s="29">
        <v>12.379240039999999</v>
      </c>
      <c r="L676" s="30">
        <f t="shared" si="46"/>
        <v>-6.1932141363233439E-3</v>
      </c>
      <c r="M676" s="30">
        <f t="shared" si="46"/>
        <v>-1.4718642281163929E-2</v>
      </c>
      <c r="N676" s="30">
        <f t="shared" si="46"/>
        <v>1.3040235044035065E-3</v>
      </c>
      <c r="O676" s="30">
        <f t="shared" si="46"/>
        <v>-1.2399582004080534E-2</v>
      </c>
      <c r="P676" s="30">
        <f t="shared" si="46"/>
        <v>-9.2106576185553291E-3</v>
      </c>
      <c r="Q676" s="30">
        <f t="shared" si="46"/>
        <v>-9.4152164677140382E-3</v>
      </c>
      <c r="R676" s="30">
        <f t="shared" si="46"/>
        <v>8.2925094602281924E-4</v>
      </c>
      <c r="S676" s="30">
        <f t="shared" si="46"/>
        <v>1.0148365346349664E-3</v>
      </c>
      <c r="T676" s="30">
        <f t="shared" si="46"/>
        <v>7.6734949716983358E-4</v>
      </c>
      <c r="U676" s="63">
        <f t="shared" si="45"/>
        <v>-6.7940532736461626E-3</v>
      </c>
    </row>
    <row r="677" spans="1:21">
      <c r="A677" s="28">
        <v>44309</v>
      </c>
      <c r="B677" s="29">
        <v>1777</v>
      </c>
      <c r="C677" s="29">
        <v>26.076999659999998</v>
      </c>
      <c r="D677" s="29">
        <v>62.13999939</v>
      </c>
      <c r="E677" s="29">
        <v>13941.440430000001</v>
      </c>
      <c r="F677" s="29">
        <v>4180.169922</v>
      </c>
      <c r="G677" s="29">
        <v>34043.488279999998</v>
      </c>
      <c r="H677" s="29">
        <v>11.530686380000001</v>
      </c>
      <c r="I677" s="29">
        <v>9.4181442260000008</v>
      </c>
      <c r="J677" s="29">
        <v>12.379240039999999</v>
      </c>
      <c r="L677" s="30">
        <f t="shared" si="46"/>
        <v>-2.357933480540586E-3</v>
      </c>
      <c r="M677" s="30">
        <f t="shared" si="46"/>
        <v>-3.7059727507547935E-3</v>
      </c>
      <c r="N677" s="30">
        <f t="shared" si="46"/>
        <v>1.1557855712470477E-2</v>
      </c>
      <c r="O677" s="30">
        <f t="shared" si="46"/>
        <v>1.301230860446112E-2</v>
      </c>
      <c r="P677" s="30">
        <f t="shared" si="46"/>
        <v>1.0928696685007955E-2</v>
      </c>
      <c r="Q677" s="30">
        <f t="shared" si="46"/>
        <v>6.730261518966163E-3</v>
      </c>
      <c r="R677" s="30">
        <f t="shared" si="46"/>
        <v>0</v>
      </c>
      <c r="S677" s="30">
        <f t="shared" si="46"/>
        <v>0</v>
      </c>
      <c r="T677" s="30">
        <f t="shared" si="46"/>
        <v>0</v>
      </c>
      <c r="U677" s="63">
        <f t="shared" si="45"/>
        <v>5.2757436040042401E-3</v>
      </c>
    </row>
    <row r="678" spans="1:21">
      <c r="A678" s="28">
        <v>44312</v>
      </c>
      <c r="B678" s="29">
        <v>1779.1999510000001</v>
      </c>
      <c r="C678" s="29">
        <v>26.211000439999999</v>
      </c>
      <c r="D678" s="29">
        <v>61.909999849999998</v>
      </c>
      <c r="E678" s="29">
        <v>14026.160159999999</v>
      </c>
      <c r="F678" s="29">
        <v>4187.6201170000004</v>
      </c>
      <c r="G678" s="29">
        <v>33981.570310000003</v>
      </c>
      <c r="H678" s="29">
        <v>11.52113247</v>
      </c>
      <c r="I678" s="29">
        <v>9.4181442260000008</v>
      </c>
      <c r="J678" s="29">
        <v>12.369748120000001</v>
      </c>
      <c r="L678" s="30">
        <f t="shared" si="46"/>
        <v>1.2380140686549801E-3</v>
      </c>
      <c r="M678" s="30">
        <f t="shared" si="46"/>
        <v>5.1386578880678879E-3</v>
      </c>
      <c r="N678" s="30">
        <f t="shared" si="46"/>
        <v>-3.7013122345961325E-3</v>
      </c>
      <c r="O678" s="30">
        <f t="shared" si="46"/>
        <v>6.0768276008047462E-3</v>
      </c>
      <c r="P678" s="30">
        <f t="shared" si="46"/>
        <v>1.7822708499934947E-3</v>
      </c>
      <c r="Q678" s="30">
        <f t="shared" si="46"/>
        <v>-1.8187904098055929E-3</v>
      </c>
      <c r="R678" s="30">
        <f t="shared" si="46"/>
        <v>-8.2856385865914817E-4</v>
      </c>
      <c r="S678" s="30">
        <f t="shared" si="46"/>
        <v>0</v>
      </c>
      <c r="T678" s="30">
        <f t="shared" si="46"/>
        <v>-7.6676112340723357E-4</v>
      </c>
      <c r="U678" s="63">
        <f t="shared" si="45"/>
        <v>1.6668239019687408E-3</v>
      </c>
    </row>
    <row r="679" spans="1:21">
      <c r="A679" s="28">
        <v>44313</v>
      </c>
      <c r="B679" s="29">
        <v>1778</v>
      </c>
      <c r="C679" s="29">
        <v>26.41200066</v>
      </c>
      <c r="D679" s="29">
        <v>62.939998629999998</v>
      </c>
      <c r="E679" s="29">
        <v>13960.280269999999</v>
      </c>
      <c r="F679" s="29">
        <v>4186.7202150000003</v>
      </c>
      <c r="G679" s="29">
        <v>33984.929689999997</v>
      </c>
      <c r="H679" s="29">
        <v>11.49247169</v>
      </c>
      <c r="I679" s="29">
        <v>9.3990421299999998</v>
      </c>
      <c r="J679" s="29">
        <v>12.34127045</v>
      </c>
      <c r="L679" s="30">
        <f t="shared" si="46"/>
        <v>-6.7443290976132442E-4</v>
      </c>
      <c r="M679" s="30">
        <f t="shared" si="46"/>
        <v>7.6685443754851423E-3</v>
      </c>
      <c r="N679" s="30">
        <f t="shared" si="46"/>
        <v>1.6637034122040983E-2</v>
      </c>
      <c r="O679" s="30">
        <f t="shared" si="46"/>
        <v>-4.6969298260173264E-3</v>
      </c>
      <c r="P679" s="30">
        <f t="shared" si="46"/>
        <v>-2.1489580593681001E-4</v>
      </c>
      <c r="Q679" s="30">
        <f t="shared" si="46"/>
        <v>9.8858880544616667E-5</v>
      </c>
      <c r="R679" s="30">
        <f t="shared" si="46"/>
        <v>-2.4876703808960343E-3</v>
      </c>
      <c r="S679" s="30">
        <f t="shared" si="46"/>
        <v>-2.0282229218010484E-3</v>
      </c>
      <c r="T679" s="30">
        <f t="shared" si="46"/>
        <v>-2.3022029004743372E-3</v>
      </c>
      <c r="U679" s="63">
        <f t="shared" si="45"/>
        <v>1.2053377847461772E-3</v>
      </c>
    </row>
    <row r="680" spans="1:21">
      <c r="A680" s="28">
        <v>44314</v>
      </c>
      <c r="B680" s="29">
        <v>1773.1999510000001</v>
      </c>
      <c r="C680" s="29">
        <v>26.080999370000001</v>
      </c>
      <c r="D680" s="29">
        <v>63.86000061</v>
      </c>
      <c r="E680" s="29">
        <v>13901.62012</v>
      </c>
      <c r="F680" s="29">
        <v>4183.1801759999998</v>
      </c>
      <c r="G680" s="29">
        <v>33820.378909999999</v>
      </c>
      <c r="H680" s="29">
        <v>11.502026559999999</v>
      </c>
      <c r="I680" s="29">
        <v>9.3990421299999998</v>
      </c>
      <c r="J680" s="29">
        <v>12.35075951</v>
      </c>
      <c r="L680" s="30">
        <f t="shared" si="46"/>
        <v>-2.6996901012372732E-3</v>
      </c>
      <c r="M680" s="30">
        <f t="shared" si="46"/>
        <v>-1.2532230869632288E-2</v>
      </c>
      <c r="N680" s="30">
        <f t="shared" si="46"/>
        <v>1.4617127423347087E-2</v>
      </c>
      <c r="O680" s="30">
        <f t="shared" si="46"/>
        <v>-4.2019321149344702E-3</v>
      </c>
      <c r="P680" s="30">
        <f t="shared" si="46"/>
        <v>-8.4553990193025896E-4</v>
      </c>
      <c r="Q680" s="30">
        <f t="shared" si="46"/>
        <v>-4.8418749575467324E-3</v>
      </c>
      <c r="R680" s="30">
        <f t="shared" si="46"/>
        <v>8.314025266047409E-4</v>
      </c>
      <c r="S680" s="30">
        <f t="shared" si="46"/>
        <v>0</v>
      </c>
      <c r="T680" s="30">
        <f t="shared" si="46"/>
        <v>7.6888842509736932E-4</v>
      </c>
      <c r="U680" s="63">
        <f t="shared" si="45"/>
        <v>-1.707965511651676E-3</v>
      </c>
    </row>
    <row r="681" spans="1:21">
      <c r="A681" s="28">
        <v>44315</v>
      </c>
      <c r="B681" s="29">
        <v>1768.099976</v>
      </c>
      <c r="C681" s="29">
        <v>26.052999499999999</v>
      </c>
      <c r="D681" s="29">
        <v>65.010002139999997</v>
      </c>
      <c r="E681" s="29">
        <v>13970.200199999999</v>
      </c>
      <c r="F681" s="29">
        <v>4211.4702150000003</v>
      </c>
      <c r="G681" s="29">
        <v>34060.359380000002</v>
      </c>
      <c r="H681" s="29">
        <v>11.49247169</v>
      </c>
      <c r="I681" s="29">
        <v>9.3894891739999995</v>
      </c>
      <c r="J681" s="29">
        <v>12.34127045</v>
      </c>
      <c r="L681" s="30">
        <f t="shared" si="46"/>
        <v>-2.8761420826365347E-3</v>
      </c>
      <c r="M681" s="30">
        <f t="shared" si="46"/>
        <v>-1.0735735085446452E-3</v>
      </c>
      <c r="N681" s="30">
        <f t="shared" si="46"/>
        <v>1.8008166599045028E-2</v>
      </c>
      <c r="O681" s="30">
        <f t="shared" si="46"/>
        <v>4.9332437088633885E-3</v>
      </c>
      <c r="P681" s="30">
        <f t="shared" si="46"/>
        <v>6.7628067187512908E-3</v>
      </c>
      <c r="Q681" s="30">
        <f t="shared" si="46"/>
        <v>7.0957356994318932E-3</v>
      </c>
      <c r="R681" s="30">
        <f t="shared" si="46"/>
        <v>-8.3071187065653085E-4</v>
      </c>
      <c r="S681" s="30">
        <f t="shared" si="46"/>
        <v>-1.0163754846367334E-3</v>
      </c>
      <c r="T681" s="30">
        <f t="shared" si="46"/>
        <v>-7.6829768989650216E-4</v>
      </c>
      <c r="U681" s="63">
        <f t="shared" si="45"/>
        <v>3.6776774329594091E-3</v>
      </c>
    </row>
    <row r="682" spans="1:21">
      <c r="A682" s="28">
        <v>44316</v>
      </c>
      <c r="B682" s="29">
        <v>1767.3000489999999</v>
      </c>
      <c r="C682" s="29">
        <v>25.853000640000001</v>
      </c>
      <c r="D682" s="29">
        <v>63.58000183</v>
      </c>
      <c r="E682" s="29">
        <v>13860.759770000001</v>
      </c>
      <c r="F682" s="29">
        <v>4181.169922</v>
      </c>
      <c r="G682" s="29">
        <v>33874.851560000003</v>
      </c>
      <c r="H682" s="29">
        <v>11.51830292</v>
      </c>
      <c r="I682" s="29">
        <v>9.4095706939999992</v>
      </c>
      <c r="J682" s="29">
        <v>12.35362911</v>
      </c>
      <c r="L682" s="30">
        <f t="shared" si="46"/>
        <v>-4.5242181486238042E-4</v>
      </c>
      <c r="M682" s="30">
        <f t="shared" si="46"/>
        <v>-7.6766155083216603E-3</v>
      </c>
      <c r="N682" s="30">
        <f t="shared" si="46"/>
        <v>-2.1996619949657403E-2</v>
      </c>
      <c r="O682" s="30">
        <f t="shared" si="46"/>
        <v>-7.8338483653225266E-3</v>
      </c>
      <c r="P682" s="30">
        <f t="shared" si="46"/>
        <v>-7.1947067064797032E-3</v>
      </c>
      <c r="Q682" s="30">
        <f t="shared" si="46"/>
        <v>-5.4464434133049133E-3</v>
      </c>
      <c r="R682" s="30">
        <f t="shared" si="46"/>
        <v>2.2476653148926218E-3</v>
      </c>
      <c r="S682" s="30">
        <f t="shared" si="46"/>
        <v>2.1387233775833625E-3</v>
      </c>
      <c r="T682" s="30">
        <f t="shared" si="46"/>
        <v>1.0014090567151968E-3</v>
      </c>
      <c r="U682" s="63">
        <f t="shared" si="45"/>
        <v>-5.6975309075282471E-3</v>
      </c>
    </row>
    <row r="683" spans="1:21">
      <c r="A683" s="28">
        <v>44319</v>
      </c>
      <c r="B683" s="29">
        <v>1791.400024</v>
      </c>
      <c r="C683" s="29">
        <v>26.943000789999999</v>
      </c>
      <c r="D683" s="29">
        <v>64.489997860000003</v>
      </c>
      <c r="E683" s="29">
        <v>13799.719730000001</v>
      </c>
      <c r="F683" s="29">
        <v>4192.6601559999999</v>
      </c>
      <c r="G683" s="29">
        <v>34113.230470000002</v>
      </c>
      <c r="H683" s="29">
        <v>11.527871129999999</v>
      </c>
      <c r="I683" s="29">
        <v>9.4191360470000003</v>
      </c>
      <c r="J683" s="29">
        <v>12.363143920000001</v>
      </c>
      <c r="L683" s="30">
        <f t="shared" si="46"/>
        <v>1.3636606310081234E-2</v>
      </c>
      <c r="M683" s="30">
        <f t="shared" si="46"/>
        <v>4.2161456040562539E-2</v>
      </c>
      <c r="N683" s="30">
        <f t="shared" si="46"/>
        <v>1.4312614089460718E-2</v>
      </c>
      <c r="O683" s="30">
        <f t="shared" si="46"/>
        <v>-4.4038018848082672E-3</v>
      </c>
      <c r="P683" s="30">
        <f t="shared" si="46"/>
        <v>2.7480906574837149E-3</v>
      </c>
      <c r="Q683" s="30">
        <f t="shared" si="46"/>
        <v>7.0370466296443279E-3</v>
      </c>
      <c r="R683" s="30">
        <f t="shared" si="46"/>
        <v>8.3069615953457188E-4</v>
      </c>
      <c r="S683" s="30">
        <f t="shared" si="46"/>
        <v>1.0165557293810856E-3</v>
      </c>
      <c r="T683" s="30">
        <f t="shared" si="46"/>
        <v>7.7020363127933145E-4</v>
      </c>
      <c r="U683" s="63">
        <f t="shared" si="45"/>
        <v>9.0081605050869699E-3</v>
      </c>
    </row>
    <row r="684" spans="1:21">
      <c r="A684" s="28">
        <v>44320</v>
      </c>
      <c r="B684" s="29">
        <v>1775.8000489999999</v>
      </c>
      <c r="C684" s="29">
        <v>26.538999560000001</v>
      </c>
      <c r="D684" s="29">
        <v>65.690002440000001</v>
      </c>
      <c r="E684" s="29">
        <v>13544.66992</v>
      </c>
      <c r="F684" s="29">
        <v>4164.6601559999999</v>
      </c>
      <c r="G684" s="29">
        <v>34133.03125</v>
      </c>
      <c r="H684" s="29">
        <v>11.53743553</v>
      </c>
      <c r="I684" s="29">
        <v>9.4191360470000003</v>
      </c>
      <c r="J684" s="29">
        <v>12.37265015</v>
      </c>
      <c r="L684" s="30">
        <f t="shared" si="46"/>
        <v>-8.7082587869833361E-3</v>
      </c>
      <c r="M684" s="30">
        <f t="shared" si="46"/>
        <v>-1.4994663480466741E-2</v>
      </c>
      <c r="N684" s="30">
        <f t="shared" si="46"/>
        <v>1.8607607688328143E-2</v>
      </c>
      <c r="O684" s="30">
        <f t="shared" si="46"/>
        <v>-1.8482245653549945E-2</v>
      </c>
      <c r="P684" s="30">
        <f t="shared" si="46"/>
        <v>-6.678337608625351E-3</v>
      </c>
      <c r="Q684" s="30">
        <f t="shared" si="46"/>
        <v>5.8044282899016864E-4</v>
      </c>
      <c r="R684" s="30">
        <f t="shared" si="46"/>
        <v>8.2967617282858619E-4</v>
      </c>
      <c r="S684" s="30">
        <f t="shared" si="46"/>
        <v>0</v>
      </c>
      <c r="T684" s="30">
        <f t="shared" si="46"/>
        <v>7.6891687595903591E-4</v>
      </c>
      <c r="U684" s="63">
        <f t="shared" si="45"/>
        <v>-5.432508640950141E-3</v>
      </c>
    </row>
    <row r="685" spans="1:21">
      <c r="A685" s="28">
        <v>44321</v>
      </c>
      <c r="B685" s="29">
        <v>1784.099976</v>
      </c>
      <c r="C685" s="29">
        <v>26.502000809999998</v>
      </c>
      <c r="D685" s="29">
        <v>65.629997250000002</v>
      </c>
      <c r="E685" s="29">
        <v>13503.37012</v>
      </c>
      <c r="F685" s="29">
        <v>4167.5898440000001</v>
      </c>
      <c r="G685" s="29">
        <v>34230.339840000001</v>
      </c>
      <c r="H685" s="29">
        <v>11.53743553</v>
      </c>
      <c r="I685" s="29">
        <v>9.4286937710000007</v>
      </c>
      <c r="J685" s="29">
        <v>12.38216209</v>
      </c>
      <c r="L685" s="30">
        <f t="shared" si="46"/>
        <v>4.6739085319171814E-3</v>
      </c>
      <c r="M685" s="30">
        <f t="shared" si="46"/>
        <v>-1.3941275335701553E-3</v>
      </c>
      <c r="N685" s="30">
        <f t="shared" si="46"/>
        <v>-9.1346000565006857E-4</v>
      </c>
      <c r="O685" s="30">
        <f t="shared" si="46"/>
        <v>-3.0491551469273848E-3</v>
      </c>
      <c r="P685" s="30">
        <f t="shared" si="46"/>
        <v>7.034638818679273E-4</v>
      </c>
      <c r="Q685" s="30">
        <f t="shared" si="46"/>
        <v>2.8508628280707882E-3</v>
      </c>
      <c r="R685" s="30">
        <f t="shared" si="46"/>
        <v>0</v>
      </c>
      <c r="S685" s="30">
        <f t="shared" si="46"/>
        <v>1.0147134463616148E-3</v>
      </c>
      <c r="T685" s="30">
        <f t="shared" si="46"/>
        <v>7.6878759883136638E-4</v>
      </c>
      <c r="U685" s="63">
        <f t="shared" si="45"/>
        <v>1.3118135482330566E-4</v>
      </c>
    </row>
    <row r="686" spans="1:21">
      <c r="A686" s="28">
        <v>44322</v>
      </c>
      <c r="B686" s="29">
        <v>1815.5</v>
      </c>
      <c r="C686" s="29">
        <v>27.461999890000001</v>
      </c>
      <c r="D686" s="29">
        <v>64.709999080000003</v>
      </c>
      <c r="E686" s="29">
        <v>13613.73047</v>
      </c>
      <c r="F686" s="29">
        <v>4201.6201170000004</v>
      </c>
      <c r="G686" s="29">
        <v>34548.53125</v>
      </c>
      <c r="H686" s="29">
        <v>11.54700375</v>
      </c>
      <c r="I686" s="29">
        <v>9.4286937710000007</v>
      </c>
      <c r="J686" s="29">
        <v>12.39167213</v>
      </c>
      <c r="L686" s="30">
        <f t="shared" si="46"/>
        <v>1.7599924007846157E-2</v>
      </c>
      <c r="M686" s="30">
        <f t="shared" si="46"/>
        <v>3.6223645410114358E-2</v>
      </c>
      <c r="N686" s="30">
        <f t="shared" si="46"/>
        <v>-1.4017952286292323E-2</v>
      </c>
      <c r="O686" s="30">
        <f t="shared" si="46"/>
        <v>8.1728004949330746E-3</v>
      </c>
      <c r="P686" s="30">
        <f t="shared" si="46"/>
        <v>8.1654563605852992E-3</v>
      </c>
      <c r="Q686" s="30">
        <f t="shared" si="46"/>
        <v>9.295595997214523E-3</v>
      </c>
      <c r="R686" s="30">
        <f t="shared" si="46"/>
        <v>8.2931947702946651E-4</v>
      </c>
      <c r="S686" s="30">
        <f t="shared" si="46"/>
        <v>0</v>
      </c>
      <c r="T686" s="30">
        <f t="shared" si="46"/>
        <v>7.6804357194459882E-4</v>
      </c>
      <c r="U686" s="63">
        <f t="shared" si="45"/>
        <v>9.2498837929156814E-3</v>
      </c>
    </row>
    <row r="687" spans="1:21">
      <c r="A687" s="28">
        <v>44323</v>
      </c>
      <c r="B687" s="29">
        <v>1831.099976</v>
      </c>
      <c r="C687" s="29">
        <v>27.461999890000001</v>
      </c>
      <c r="D687" s="29">
        <v>64.900001529999997</v>
      </c>
      <c r="E687" s="29">
        <v>13719.62988</v>
      </c>
      <c r="F687" s="29">
        <v>4232.6000979999999</v>
      </c>
      <c r="G687" s="29">
        <v>34777.761720000002</v>
      </c>
      <c r="H687" s="29">
        <v>11.54700375</v>
      </c>
      <c r="I687" s="29">
        <v>9.4286937710000007</v>
      </c>
      <c r="J687" s="29">
        <v>12.39167213</v>
      </c>
      <c r="L687" s="30">
        <f t="shared" si="46"/>
        <v>8.5926609749380489E-3</v>
      </c>
      <c r="M687" s="30">
        <f t="shared" si="46"/>
        <v>0</v>
      </c>
      <c r="N687" s="30">
        <f t="shared" si="46"/>
        <v>2.9362146917217835E-3</v>
      </c>
      <c r="O687" s="30">
        <f t="shared" si="46"/>
        <v>7.778867830045888E-3</v>
      </c>
      <c r="P687" s="30">
        <f t="shared" si="46"/>
        <v>7.3733417437364945E-3</v>
      </c>
      <c r="Q687" s="30">
        <f t="shared" si="46"/>
        <v>6.6350279362454856E-3</v>
      </c>
      <c r="R687" s="30">
        <f t="shared" si="46"/>
        <v>0</v>
      </c>
      <c r="S687" s="30">
        <f t="shared" si="46"/>
        <v>0</v>
      </c>
      <c r="T687" s="30">
        <f t="shared" si="46"/>
        <v>0</v>
      </c>
      <c r="U687" s="63">
        <f t="shared" si="45"/>
        <v>4.0755745141708103E-3</v>
      </c>
    </row>
    <row r="688" spans="1:21">
      <c r="A688" s="28">
        <v>44326</v>
      </c>
      <c r="B688" s="29">
        <v>1837.5</v>
      </c>
      <c r="C688" s="29">
        <v>27.47900009</v>
      </c>
      <c r="D688" s="29">
        <v>64.91999817</v>
      </c>
      <c r="E688" s="29">
        <v>13359.08008</v>
      </c>
      <c r="F688" s="29">
        <v>4188.4301759999998</v>
      </c>
      <c r="G688" s="29">
        <v>34742.820310000003</v>
      </c>
      <c r="H688" s="29">
        <v>11.527871129999999</v>
      </c>
      <c r="I688" s="29">
        <v>9.4095706939999992</v>
      </c>
      <c r="J688" s="29">
        <v>12.37265015</v>
      </c>
      <c r="L688" s="30">
        <f t="shared" si="46"/>
        <v>3.4951799922910975E-3</v>
      </c>
      <c r="M688" s="30">
        <f t="shared" si="46"/>
        <v>6.190445003311229E-4</v>
      </c>
      <c r="N688" s="30">
        <f t="shared" si="46"/>
        <v>3.081146306407323E-4</v>
      </c>
      <c r="O688" s="30">
        <f t="shared" si="46"/>
        <v>-2.6279848884669832E-2</v>
      </c>
      <c r="P688" s="30">
        <f t="shared" si="46"/>
        <v>-1.0435647350873323E-2</v>
      </c>
      <c r="Q688" s="30">
        <f t="shared" si="46"/>
        <v>-1.0047055437700791E-3</v>
      </c>
      <c r="R688" s="30">
        <f t="shared" si="46"/>
        <v>-1.6569337305359921E-3</v>
      </c>
      <c r="S688" s="30">
        <f t="shared" si="46"/>
        <v>-2.0281788192992867E-3</v>
      </c>
      <c r="T688" s="30">
        <f t="shared" si="46"/>
        <v>-1.5350615962431702E-3</v>
      </c>
      <c r="U688" s="63">
        <f t="shared" si="45"/>
        <v>-6.4653364032965909E-3</v>
      </c>
    </row>
    <row r="689" spans="1:21">
      <c r="A689" s="28">
        <v>44327</v>
      </c>
      <c r="B689" s="29">
        <v>1835.900024</v>
      </c>
      <c r="C689" s="29">
        <v>27.656999590000002</v>
      </c>
      <c r="D689" s="29">
        <v>65.27999878</v>
      </c>
      <c r="E689" s="29">
        <v>13351.26953</v>
      </c>
      <c r="F689" s="29">
        <v>4152.1000979999999</v>
      </c>
      <c r="G689" s="29">
        <v>34269.160159999999</v>
      </c>
      <c r="H689" s="29">
        <v>11.499171260000001</v>
      </c>
      <c r="I689" s="29">
        <v>9.3904495239999992</v>
      </c>
      <c r="J689" s="29">
        <v>12.35362911</v>
      </c>
      <c r="L689" s="30">
        <f t="shared" si="46"/>
        <v>-8.7073523809522158E-4</v>
      </c>
      <c r="M689" s="30">
        <f t="shared" si="46"/>
        <v>6.4776556431098697E-3</v>
      </c>
      <c r="N689" s="30">
        <f t="shared" si="46"/>
        <v>5.5452960589632561E-3</v>
      </c>
      <c r="O689" s="30">
        <f t="shared" si="46"/>
        <v>-5.8466226366093998E-4</v>
      </c>
      <c r="P689" s="30">
        <f t="shared" si="46"/>
        <v>-8.6739127724210219E-3</v>
      </c>
      <c r="Q689" s="30">
        <f t="shared" si="46"/>
        <v>-1.363332469194134E-2</v>
      </c>
      <c r="R689" s="30">
        <f t="shared" si="46"/>
        <v>-2.4896071162099354E-3</v>
      </c>
      <c r="S689" s="30">
        <f t="shared" si="46"/>
        <v>-2.0320980225158047E-3</v>
      </c>
      <c r="T689" s="30">
        <f t="shared" si="46"/>
        <v>-1.5373456591269985E-3</v>
      </c>
      <c r="U689" s="63">
        <f t="shared" si="45"/>
        <v>-2.2930378026485691E-3</v>
      </c>
    </row>
    <row r="690" spans="1:21">
      <c r="A690" s="28">
        <v>44328</v>
      </c>
      <c r="B690" s="29">
        <v>1822.599976</v>
      </c>
      <c r="C690" s="29">
        <v>27.231000900000002</v>
      </c>
      <c r="D690" s="29">
        <v>66.08000183</v>
      </c>
      <c r="E690" s="29">
        <v>13001.62988</v>
      </c>
      <c r="F690" s="29">
        <v>4063.040039</v>
      </c>
      <c r="G690" s="29">
        <v>33587.660159999999</v>
      </c>
      <c r="H690" s="29">
        <v>11.46090221</v>
      </c>
      <c r="I690" s="29">
        <v>9.3617582319999997</v>
      </c>
      <c r="J690" s="29">
        <v>12.306079860000001</v>
      </c>
      <c r="L690" s="30">
        <f t="shared" si="46"/>
        <v>-7.2444293404508864E-3</v>
      </c>
      <c r="M690" s="30">
        <f t="shared" si="46"/>
        <v>-1.5402924985182698E-2</v>
      </c>
      <c r="N690" s="30">
        <f t="shared" si="46"/>
        <v>1.2254948911627483E-2</v>
      </c>
      <c r="O690" s="30">
        <f t="shared" si="46"/>
        <v>-2.6187745608338364E-2</v>
      </c>
      <c r="P690" s="30">
        <f t="shared" si="46"/>
        <v>-2.1449400760569004E-2</v>
      </c>
      <c r="Q690" s="30">
        <f t="shared" si="46"/>
        <v>-1.9886685195030451E-2</v>
      </c>
      <c r="R690" s="30">
        <f t="shared" si="46"/>
        <v>-3.327983307207516E-3</v>
      </c>
      <c r="S690" s="30">
        <f t="shared" si="46"/>
        <v>-3.0553693863825115E-3</v>
      </c>
      <c r="T690" s="30">
        <f t="shared" si="46"/>
        <v>-3.8490106491467779E-3</v>
      </c>
      <c r="U690" s="63">
        <f t="shared" si="45"/>
        <v>-1.294505598740639E-2</v>
      </c>
    </row>
    <row r="691" spans="1:21">
      <c r="A691" s="28">
        <v>44329</v>
      </c>
      <c r="B691" s="29">
        <v>1823.8000489999999</v>
      </c>
      <c r="C691" s="29">
        <v>27.044000629999999</v>
      </c>
      <c r="D691" s="29">
        <v>63.819999690000003</v>
      </c>
      <c r="E691" s="29">
        <v>13109.150390000001</v>
      </c>
      <c r="F691" s="29">
        <v>4112.5</v>
      </c>
      <c r="G691" s="29">
        <v>34021.449220000002</v>
      </c>
      <c r="H691" s="29">
        <v>11.470473289999999</v>
      </c>
      <c r="I691" s="29">
        <v>9.3713197709999996</v>
      </c>
      <c r="J691" s="29">
        <v>12.325101849999999</v>
      </c>
      <c r="L691" s="30">
        <f t="shared" si="46"/>
        <v>6.5844014912896931E-4</v>
      </c>
      <c r="M691" s="30">
        <f t="shared" si="46"/>
        <v>-6.8671831302389297E-3</v>
      </c>
      <c r="N691" s="30">
        <f t="shared" si="46"/>
        <v>-3.4200999960837919E-2</v>
      </c>
      <c r="O691" s="30">
        <f t="shared" si="46"/>
        <v>8.2697716357389428E-3</v>
      </c>
      <c r="P691" s="30">
        <f t="shared" si="46"/>
        <v>1.2173141422493483E-2</v>
      </c>
      <c r="Q691" s="30">
        <f t="shared" si="46"/>
        <v>1.2915131864904561E-2</v>
      </c>
      <c r="R691" s="30">
        <f t="shared" si="46"/>
        <v>8.3510702950140292E-4</v>
      </c>
      <c r="S691" s="30">
        <f t="shared" si="46"/>
        <v>1.0213400905096925E-3</v>
      </c>
      <c r="T691" s="30">
        <f t="shared" si="46"/>
        <v>1.5457391969175838E-3</v>
      </c>
      <c r="U691" s="63">
        <f t="shared" si="45"/>
        <v>1.8220552844493087E-3</v>
      </c>
    </row>
    <row r="692" spans="1:21">
      <c r="A692" s="28">
        <v>44330</v>
      </c>
      <c r="B692" s="29">
        <v>1837.900024</v>
      </c>
      <c r="C692" s="29">
        <v>27.353000640000001</v>
      </c>
      <c r="D692" s="29">
        <v>65.370002749999998</v>
      </c>
      <c r="E692" s="29">
        <v>13393.12012</v>
      </c>
      <c r="F692" s="29">
        <v>4173.8500979999999</v>
      </c>
      <c r="G692" s="29">
        <v>34382.128909999999</v>
      </c>
      <c r="H692" s="29">
        <v>11.499171260000001</v>
      </c>
      <c r="I692" s="29">
        <v>9.3904495239999992</v>
      </c>
      <c r="J692" s="29">
        <v>12.34411907</v>
      </c>
      <c r="L692" s="30">
        <f t="shared" si="46"/>
        <v>7.7310969520651973E-3</v>
      </c>
      <c r="M692" s="30">
        <f t="shared" si="46"/>
        <v>1.1425824685761476E-2</v>
      </c>
      <c r="N692" s="30">
        <f t="shared" si="46"/>
        <v>2.4287105414117827E-2</v>
      </c>
      <c r="O692" s="30">
        <f t="shared" si="46"/>
        <v>2.1661947689349814E-2</v>
      </c>
      <c r="P692" s="30">
        <f t="shared" si="46"/>
        <v>1.4917956960486256E-2</v>
      </c>
      <c r="Q692" s="30">
        <f t="shared" si="46"/>
        <v>1.0601538096383312E-2</v>
      </c>
      <c r="R692" s="30">
        <f t="shared" si="46"/>
        <v>2.5018993789054367E-3</v>
      </c>
      <c r="S692" s="30">
        <f t="shared" si="46"/>
        <v>2.0413083180874647E-3</v>
      </c>
      <c r="T692" s="30">
        <f t="shared" si="46"/>
        <v>1.5429665597448405E-3</v>
      </c>
      <c r="U692" s="63">
        <f t="shared" si="45"/>
        <v>1.1938615720658935E-2</v>
      </c>
    </row>
    <row r="693" spans="1:21">
      <c r="A693" s="28">
        <v>44333</v>
      </c>
      <c r="B693" s="29">
        <v>1867.5</v>
      </c>
      <c r="C693" s="29">
        <v>28.260000229999999</v>
      </c>
      <c r="D693" s="29">
        <v>66.269996640000002</v>
      </c>
      <c r="E693" s="29">
        <v>13312.910159999999</v>
      </c>
      <c r="F693" s="29">
        <v>4163.2900390000004</v>
      </c>
      <c r="G693" s="29">
        <v>34327.789060000003</v>
      </c>
      <c r="H693" s="29">
        <v>11.48960209</v>
      </c>
      <c r="I693" s="29">
        <v>9.3904495239999992</v>
      </c>
      <c r="J693" s="29">
        <v>12.34411907</v>
      </c>
      <c r="L693" s="30">
        <f t="shared" si="46"/>
        <v>1.6105324344889427E-2</v>
      </c>
      <c r="M693" s="30">
        <f t="shared" si="46"/>
        <v>3.315905271005759E-2</v>
      </c>
      <c r="N693" s="30">
        <f t="shared" si="46"/>
        <v>1.3767689339740929E-2</v>
      </c>
      <c r="O693" s="30">
        <f t="shared" si="46"/>
        <v>-5.9888927510044487E-3</v>
      </c>
      <c r="P693" s="30">
        <f t="shared" si="46"/>
        <v>-2.5300522903445311E-3</v>
      </c>
      <c r="Q693" s="30">
        <f t="shared" si="46"/>
        <v>-1.580467868707025E-3</v>
      </c>
      <c r="R693" s="30">
        <f t="shared" si="46"/>
        <v>-8.3216170832134395E-4</v>
      </c>
      <c r="S693" s="30">
        <f t="shared" si="46"/>
        <v>0</v>
      </c>
      <c r="T693" s="30">
        <f t="shared" si="46"/>
        <v>0</v>
      </c>
      <c r="U693" s="63">
        <f t="shared" si="45"/>
        <v>5.4108757492048135E-3</v>
      </c>
    </row>
    <row r="694" spans="1:21">
      <c r="A694" s="28">
        <v>44334</v>
      </c>
      <c r="B694" s="29">
        <v>1867.8000489999999</v>
      </c>
      <c r="C694" s="29">
        <v>28.31399918</v>
      </c>
      <c r="D694" s="29">
        <v>65.489997860000003</v>
      </c>
      <c r="E694" s="29">
        <v>13217.679690000001</v>
      </c>
      <c r="F694" s="29">
        <v>4127.830078</v>
      </c>
      <c r="G694" s="29">
        <v>34060.660159999999</v>
      </c>
      <c r="H694" s="29">
        <v>11.48960209</v>
      </c>
      <c r="I694" s="29">
        <v>9.3808851240000006</v>
      </c>
      <c r="J694" s="29">
        <v>12.34411907</v>
      </c>
      <c r="L694" s="30">
        <f t="shared" si="46"/>
        <v>1.606688085675767E-4</v>
      </c>
      <c r="M694" s="30">
        <f t="shared" si="46"/>
        <v>1.9107908549369501E-3</v>
      </c>
      <c r="N694" s="30">
        <f t="shared" si="46"/>
        <v>-1.1770013875769481E-2</v>
      </c>
      <c r="O694" s="30">
        <f t="shared" si="46"/>
        <v>-7.1532421428132098E-3</v>
      </c>
      <c r="P694" s="30">
        <f t="shared" si="46"/>
        <v>-8.5172929745047643E-3</v>
      </c>
      <c r="Q694" s="30">
        <f t="shared" si="46"/>
        <v>-7.7817100173012133E-3</v>
      </c>
      <c r="R694" s="30">
        <f t="shared" si="46"/>
        <v>0</v>
      </c>
      <c r="S694" s="30">
        <f t="shared" si="46"/>
        <v>-1.0185241905144027E-3</v>
      </c>
      <c r="T694" s="30">
        <f t="shared" si="46"/>
        <v>0</v>
      </c>
      <c r="U694" s="63">
        <f t="shared" si="45"/>
        <v>-4.4161978290654155E-3</v>
      </c>
    </row>
    <row r="695" spans="1:21">
      <c r="A695" s="28">
        <v>44335</v>
      </c>
      <c r="B695" s="29">
        <v>1881.3000489999999</v>
      </c>
      <c r="C695" s="29">
        <v>28.007999420000001</v>
      </c>
      <c r="D695" s="29">
        <v>63.36000061</v>
      </c>
      <c r="E695" s="29">
        <v>13237.910159999999</v>
      </c>
      <c r="F695" s="29">
        <v>4115.6801759999998</v>
      </c>
      <c r="G695" s="29">
        <v>33896.039060000003</v>
      </c>
      <c r="H695" s="29">
        <v>11.470473289999999</v>
      </c>
      <c r="I695" s="29">
        <v>9.3713197709999996</v>
      </c>
      <c r="J695" s="29">
        <v>12.325101849999999</v>
      </c>
      <c r="L695" s="30">
        <f t="shared" si="46"/>
        <v>7.2277543879644135E-3</v>
      </c>
      <c r="M695" s="30">
        <f t="shared" si="46"/>
        <v>-1.0807366280357389E-2</v>
      </c>
      <c r="N695" s="30">
        <f t="shared" si="46"/>
        <v>-3.2524008544837057E-2</v>
      </c>
      <c r="O695" s="30">
        <f t="shared" si="46"/>
        <v>1.5305613749518887E-3</v>
      </c>
      <c r="P695" s="30">
        <f t="shared" si="46"/>
        <v>-2.9434113736307443E-3</v>
      </c>
      <c r="Q695" s="30">
        <f t="shared" si="46"/>
        <v>-4.8331740849029137E-3</v>
      </c>
      <c r="R695" s="30">
        <f t="shared" si="46"/>
        <v>-1.6648792403916035E-3</v>
      </c>
      <c r="S695" s="30">
        <f t="shared" si="46"/>
        <v>-1.0196642292877867E-3</v>
      </c>
      <c r="T695" s="30">
        <f t="shared" si="46"/>
        <v>-1.5405894816923338E-3</v>
      </c>
      <c r="U695" s="63">
        <f t="shared" si="45"/>
        <v>-4.9187589076679717E-3</v>
      </c>
    </row>
    <row r="696" spans="1:21">
      <c r="A696" s="28">
        <v>44336</v>
      </c>
      <c r="B696" s="29">
        <v>1881.8000489999999</v>
      </c>
      <c r="C696" s="29">
        <v>28.05200005</v>
      </c>
      <c r="D696" s="29">
        <v>62.049999239999998</v>
      </c>
      <c r="E696" s="29">
        <v>13494.089840000001</v>
      </c>
      <c r="F696" s="29">
        <v>4159.1201170000004</v>
      </c>
      <c r="G696" s="29">
        <v>34084.148439999997</v>
      </c>
      <c r="H696" s="29">
        <v>11.499171260000001</v>
      </c>
      <c r="I696" s="29">
        <v>9.3904495239999992</v>
      </c>
      <c r="J696" s="29">
        <v>12.35362911</v>
      </c>
      <c r="L696" s="30">
        <f t="shared" si="46"/>
        <v>2.6577366022273452E-4</v>
      </c>
      <c r="M696" s="30">
        <f t="shared" si="46"/>
        <v>1.5710022461861151E-3</v>
      </c>
      <c r="N696" s="30">
        <f t="shared" si="46"/>
        <v>-2.0675526473925676E-2</v>
      </c>
      <c r="O696" s="30">
        <f t="shared" si="46"/>
        <v>1.9351973000548028E-2</v>
      </c>
      <c r="P696" s="30">
        <f t="shared" si="46"/>
        <v>1.0554741656874755E-2</v>
      </c>
      <c r="Q696" s="30">
        <f t="shared" si="46"/>
        <v>5.5495976880077791E-3</v>
      </c>
      <c r="R696" s="30">
        <f t="shared" si="46"/>
        <v>2.5018993789054367E-3</v>
      </c>
      <c r="S696" s="30">
        <f t="shared" si="46"/>
        <v>2.0413083180874647E-3</v>
      </c>
      <c r="T696" s="30">
        <f t="shared" si="46"/>
        <v>2.3145658629994958E-3</v>
      </c>
      <c r="U696" s="63">
        <f t="shared" si="45"/>
        <v>4.9369933865073346E-3</v>
      </c>
    </row>
    <row r="697" spans="1:21">
      <c r="A697" s="28">
        <v>44337</v>
      </c>
      <c r="B697" s="29">
        <v>1876.6999510000001</v>
      </c>
      <c r="C697" s="29">
        <v>27.472999569999999</v>
      </c>
      <c r="D697" s="29">
        <v>63.58000183</v>
      </c>
      <c r="E697" s="29">
        <v>13411.740229999999</v>
      </c>
      <c r="F697" s="29">
        <v>4155.8598629999997</v>
      </c>
      <c r="G697" s="29">
        <v>34207.839840000001</v>
      </c>
      <c r="H697" s="29">
        <v>11.5087347</v>
      </c>
      <c r="I697" s="29">
        <v>9.4000091549999993</v>
      </c>
      <c r="J697" s="29">
        <v>12.35362911</v>
      </c>
      <c r="L697" s="30">
        <f t="shared" si="46"/>
        <v>-2.7102231199909177E-3</v>
      </c>
      <c r="M697" s="30">
        <f t="shared" si="46"/>
        <v>-2.0640256629402165E-2</v>
      </c>
      <c r="N697" s="30">
        <f t="shared" si="46"/>
        <v>2.4657576289117911E-2</v>
      </c>
      <c r="O697" s="30">
        <f t="shared" si="46"/>
        <v>-6.1026427848357434E-3</v>
      </c>
      <c r="P697" s="30">
        <f t="shared" si="46"/>
        <v>-7.8388070271750987E-4</v>
      </c>
      <c r="Q697" s="30">
        <f t="shared" si="46"/>
        <v>3.6290007426102999E-3</v>
      </c>
      <c r="R697" s="30">
        <f t="shared" si="46"/>
        <v>8.3166341154217172E-4</v>
      </c>
      <c r="S697" s="30">
        <f t="shared" si="46"/>
        <v>1.0180163341029225E-3</v>
      </c>
      <c r="T697" s="30">
        <f t="shared" si="46"/>
        <v>0</v>
      </c>
      <c r="U697" s="63">
        <f t="shared" si="45"/>
        <v>-2.0994999986562127E-3</v>
      </c>
    </row>
    <row r="698" spans="1:21">
      <c r="A698" s="28">
        <v>44340</v>
      </c>
      <c r="B698" s="29">
        <v>1884.599976</v>
      </c>
      <c r="C698" s="29">
        <v>27.88699913</v>
      </c>
      <c r="D698" s="29">
        <v>66.050003050000001</v>
      </c>
      <c r="E698" s="29">
        <v>13641.75</v>
      </c>
      <c r="F698" s="29">
        <v>4197.0498049999997</v>
      </c>
      <c r="G698" s="29">
        <v>34393.980470000002</v>
      </c>
      <c r="H698" s="29">
        <v>11.51830292</v>
      </c>
      <c r="I698" s="29">
        <v>9.4095706939999992</v>
      </c>
      <c r="J698" s="29">
        <v>12.37265015</v>
      </c>
      <c r="L698" s="30">
        <f t="shared" si="46"/>
        <v>4.2095301360189907E-3</v>
      </c>
      <c r="M698" s="30">
        <f t="shared" si="46"/>
        <v>1.5069325027474711E-2</v>
      </c>
      <c r="N698" s="30">
        <f t="shared" si="46"/>
        <v>3.8848712628292814E-2</v>
      </c>
      <c r="O698" s="30">
        <f t="shared" si="46"/>
        <v>1.7149882569713393E-2</v>
      </c>
      <c r="P698" s="30">
        <f t="shared" si="46"/>
        <v>9.911292333679933E-3</v>
      </c>
      <c r="Q698" s="30">
        <f t="shared" si="46"/>
        <v>5.4414611057183038E-3</v>
      </c>
      <c r="R698" s="30">
        <f t="shared" si="46"/>
        <v>8.3138765897516897E-4</v>
      </c>
      <c r="S698" s="30">
        <f t="shared" si="46"/>
        <v>1.0171840093275986E-3</v>
      </c>
      <c r="T698" s="30">
        <f t="shared" si="46"/>
        <v>1.5397127298084623E-3</v>
      </c>
      <c r="U698" s="63">
        <f t="shared" si="45"/>
        <v>1.0986175681950828E-2</v>
      </c>
    </row>
    <row r="699" spans="1:21">
      <c r="A699" s="28">
        <v>44341</v>
      </c>
      <c r="B699" s="29">
        <v>1898.099976</v>
      </c>
      <c r="C699" s="29">
        <v>28.03700066</v>
      </c>
      <c r="D699" s="29">
        <v>66.069999690000003</v>
      </c>
      <c r="E699" s="29">
        <v>13657.73047</v>
      </c>
      <c r="F699" s="29">
        <v>4188.1298829999996</v>
      </c>
      <c r="G699" s="29">
        <v>34312.460939999997</v>
      </c>
      <c r="H699" s="29">
        <v>11.54700375</v>
      </c>
      <c r="I699" s="29">
        <v>9.4286937710000007</v>
      </c>
      <c r="J699" s="29">
        <v>12.40118122</v>
      </c>
      <c r="L699" s="30">
        <f t="shared" si="46"/>
        <v>7.1633238734585269E-3</v>
      </c>
      <c r="M699" s="30">
        <f t="shared" si="46"/>
        <v>5.3789053924642172E-3</v>
      </c>
      <c r="N699" s="30">
        <f t="shared" si="46"/>
        <v>3.0275002386992433E-4</v>
      </c>
      <c r="O699" s="30">
        <f t="shared" si="46"/>
        <v>1.1714384151593205E-3</v>
      </c>
      <c r="P699" s="30">
        <f t="shared" si="46"/>
        <v>-2.1252838099213855E-3</v>
      </c>
      <c r="Q699" s="30">
        <f t="shared" si="46"/>
        <v>-2.3701685261788841E-3</v>
      </c>
      <c r="R699" s="30">
        <f t="shared" si="46"/>
        <v>2.4917585688917221E-3</v>
      </c>
      <c r="S699" s="30">
        <f t="shared" si="46"/>
        <v>2.0323006885101247E-3</v>
      </c>
      <c r="T699" s="30">
        <f t="shared" si="46"/>
        <v>2.3059788852106688E-3</v>
      </c>
      <c r="U699" s="63">
        <f t="shared" si="45"/>
        <v>1.2191195229886099E-3</v>
      </c>
    </row>
    <row r="700" spans="1:21">
      <c r="A700" s="28">
        <v>44342</v>
      </c>
      <c r="B700" s="29">
        <v>1901.3000489999999</v>
      </c>
      <c r="C700" s="29">
        <v>27.853000640000001</v>
      </c>
      <c r="D700" s="29">
        <v>66.209999080000003</v>
      </c>
      <c r="E700" s="29">
        <v>13702.740229999999</v>
      </c>
      <c r="F700" s="29">
        <v>4195.9902339999999</v>
      </c>
      <c r="G700" s="29">
        <v>34323.050779999998</v>
      </c>
      <c r="H700" s="29">
        <v>11.53743553</v>
      </c>
      <c r="I700" s="29">
        <v>9.4286937710000007</v>
      </c>
      <c r="J700" s="29">
        <v>12.39167213</v>
      </c>
      <c r="L700" s="30">
        <f t="shared" si="46"/>
        <v>1.6859349035680538E-3</v>
      </c>
      <c r="M700" s="30">
        <f t="shared" si="46"/>
        <v>-6.5627569165238597E-3</v>
      </c>
      <c r="N700" s="30">
        <f t="shared" si="46"/>
        <v>2.1189555116827297E-3</v>
      </c>
      <c r="O700" s="30">
        <f t="shared" si="46"/>
        <v>3.295551929280327E-3</v>
      </c>
      <c r="P700" s="30">
        <f t="shared" si="46"/>
        <v>1.8768164358766715E-3</v>
      </c>
      <c r="Q700" s="30">
        <f t="shared" si="46"/>
        <v>3.0862956808941355E-4</v>
      </c>
      <c r="R700" s="30">
        <f t="shared" ref="O700:T722" si="47">(H700/H699)-1</f>
        <v>-8.2863227614349277E-4</v>
      </c>
      <c r="S700" s="30">
        <f t="shared" si="47"/>
        <v>0</v>
      </c>
      <c r="T700" s="30">
        <f t="shared" si="47"/>
        <v>-7.6678905269633724E-4</v>
      </c>
      <c r="U700" s="63">
        <f t="shared" si="45"/>
        <v>1.2679597434915013E-4</v>
      </c>
    </row>
    <row r="701" spans="1:21">
      <c r="A701" s="28">
        <v>44343</v>
      </c>
      <c r="B701" s="29">
        <v>1895.6999510000001</v>
      </c>
      <c r="C701" s="29">
        <v>27.919000629999999</v>
      </c>
      <c r="D701" s="29">
        <v>66.849998470000003</v>
      </c>
      <c r="E701" s="29">
        <v>13657.849609999999</v>
      </c>
      <c r="F701" s="29">
        <v>4200.8798829999996</v>
      </c>
      <c r="G701" s="29">
        <v>34464.640630000002</v>
      </c>
      <c r="H701" s="29">
        <v>11.527871129999999</v>
      </c>
      <c r="I701" s="29">
        <v>9.4191360470000003</v>
      </c>
      <c r="J701" s="29">
        <v>12.37265015</v>
      </c>
      <c r="L701" s="30">
        <f t="shared" ref="L701:T743" si="48">(B701/B700)-1</f>
        <v>-2.9454046471756312E-3</v>
      </c>
      <c r="M701" s="30">
        <f t="shared" si="48"/>
        <v>2.3695827553034121E-3</v>
      </c>
      <c r="N701" s="30">
        <f t="shared" si="48"/>
        <v>9.6662044841098194E-3</v>
      </c>
      <c r="O701" s="30">
        <f t="shared" si="47"/>
        <v>-3.2760323297758021E-3</v>
      </c>
      <c r="P701" s="30">
        <f t="shared" si="47"/>
        <v>1.165314675992013E-3</v>
      </c>
      <c r="Q701" s="30">
        <f t="shared" si="47"/>
        <v>4.1252116808483397E-3</v>
      </c>
      <c r="R701" s="30">
        <f t="shared" si="47"/>
        <v>-8.2898838092149152E-4</v>
      </c>
      <c r="S701" s="30">
        <f t="shared" si="47"/>
        <v>-1.0136848467172666E-3</v>
      </c>
      <c r="T701" s="30">
        <f t="shared" si="47"/>
        <v>-1.5350615962431702E-3</v>
      </c>
      <c r="U701" s="63">
        <f t="shared" si="45"/>
        <v>7.1481125627373724E-4</v>
      </c>
    </row>
    <row r="702" spans="1:21">
      <c r="A702" s="28">
        <v>44344</v>
      </c>
      <c r="B702" s="29">
        <v>1902.5</v>
      </c>
      <c r="C702" s="29">
        <v>27.993000030000001</v>
      </c>
      <c r="D702" s="29">
        <v>66.319999690000003</v>
      </c>
      <c r="E702" s="29">
        <v>13686.509770000001</v>
      </c>
      <c r="F702" s="29">
        <v>4204.1098629999997</v>
      </c>
      <c r="G702" s="29">
        <v>34529.449220000002</v>
      </c>
      <c r="H702" s="29">
        <v>11.544155119999999</v>
      </c>
      <c r="I702" s="29">
        <v>9.4296655650000005</v>
      </c>
      <c r="J702" s="29">
        <v>12.375507349999999</v>
      </c>
      <c r="L702" s="30">
        <f t="shared" si="48"/>
        <v>3.587091404635423E-3</v>
      </c>
      <c r="M702" s="30">
        <f t="shared" si="48"/>
        <v>2.6505031817107838E-3</v>
      </c>
      <c r="N702" s="30">
        <f t="shared" si="48"/>
        <v>-7.9281793886329943E-3</v>
      </c>
      <c r="O702" s="30">
        <f t="shared" si="47"/>
        <v>2.0984386867912708E-3</v>
      </c>
      <c r="P702" s="30">
        <f t="shared" si="47"/>
        <v>7.6888177952216807E-4</v>
      </c>
      <c r="Q702" s="30">
        <f t="shared" si="47"/>
        <v>1.8804371325313873E-3</v>
      </c>
      <c r="R702" s="30">
        <f t="shared" si="47"/>
        <v>1.4125756452656457E-3</v>
      </c>
      <c r="S702" s="30">
        <f t="shared" si="47"/>
        <v>1.1178857537952336E-3</v>
      </c>
      <c r="T702" s="30">
        <f t="shared" si="47"/>
        <v>2.3092869881224942E-4</v>
      </c>
      <c r="U702" s="63">
        <f t="shared" si="45"/>
        <v>7.4658071779186983E-4</v>
      </c>
    </row>
    <row r="703" spans="1:21">
      <c r="A703" s="28">
        <v>44348</v>
      </c>
      <c r="B703" s="29">
        <v>1902.900024</v>
      </c>
      <c r="C703" s="29">
        <v>28.083000179999999</v>
      </c>
      <c r="D703" s="29">
        <v>67.72000122</v>
      </c>
      <c r="E703" s="29">
        <v>13654.589840000001</v>
      </c>
      <c r="F703" s="29">
        <v>4202.0400390000004</v>
      </c>
      <c r="G703" s="29">
        <v>34575.308590000001</v>
      </c>
      <c r="H703" s="29">
        <v>11.53457642</v>
      </c>
      <c r="I703" s="29">
        <v>9.4296655650000005</v>
      </c>
      <c r="J703" s="29">
        <v>12.385038379999999</v>
      </c>
      <c r="L703" s="30">
        <f t="shared" si="48"/>
        <v>2.1026228646525702E-4</v>
      </c>
      <c r="M703" s="30">
        <f t="shared" si="48"/>
        <v>3.2150948416942438E-3</v>
      </c>
      <c r="N703" s="30">
        <f t="shared" si="48"/>
        <v>2.1109793976840097E-2</v>
      </c>
      <c r="O703" s="30">
        <f t="shared" si="47"/>
        <v>-2.3322184060370343E-3</v>
      </c>
      <c r="P703" s="30">
        <f t="shared" si="47"/>
        <v>-4.923334706867788E-4</v>
      </c>
      <c r="Q703" s="30">
        <f t="shared" si="47"/>
        <v>1.3281234145325893E-3</v>
      </c>
      <c r="R703" s="30">
        <f t="shared" si="47"/>
        <v>-8.2974456774265182E-4</v>
      </c>
      <c r="S703" s="30">
        <f t="shared" si="47"/>
        <v>0</v>
      </c>
      <c r="T703" s="30">
        <f t="shared" si="47"/>
        <v>7.7015266772062496E-4</v>
      </c>
      <c r="U703" s="63">
        <f t="shared" si="45"/>
        <v>1.7588519894839022E-3</v>
      </c>
    </row>
    <row r="704" spans="1:21">
      <c r="A704" s="28">
        <v>44349</v>
      </c>
      <c r="B704" s="29">
        <v>1907.5</v>
      </c>
      <c r="C704" s="29">
        <v>28.18600082</v>
      </c>
      <c r="D704" s="29">
        <v>68.83000183</v>
      </c>
      <c r="E704" s="29">
        <v>13675.79004</v>
      </c>
      <c r="F704" s="29">
        <v>4208.1201170000004</v>
      </c>
      <c r="G704" s="29">
        <v>34600.378909999999</v>
      </c>
      <c r="H704" s="29">
        <v>11.544155119999999</v>
      </c>
      <c r="I704" s="29">
        <v>9.4296655650000005</v>
      </c>
      <c r="J704" s="29">
        <v>12.39456272</v>
      </c>
      <c r="L704" s="30">
        <f t="shared" si="48"/>
        <v>2.4173503294884213E-3</v>
      </c>
      <c r="M704" s="30">
        <f t="shared" si="48"/>
        <v>3.6677220859526738E-3</v>
      </c>
      <c r="N704" s="30">
        <f t="shared" si="48"/>
        <v>1.6391030567084242E-2</v>
      </c>
      <c r="O704" s="30">
        <f t="shared" si="47"/>
        <v>1.5526061381863077E-3</v>
      </c>
      <c r="P704" s="30">
        <f t="shared" si="47"/>
        <v>1.4469348087047251E-3</v>
      </c>
      <c r="Q704" s="30">
        <f t="shared" si="47"/>
        <v>7.2509316684010727E-4</v>
      </c>
      <c r="R704" s="30">
        <f t="shared" si="47"/>
        <v>8.3043361552403994E-4</v>
      </c>
      <c r="S704" s="30">
        <f t="shared" si="47"/>
        <v>0</v>
      </c>
      <c r="T704" s="30">
        <f t="shared" si="47"/>
        <v>7.6901982115629153E-4</v>
      </c>
      <c r="U704" s="63">
        <f t="shared" si="45"/>
        <v>2.6887522571421283E-3</v>
      </c>
    </row>
    <row r="705" spans="1:21">
      <c r="A705" s="28">
        <v>44350</v>
      </c>
      <c r="B705" s="29">
        <v>1871.1999510000001</v>
      </c>
      <c r="C705" s="29">
        <v>27.459999079999999</v>
      </c>
      <c r="D705" s="29">
        <v>68.809997559999999</v>
      </c>
      <c r="E705" s="29">
        <v>13529.679690000001</v>
      </c>
      <c r="F705" s="29">
        <v>4192.8500979999999</v>
      </c>
      <c r="G705" s="29">
        <v>34577.039060000003</v>
      </c>
      <c r="H705" s="29">
        <v>11.524994850000001</v>
      </c>
      <c r="I705" s="29">
        <v>9.4200887679999994</v>
      </c>
      <c r="J705" s="29">
        <v>12.365981100000001</v>
      </c>
      <c r="L705" s="30">
        <f t="shared" si="48"/>
        <v>-1.9030169855832169E-2</v>
      </c>
      <c r="M705" s="30">
        <f t="shared" si="48"/>
        <v>-2.5757529230072573E-2</v>
      </c>
      <c r="N705" s="30">
        <f t="shared" si="48"/>
        <v>-2.9063300113529866E-4</v>
      </c>
      <c r="O705" s="30">
        <f t="shared" si="47"/>
        <v>-1.0683869054193162E-2</v>
      </c>
      <c r="P705" s="30">
        <f t="shared" si="47"/>
        <v>-3.6287032155551957E-3</v>
      </c>
      <c r="Q705" s="30">
        <f t="shared" si="47"/>
        <v>-6.7455475157385258E-4</v>
      </c>
      <c r="R705" s="30">
        <f t="shared" si="47"/>
        <v>-1.6597377461433638E-3</v>
      </c>
      <c r="S705" s="30">
        <f t="shared" si="47"/>
        <v>-1.0156030385157777E-3</v>
      </c>
      <c r="T705" s="30">
        <f t="shared" si="47"/>
        <v>-2.3059805049741033E-3</v>
      </c>
      <c r="U705" s="63">
        <f t="shared" si="45"/>
        <v>-7.7781238399964384E-3</v>
      </c>
    </row>
    <row r="706" spans="1:21">
      <c r="A706" s="28">
        <v>44351</v>
      </c>
      <c r="B706" s="29">
        <v>1889.8000489999999</v>
      </c>
      <c r="C706" s="29">
        <v>27.878999709999999</v>
      </c>
      <c r="D706" s="29">
        <v>69.620002749999998</v>
      </c>
      <c r="E706" s="29">
        <v>13770.76953</v>
      </c>
      <c r="F706" s="29">
        <v>4229.8901370000003</v>
      </c>
      <c r="G706" s="29">
        <v>34756.390630000002</v>
      </c>
      <c r="H706" s="29">
        <v>11.56331825</v>
      </c>
      <c r="I706" s="29">
        <v>9.4488153459999999</v>
      </c>
      <c r="J706" s="29">
        <v>12.41361809</v>
      </c>
      <c r="L706" s="30">
        <f t="shared" si="48"/>
        <v>9.9401979943722907E-3</v>
      </c>
      <c r="M706" s="30">
        <f t="shared" si="48"/>
        <v>1.5258581356077716E-2</v>
      </c>
      <c r="N706" s="30">
        <f t="shared" si="48"/>
        <v>1.1771620676104488E-2</v>
      </c>
      <c r="O706" s="30">
        <f t="shared" si="47"/>
        <v>1.7819330946777123E-2</v>
      </c>
      <c r="P706" s="30">
        <f t="shared" si="47"/>
        <v>8.8340956948755878E-3</v>
      </c>
      <c r="Q706" s="30">
        <f t="shared" si="47"/>
        <v>5.1870135464398004E-3</v>
      </c>
      <c r="R706" s="30">
        <f t="shared" si="47"/>
        <v>3.3252422668110793E-3</v>
      </c>
      <c r="S706" s="30">
        <f t="shared" si="47"/>
        <v>3.0495018367113769E-3</v>
      </c>
      <c r="T706" s="30">
        <f t="shared" si="47"/>
        <v>3.8522612653839605E-3</v>
      </c>
      <c r="U706" s="63">
        <f t="shared" si="45"/>
        <v>9.5928195466084987E-3</v>
      </c>
    </row>
    <row r="707" spans="1:21">
      <c r="A707" s="28">
        <v>44354</v>
      </c>
      <c r="B707" s="29">
        <v>1896.8000489999999</v>
      </c>
      <c r="C707" s="29">
        <v>28.000999449999998</v>
      </c>
      <c r="D707" s="29">
        <v>69.230003359999998</v>
      </c>
      <c r="E707" s="29">
        <v>13802.889649999999</v>
      </c>
      <c r="F707" s="29">
        <v>4226.5200199999999</v>
      </c>
      <c r="G707" s="29">
        <v>34630.238279999998</v>
      </c>
      <c r="H707" s="29">
        <v>11.55373573</v>
      </c>
      <c r="I707" s="29">
        <v>9.4392366410000008</v>
      </c>
      <c r="J707" s="29">
        <v>12.40409088</v>
      </c>
      <c r="L707" s="30">
        <f t="shared" si="48"/>
        <v>3.7040955754572558E-3</v>
      </c>
      <c r="M707" s="30">
        <f t="shared" si="48"/>
        <v>4.3760443799651938E-3</v>
      </c>
      <c r="N707" s="30">
        <f t="shared" si="48"/>
        <v>-5.6018295690171138E-3</v>
      </c>
      <c r="O707" s="30">
        <f t="shared" si="47"/>
        <v>2.3324854816590967E-3</v>
      </c>
      <c r="P707" s="30">
        <f t="shared" si="47"/>
        <v>-7.9673866007090588E-4</v>
      </c>
      <c r="Q707" s="30">
        <f t="shared" si="47"/>
        <v>-3.6296159558960595E-3</v>
      </c>
      <c r="R707" s="30">
        <f t="shared" si="47"/>
        <v>-8.2869984141453745E-4</v>
      </c>
      <c r="S707" s="30">
        <f t="shared" si="47"/>
        <v>-1.0137466602153644E-3</v>
      </c>
      <c r="T707" s="30">
        <f t="shared" si="47"/>
        <v>-7.6748051461927869E-4</v>
      </c>
      <c r="U707" s="63">
        <f t="shared" si="45"/>
        <v>1.3057657692672425E-4</v>
      </c>
    </row>
    <row r="708" spans="1:21">
      <c r="A708" s="28">
        <v>44355</v>
      </c>
      <c r="B708" s="29">
        <v>1892.1999510000001</v>
      </c>
      <c r="C708" s="29">
        <v>27.715000150000002</v>
      </c>
      <c r="D708" s="29">
        <v>70.050003050000001</v>
      </c>
      <c r="E708" s="29">
        <v>13810.860350000001</v>
      </c>
      <c r="F708" s="29">
        <v>4227.2597660000001</v>
      </c>
      <c r="G708" s="29">
        <v>34599.820310000003</v>
      </c>
      <c r="H708" s="29">
        <v>11.572896</v>
      </c>
      <c r="I708" s="29">
        <v>9.4583864210000002</v>
      </c>
      <c r="J708" s="29">
        <v>12.41361809</v>
      </c>
      <c r="L708" s="30">
        <f t="shared" si="48"/>
        <v>-2.4251886762788333E-3</v>
      </c>
      <c r="M708" s="30">
        <f t="shared" si="48"/>
        <v>-1.0213896132910905E-2</v>
      </c>
      <c r="N708" s="30">
        <f t="shared" si="48"/>
        <v>1.1844570998154724E-2</v>
      </c>
      <c r="O708" s="30">
        <f t="shared" si="47"/>
        <v>5.7746603806263508E-4</v>
      </c>
      <c r="P708" s="30">
        <f t="shared" si="47"/>
        <v>1.7502484230513815E-4</v>
      </c>
      <c r="Q708" s="30">
        <f t="shared" si="47"/>
        <v>-8.7836444421929283E-4</v>
      </c>
      <c r="R708" s="30">
        <f t="shared" si="47"/>
        <v>1.6583614553558057E-3</v>
      </c>
      <c r="S708" s="30">
        <f t="shared" si="47"/>
        <v>2.0287424426697065E-3</v>
      </c>
      <c r="T708" s="30">
        <f t="shared" si="47"/>
        <v>7.6806999337297732E-4</v>
      </c>
      <c r="U708" s="63">
        <f t="shared" ref="U708:U771" si="49">SUMPRODUCT($L$2:$T$2,L708:T708)</f>
        <v>-2.9299034472815056E-4</v>
      </c>
    </row>
    <row r="709" spans="1:21">
      <c r="A709" s="28">
        <v>44356</v>
      </c>
      <c r="B709" s="29">
        <v>1893.1999510000001</v>
      </c>
      <c r="C709" s="29">
        <v>27.98500061</v>
      </c>
      <c r="D709" s="29">
        <v>69.959999080000003</v>
      </c>
      <c r="E709" s="29">
        <v>13814.940430000001</v>
      </c>
      <c r="F709" s="29">
        <v>4219.5498049999997</v>
      </c>
      <c r="G709" s="29">
        <v>34447.140630000002</v>
      </c>
      <c r="H709" s="29">
        <v>11.60163784</v>
      </c>
      <c r="I709" s="29">
        <v>9.4679574970000004</v>
      </c>
      <c r="J709" s="29">
        <v>12.442199710000001</v>
      </c>
      <c r="L709" s="30">
        <f t="shared" si="48"/>
        <v>5.2848537464100787E-4</v>
      </c>
      <c r="M709" s="30">
        <f t="shared" si="48"/>
        <v>9.7420335031099814E-3</v>
      </c>
      <c r="N709" s="30">
        <f t="shared" si="48"/>
        <v>-1.2848531917373229E-3</v>
      </c>
      <c r="O709" s="30">
        <f t="shared" si="47"/>
        <v>2.9542547651639772E-4</v>
      </c>
      <c r="P709" s="30">
        <f t="shared" si="47"/>
        <v>-1.8238673341089973E-3</v>
      </c>
      <c r="Q709" s="30">
        <f t="shared" si="47"/>
        <v>-4.4127304313159588E-3</v>
      </c>
      <c r="R709" s="30">
        <f t="shared" si="47"/>
        <v>2.4835477653994964E-3</v>
      </c>
      <c r="S709" s="30">
        <f t="shared" si="47"/>
        <v>1.0119142498503653E-3</v>
      </c>
      <c r="T709" s="30">
        <f t="shared" si="47"/>
        <v>2.3024407382907786E-3</v>
      </c>
      <c r="U709" s="63">
        <f t="shared" si="49"/>
        <v>1.2022027677473003E-3</v>
      </c>
    </row>
    <row r="710" spans="1:21">
      <c r="A710" s="28">
        <v>44357</v>
      </c>
      <c r="B710" s="29">
        <v>1894.1999510000001</v>
      </c>
      <c r="C710" s="29">
        <v>28.01499939</v>
      </c>
      <c r="D710" s="29">
        <v>70.290000919999997</v>
      </c>
      <c r="E710" s="29">
        <v>13960.349609999999</v>
      </c>
      <c r="F710" s="29">
        <v>4239.1801759999998</v>
      </c>
      <c r="G710" s="29">
        <v>34466.238279999998</v>
      </c>
      <c r="H710" s="29">
        <v>11.620798110000001</v>
      </c>
      <c r="I710" s="29">
        <v>9.4871082310000006</v>
      </c>
      <c r="J710" s="29">
        <v>12.46125221</v>
      </c>
      <c r="L710" s="30">
        <f t="shared" si="48"/>
        <v>5.2820622537619322E-4</v>
      </c>
      <c r="M710" s="30">
        <f t="shared" si="48"/>
        <v>1.0719592405254996E-3</v>
      </c>
      <c r="N710" s="30">
        <f t="shared" si="48"/>
        <v>4.7170074948490459E-3</v>
      </c>
      <c r="O710" s="30">
        <f t="shared" si="47"/>
        <v>1.0525501773734236E-2</v>
      </c>
      <c r="P710" s="30">
        <f t="shared" si="47"/>
        <v>4.6522429896997952E-3</v>
      </c>
      <c r="Q710" s="30">
        <f t="shared" si="47"/>
        <v>5.5440450646182526E-4</v>
      </c>
      <c r="R710" s="30">
        <f t="shared" si="47"/>
        <v>1.65151423137333E-3</v>
      </c>
      <c r="S710" s="30">
        <f t="shared" si="47"/>
        <v>2.0226890547478948E-3</v>
      </c>
      <c r="T710" s="30">
        <f t="shared" si="47"/>
        <v>1.5312806773777332E-3</v>
      </c>
      <c r="U710" s="63">
        <f t="shared" si="49"/>
        <v>3.696189511277747E-3</v>
      </c>
    </row>
    <row r="711" spans="1:21">
      <c r="A711" s="28">
        <v>44358</v>
      </c>
      <c r="B711" s="29">
        <v>1877.400024</v>
      </c>
      <c r="C711" s="29">
        <v>28.131000520000001</v>
      </c>
      <c r="D711" s="29">
        <v>70.910003660000001</v>
      </c>
      <c r="E711" s="29">
        <v>13998.299800000001</v>
      </c>
      <c r="F711" s="29">
        <v>4247.4399409999996</v>
      </c>
      <c r="G711" s="29">
        <v>34479.601560000003</v>
      </c>
      <c r="H711" s="29">
        <v>11.620798110000001</v>
      </c>
      <c r="I711" s="29">
        <v>9.4871082310000006</v>
      </c>
      <c r="J711" s="29">
        <v>12.451725010000001</v>
      </c>
      <c r="L711" s="30">
        <f t="shared" si="48"/>
        <v>-8.8691412916207524E-3</v>
      </c>
      <c r="M711" s="30">
        <f t="shared" si="48"/>
        <v>4.1406793691169952E-3</v>
      </c>
      <c r="N711" s="30">
        <f t="shared" si="48"/>
        <v>8.8206392358090024E-3</v>
      </c>
      <c r="O711" s="30">
        <f t="shared" si="47"/>
        <v>2.7184269062157096E-3</v>
      </c>
      <c r="P711" s="30">
        <f t="shared" si="47"/>
        <v>1.9484345220244226E-3</v>
      </c>
      <c r="Q711" s="30">
        <f t="shared" si="47"/>
        <v>3.8772087314664638E-4</v>
      </c>
      <c r="R711" s="30">
        <f t="shared" si="47"/>
        <v>0</v>
      </c>
      <c r="S711" s="30">
        <f t="shared" si="47"/>
        <v>0</v>
      </c>
      <c r="T711" s="30">
        <f t="shared" si="47"/>
        <v>-7.6454595729580355E-4</v>
      </c>
      <c r="U711" s="63">
        <f t="shared" si="49"/>
        <v>1.6593248698391378E-3</v>
      </c>
    </row>
    <row r="712" spans="1:21">
      <c r="A712" s="28">
        <v>44361</v>
      </c>
      <c r="B712" s="29">
        <v>1864</v>
      </c>
      <c r="C712" s="29">
        <v>28.024000170000001</v>
      </c>
      <c r="D712" s="29">
        <v>70.879997250000002</v>
      </c>
      <c r="E712" s="29">
        <v>14128.200199999999</v>
      </c>
      <c r="F712" s="29">
        <v>4255.1499020000001</v>
      </c>
      <c r="G712" s="29">
        <v>34393.75</v>
      </c>
      <c r="H712" s="29">
        <v>11.59205914</v>
      </c>
      <c r="I712" s="29">
        <v>9.4679574970000004</v>
      </c>
      <c r="J712" s="29">
        <v>12.432672500000001</v>
      </c>
      <c r="L712" s="30">
        <f t="shared" si="48"/>
        <v>-7.1375433198567206E-3</v>
      </c>
      <c r="M712" s="30">
        <f t="shared" si="48"/>
        <v>-3.8036453742171794E-3</v>
      </c>
      <c r="N712" s="30">
        <f t="shared" si="48"/>
        <v>-4.2316187351887358E-4</v>
      </c>
      <c r="O712" s="30">
        <f t="shared" si="47"/>
        <v>9.27972695655499E-3</v>
      </c>
      <c r="P712" s="30">
        <f t="shared" si="47"/>
        <v>1.8152018879837861E-3</v>
      </c>
      <c r="Q712" s="30">
        <f t="shared" si="47"/>
        <v>-2.4899232043215092E-3</v>
      </c>
      <c r="R712" s="30">
        <f t="shared" si="47"/>
        <v>-2.4730633582963346E-3</v>
      </c>
      <c r="S712" s="30">
        <f t="shared" si="47"/>
        <v>-2.0186060424001173E-3</v>
      </c>
      <c r="T712" s="30">
        <f t="shared" si="47"/>
        <v>-1.530110083920011E-3</v>
      </c>
      <c r="U712" s="63">
        <f t="shared" si="49"/>
        <v>6.2852140157412925E-5</v>
      </c>
    </row>
    <row r="713" spans="1:21">
      <c r="A713" s="28">
        <v>44362</v>
      </c>
      <c r="B713" s="29">
        <v>1854.5</v>
      </c>
      <c r="C713" s="29">
        <v>27.679000850000001</v>
      </c>
      <c r="D713" s="29">
        <v>72.120002749999998</v>
      </c>
      <c r="E713" s="29">
        <v>14030.410159999999</v>
      </c>
      <c r="F713" s="29">
        <v>4246.5898440000001</v>
      </c>
      <c r="G713" s="29">
        <v>34299.328130000002</v>
      </c>
      <c r="H713" s="29">
        <v>11.59205914</v>
      </c>
      <c r="I713" s="29">
        <v>9.4679574970000004</v>
      </c>
      <c r="J713" s="29">
        <v>12.432672500000001</v>
      </c>
      <c r="L713" s="30">
        <f t="shared" si="48"/>
        <v>-5.0965665236051283E-3</v>
      </c>
      <c r="M713" s="30">
        <f t="shared" si="48"/>
        <v>-1.2310852052068055E-2</v>
      </c>
      <c r="N713" s="30">
        <f t="shared" si="48"/>
        <v>1.7494434933827518E-2</v>
      </c>
      <c r="O713" s="30">
        <f t="shared" si="47"/>
        <v>-6.9216204906269452E-3</v>
      </c>
      <c r="P713" s="30">
        <f t="shared" si="47"/>
        <v>-2.0116936411515018E-3</v>
      </c>
      <c r="Q713" s="30">
        <f t="shared" si="47"/>
        <v>-2.7453205887697507E-3</v>
      </c>
      <c r="R713" s="30">
        <f t="shared" si="47"/>
        <v>0</v>
      </c>
      <c r="S713" s="30">
        <f t="shared" si="47"/>
        <v>0</v>
      </c>
      <c r="T713" s="30">
        <f t="shared" si="47"/>
        <v>0</v>
      </c>
      <c r="U713" s="63">
        <f t="shared" si="49"/>
        <v>-2.3179319899469288E-3</v>
      </c>
    </row>
    <row r="714" spans="1:21">
      <c r="A714" s="28">
        <v>44363</v>
      </c>
      <c r="B714" s="29">
        <v>1859.5</v>
      </c>
      <c r="C714" s="29">
        <v>27.799999239999998</v>
      </c>
      <c r="D714" s="29">
        <v>72.150001529999997</v>
      </c>
      <c r="E714" s="29">
        <v>13983.009770000001</v>
      </c>
      <c r="F714" s="29">
        <v>4223.7001950000003</v>
      </c>
      <c r="G714" s="29">
        <v>34033.671880000002</v>
      </c>
      <c r="H714" s="29">
        <v>11.55373573</v>
      </c>
      <c r="I714" s="29">
        <v>9.4488153459999999</v>
      </c>
      <c r="J714" s="29">
        <v>12.39456272</v>
      </c>
      <c r="L714" s="30">
        <f t="shared" si="48"/>
        <v>2.6961445133459883E-3</v>
      </c>
      <c r="M714" s="30">
        <f t="shared" si="48"/>
        <v>4.3714869136974865E-3</v>
      </c>
      <c r="N714" s="30">
        <f t="shared" si="48"/>
        <v>4.1595644559233591E-4</v>
      </c>
      <c r="O714" s="30">
        <f t="shared" si="47"/>
        <v>-3.3784037287188928E-3</v>
      </c>
      <c r="P714" s="30">
        <f t="shared" si="47"/>
        <v>-5.3901247449975598E-3</v>
      </c>
      <c r="Q714" s="30">
        <f t="shared" si="47"/>
        <v>-7.7452318888906468E-3</v>
      </c>
      <c r="R714" s="30">
        <f t="shared" si="47"/>
        <v>-3.306005390169231E-3</v>
      </c>
      <c r="S714" s="30">
        <f t="shared" si="47"/>
        <v>-2.0217825234286613E-3</v>
      </c>
      <c r="T714" s="30">
        <f t="shared" si="47"/>
        <v>-3.0652926794300095E-3</v>
      </c>
      <c r="U714" s="63">
        <f t="shared" si="49"/>
        <v>-2.1190259182547163E-3</v>
      </c>
    </row>
    <row r="715" spans="1:21">
      <c r="A715" s="28">
        <v>44364</v>
      </c>
      <c r="B715" s="29">
        <v>1773.8000489999999</v>
      </c>
      <c r="C715" s="29">
        <v>25.84399986</v>
      </c>
      <c r="D715" s="29">
        <v>71.040000919999997</v>
      </c>
      <c r="E715" s="29">
        <v>14163.809569999999</v>
      </c>
      <c r="F715" s="29">
        <v>4221.8598629999997</v>
      </c>
      <c r="G715" s="29">
        <v>33823.449220000002</v>
      </c>
      <c r="H715" s="29">
        <v>11.59205914</v>
      </c>
      <c r="I715" s="29">
        <v>9.4775314329999993</v>
      </c>
      <c r="J715" s="29">
        <v>12.42314339</v>
      </c>
      <c r="L715" s="30">
        <f t="shared" si="48"/>
        <v>-4.6087631621403613E-2</v>
      </c>
      <c r="M715" s="30">
        <f t="shared" si="48"/>
        <v>-7.035969185155988E-2</v>
      </c>
      <c r="N715" s="30">
        <f t="shared" si="48"/>
        <v>-1.5384623512980311E-2</v>
      </c>
      <c r="O715" s="30">
        <f t="shared" si="47"/>
        <v>1.2929963074752138E-2</v>
      </c>
      <c r="P715" s="30">
        <f t="shared" si="47"/>
        <v>-4.3571558468546989E-4</v>
      </c>
      <c r="Q715" s="30">
        <f t="shared" si="47"/>
        <v>-6.176902120383243E-3</v>
      </c>
      <c r="R715" s="30">
        <f t="shared" si="47"/>
        <v>3.3169713152163549E-3</v>
      </c>
      <c r="S715" s="30">
        <f t="shared" si="47"/>
        <v>3.0391203498496555E-3</v>
      </c>
      <c r="T715" s="30">
        <f t="shared" si="47"/>
        <v>2.3059038584622993E-3</v>
      </c>
      <c r="U715" s="63">
        <f t="shared" si="49"/>
        <v>-1.2467261875310739E-2</v>
      </c>
    </row>
    <row r="716" spans="1:21">
      <c r="A716" s="28">
        <v>44365</v>
      </c>
      <c r="B716" s="29">
        <v>1767.900024</v>
      </c>
      <c r="C716" s="29">
        <v>25.958000179999999</v>
      </c>
      <c r="D716" s="29">
        <v>71.63999939</v>
      </c>
      <c r="E716" s="29">
        <v>14049.58008</v>
      </c>
      <c r="F716" s="29">
        <v>4166.4501950000003</v>
      </c>
      <c r="G716" s="29">
        <v>33290.078130000002</v>
      </c>
      <c r="H716" s="29">
        <v>11.63037872</v>
      </c>
      <c r="I716" s="29">
        <v>9.5062522890000007</v>
      </c>
      <c r="J716" s="29">
        <v>12.46125221</v>
      </c>
      <c r="L716" s="30">
        <f t="shared" si="48"/>
        <v>-3.3262063575464351E-3</v>
      </c>
      <c r="M716" s="30">
        <f t="shared" si="48"/>
        <v>4.4110942817501275E-3</v>
      </c>
      <c r="N716" s="30">
        <f t="shared" si="48"/>
        <v>8.4459242994052719E-3</v>
      </c>
      <c r="O716" s="30">
        <f t="shared" si="47"/>
        <v>-8.0648846227039384E-3</v>
      </c>
      <c r="P716" s="30">
        <f t="shared" si="47"/>
        <v>-1.3124468788176635E-2</v>
      </c>
      <c r="Q716" s="30">
        <f t="shared" si="47"/>
        <v>-1.5769269613242654E-2</v>
      </c>
      <c r="R716" s="30">
        <f t="shared" si="47"/>
        <v>3.3056749915787442E-3</v>
      </c>
      <c r="S716" s="30">
        <f t="shared" si="47"/>
        <v>3.0304152724831557E-3</v>
      </c>
      <c r="T716" s="30">
        <f t="shared" si="47"/>
        <v>3.0675666217194753E-3</v>
      </c>
      <c r="U716" s="63">
        <f t="shared" si="49"/>
        <v>-3.5183224502640677E-3</v>
      </c>
    </row>
    <row r="717" spans="1:21">
      <c r="A717" s="28">
        <v>44368</v>
      </c>
      <c r="B717" s="29">
        <v>1781.8000489999999</v>
      </c>
      <c r="C717" s="29">
        <v>26.01499939</v>
      </c>
      <c r="D717" s="29">
        <v>73.660003660000001</v>
      </c>
      <c r="E717" s="29">
        <v>14137.23047</v>
      </c>
      <c r="F717" s="29">
        <v>4224.7900390000004</v>
      </c>
      <c r="G717" s="29">
        <v>33876.96875</v>
      </c>
      <c r="H717" s="29">
        <v>11.59205914</v>
      </c>
      <c r="I717" s="29">
        <v>9.4775314329999993</v>
      </c>
      <c r="J717" s="29">
        <v>12.432672500000001</v>
      </c>
      <c r="L717" s="30">
        <f t="shared" si="48"/>
        <v>7.862449692460638E-3</v>
      </c>
      <c r="M717" s="30">
        <f t="shared" si="48"/>
        <v>2.1958243934336874E-3</v>
      </c>
      <c r="N717" s="30">
        <f t="shared" si="48"/>
        <v>2.8196598090451275E-2</v>
      </c>
      <c r="O717" s="30">
        <f t="shared" si="47"/>
        <v>6.2386483795890957E-3</v>
      </c>
      <c r="P717" s="30">
        <f t="shared" si="47"/>
        <v>1.4002290023774178E-2</v>
      </c>
      <c r="Q717" s="30">
        <f t="shared" si="47"/>
        <v>1.7629595752468585E-2</v>
      </c>
      <c r="R717" s="30">
        <f t="shared" si="47"/>
        <v>-3.29478350813317E-3</v>
      </c>
      <c r="S717" s="30">
        <f t="shared" si="47"/>
        <v>-3.0212596012453297E-3</v>
      </c>
      <c r="T717" s="30">
        <f t="shared" si="47"/>
        <v>-2.2934862017369717E-3</v>
      </c>
      <c r="U717" s="63">
        <f t="shared" si="49"/>
        <v>7.7410835501579003E-3</v>
      </c>
    </row>
    <row r="718" spans="1:21">
      <c r="A718" s="28">
        <v>44369</v>
      </c>
      <c r="B718" s="29">
        <v>1776.3000489999999</v>
      </c>
      <c r="C718" s="29">
        <v>25.847999569999999</v>
      </c>
      <c r="D718" s="29">
        <v>73.059997559999999</v>
      </c>
      <c r="E718" s="29">
        <v>14270.41992</v>
      </c>
      <c r="F718" s="29">
        <v>4246.4399409999996</v>
      </c>
      <c r="G718" s="29">
        <v>33945.578130000002</v>
      </c>
      <c r="H718" s="29">
        <v>11.60163784</v>
      </c>
      <c r="I718" s="29">
        <v>9.4871082310000006</v>
      </c>
      <c r="J718" s="29">
        <v>12.442199710000001</v>
      </c>
      <c r="L718" s="30">
        <f t="shared" si="48"/>
        <v>-3.0867661066048546E-3</v>
      </c>
      <c r="M718" s="30">
        <f t="shared" si="48"/>
        <v>-6.4193666698372231E-3</v>
      </c>
      <c r="N718" s="30">
        <f t="shared" si="48"/>
        <v>-8.1456159406332329E-3</v>
      </c>
      <c r="O718" s="30">
        <f t="shared" si="47"/>
        <v>9.421184034782204E-3</v>
      </c>
      <c r="P718" s="30">
        <f t="shared" si="47"/>
        <v>5.1244918209292223E-3</v>
      </c>
      <c r="Q718" s="30">
        <f t="shared" si="47"/>
        <v>2.025251447563603E-3</v>
      </c>
      <c r="R718" s="30">
        <f t="shared" si="47"/>
        <v>8.2631566008384283E-4</v>
      </c>
      <c r="S718" s="30">
        <f t="shared" si="47"/>
        <v>1.0104738842284799E-3</v>
      </c>
      <c r="T718" s="30">
        <f t="shared" si="47"/>
        <v>7.6630426804857876E-4</v>
      </c>
      <c r="U718" s="63">
        <f t="shared" si="49"/>
        <v>1.2117266090635379E-3</v>
      </c>
    </row>
    <row r="719" spans="1:21">
      <c r="A719" s="28">
        <v>44370</v>
      </c>
      <c r="B719" s="29">
        <v>1782.3000489999999</v>
      </c>
      <c r="C719" s="29">
        <v>26.107999800000002</v>
      </c>
      <c r="D719" s="29">
        <v>73.08000183</v>
      </c>
      <c r="E719" s="29">
        <v>14274.240229999999</v>
      </c>
      <c r="F719" s="29">
        <v>4241.8398440000001</v>
      </c>
      <c r="G719" s="29">
        <v>33874.238279999998</v>
      </c>
      <c r="H719" s="29">
        <v>11.59205914</v>
      </c>
      <c r="I719" s="29">
        <v>9.4775314329999993</v>
      </c>
      <c r="J719" s="29">
        <v>12.442199710000001</v>
      </c>
      <c r="L719" s="30">
        <f t="shared" si="48"/>
        <v>3.3778077095576453E-3</v>
      </c>
      <c r="M719" s="30">
        <f t="shared" si="48"/>
        <v>1.0058814388938853E-2</v>
      </c>
      <c r="N719" s="30">
        <f t="shared" si="48"/>
        <v>2.738060589664304E-4</v>
      </c>
      <c r="O719" s="30">
        <f t="shared" si="47"/>
        <v>2.6770831001576845E-4</v>
      </c>
      <c r="P719" s="30">
        <f t="shared" si="47"/>
        <v>-1.0832831887211958E-3</v>
      </c>
      <c r="Q719" s="30">
        <f t="shared" si="47"/>
        <v>-2.1015947858302741E-3</v>
      </c>
      <c r="R719" s="30">
        <f t="shared" si="47"/>
        <v>-8.2563342625430192E-4</v>
      </c>
      <c r="S719" s="30">
        <f t="shared" si="47"/>
        <v>-1.009453857468201E-3</v>
      </c>
      <c r="T719" s="30">
        <f t="shared" si="47"/>
        <v>0</v>
      </c>
      <c r="U719" s="63">
        <f t="shared" si="49"/>
        <v>1.2101519581143997E-3</v>
      </c>
    </row>
    <row r="720" spans="1:21">
      <c r="A720" s="28">
        <v>44371</v>
      </c>
      <c r="B720" s="29">
        <v>1775.599976</v>
      </c>
      <c r="C720" s="29">
        <v>26.04700089</v>
      </c>
      <c r="D720" s="29">
        <v>73.300003050000001</v>
      </c>
      <c r="E720" s="29">
        <v>14365.95996</v>
      </c>
      <c r="F720" s="29">
        <v>4266.4902339999999</v>
      </c>
      <c r="G720" s="29">
        <v>34196.820310000003</v>
      </c>
      <c r="H720" s="29">
        <v>11.59205914</v>
      </c>
      <c r="I720" s="29">
        <v>9.4775314329999993</v>
      </c>
      <c r="J720" s="29">
        <v>12.442199710000001</v>
      </c>
      <c r="L720" s="30">
        <f t="shared" si="48"/>
        <v>-3.7592284215888228E-3</v>
      </c>
      <c r="M720" s="30">
        <f t="shared" si="48"/>
        <v>-2.3364068663737081E-3</v>
      </c>
      <c r="N720" s="30">
        <f t="shared" si="48"/>
        <v>3.0104161807735785E-3</v>
      </c>
      <c r="O720" s="30">
        <f t="shared" si="47"/>
        <v>6.4255419918766155E-3</v>
      </c>
      <c r="P720" s="30">
        <f t="shared" si="47"/>
        <v>5.8112495772011385E-3</v>
      </c>
      <c r="Q720" s="30">
        <f t="shared" si="47"/>
        <v>9.5229308872890606E-3</v>
      </c>
      <c r="R720" s="30">
        <f t="shared" si="47"/>
        <v>0</v>
      </c>
      <c r="S720" s="30">
        <f t="shared" si="47"/>
        <v>0</v>
      </c>
      <c r="T720" s="30">
        <f t="shared" si="47"/>
        <v>0</v>
      </c>
      <c r="U720" s="63">
        <f t="shared" si="49"/>
        <v>2.4732594932268862E-3</v>
      </c>
    </row>
    <row r="721" spans="1:21">
      <c r="A721" s="28">
        <v>44372</v>
      </c>
      <c r="B721" s="29">
        <v>1776.599976</v>
      </c>
      <c r="C721" s="29">
        <v>26.082000730000001</v>
      </c>
      <c r="D721" s="29">
        <v>74.050003050000001</v>
      </c>
      <c r="E721" s="29">
        <v>14345.179690000001</v>
      </c>
      <c r="F721" s="29">
        <v>4280.7001950000003</v>
      </c>
      <c r="G721" s="29">
        <v>34433.839840000001</v>
      </c>
      <c r="H721" s="29">
        <v>11.572896</v>
      </c>
      <c r="I721" s="29">
        <v>9.4679574970000004</v>
      </c>
      <c r="J721" s="29">
        <v>12.42314339</v>
      </c>
      <c r="L721" s="30">
        <f t="shared" si="48"/>
        <v>5.6318991524917372E-4</v>
      </c>
      <c r="M721" s="30">
        <f t="shared" si="48"/>
        <v>1.3437186165043968E-3</v>
      </c>
      <c r="N721" s="30">
        <f t="shared" si="48"/>
        <v>1.0231923175888502E-2</v>
      </c>
      <c r="O721" s="30">
        <f t="shared" si="47"/>
        <v>-1.4464936598639344E-3</v>
      </c>
      <c r="P721" s="30">
        <f t="shared" si="47"/>
        <v>3.330597334258556E-3</v>
      </c>
      <c r="Q721" s="30">
        <f t="shared" si="47"/>
        <v>6.9310400163340447E-3</v>
      </c>
      <c r="R721" s="30">
        <f t="shared" si="47"/>
        <v>-1.6531264867235551E-3</v>
      </c>
      <c r="S721" s="30">
        <f t="shared" si="47"/>
        <v>-1.0101719068599246E-3</v>
      </c>
      <c r="T721" s="30">
        <f t="shared" si="47"/>
        <v>-1.531587697043979E-3</v>
      </c>
      <c r="U721" s="63">
        <f t="shared" si="49"/>
        <v>1.7300469738395772E-3</v>
      </c>
    </row>
    <row r="722" spans="1:21">
      <c r="A722" s="28">
        <v>44375</v>
      </c>
      <c r="B722" s="29">
        <v>1779.599976</v>
      </c>
      <c r="C722" s="29">
        <v>26.218000409999998</v>
      </c>
      <c r="D722" s="29">
        <v>72.910003660000001</v>
      </c>
      <c r="E722" s="29">
        <v>14524.98047</v>
      </c>
      <c r="F722" s="29">
        <v>4290.6098629999997</v>
      </c>
      <c r="G722" s="29">
        <v>34283.269529999998</v>
      </c>
      <c r="H722" s="29">
        <v>11.60163784</v>
      </c>
      <c r="I722" s="29">
        <v>9.4871082310000006</v>
      </c>
      <c r="J722" s="29">
        <v>12.451725010000001</v>
      </c>
      <c r="L722" s="30">
        <f t="shared" si="48"/>
        <v>1.6886187327067592E-3</v>
      </c>
      <c r="M722" s="30">
        <f t="shared" si="48"/>
        <v>5.2143116399643308E-3</v>
      </c>
      <c r="N722" s="30">
        <f t="shared" si="48"/>
        <v>-1.5394994504325021E-2</v>
      </c>
      <c r="O722" s="30">
        <f t="shared" si="47"/>
        <v>1.2533881337529529E-2</v>
      </c>
      <c r="P722" s="30">
        <f t="shared" si="47"/>
        <v>2.3149642695310391E-3</v>
      </c>
      <c r="Q722" s="30">
        <f t="shared" si="47"/>
        <v>-4.3727423575076196E-3</v>
      </c>
      <c r="R722" s="30">
        <f t="shared" si="47"/>
        <v>2.4835477653994964E-3</v>
      </c>
      <c r="S722" s="30">
        <f t="shared" si="47"/>
        <v>2.0226890547478948E-3</v>
      </c>
      <c r="T722" s="30">
        <f t="shared" si="47"/>
        <v>2.3006753687644377E-3</v>
      </c>
      <c r="U722" s="63">
        <f t="shared" si="49"/>
        <v>2.3389893966321708E-3</v>
      </c>
    </row>
    <row r="723" spans="1:21">
      <c r="A723" s="28">
        <v>44376</v>
      </c>
      <c r="B723" s="29">
        <v>1762.8000489999999</v>
      </c>
      <c r="C723" s="29">
        <v>25.87199974</v>
      </c>
      <c r="D723" s="29">
        <v>72.980003359999998</v>
      </c>
      <c r="E723" s="29">
        <v>14572.75</v>
      </c>
      <c r="F723" s="29">
        <v>4291.7998049999997</v>
      </c>
      <c r="G723" s="29">
        <v>34292.289060000003</v>
      </c>
      <c r="H723" s="29">
        <v>11.611218450000001</v>
      </c>
      <c r="I723" s="29">
        <v>9.496678352</v>
      </c>
      <c r="J723" s="29">
        <v>12.46125221</v>
      </c>
      <c r="L723" s="30">
        <f t="shared" si="48"/>
        <v>-9.4402827750993401E-3</v>
      </c>
      <c r="M723" s="30">
        <f t="shared" si="48"/>
        <v>-1.3197065549973352E-2</v>
      </c>
      <c r="N723" s="30">
        <f t="shared" si="48"/>
        <v>9.6008361659705166E-4</v>
      </c>
      <c r="O723" s="30">
        <f t="shared" si="48"/>
        <v>3.2887844564515323E-3</v>
      </c>
      <c r="P723" s="30">
        <f t="shared" si="48"/>
        <v>2.7733633166260319E-4</v>
      </c>
      <c r="Q723" s="30">
        <f t="shared" si="48"/>
        <v>2.6308838461597261E-4</v>
      </c>
      <c r="R723" s="30">
        <f t="shared" si="48"/>
        <v>8.2579805818183694E-4</v>
      </c>
      <c r="S723" s="30">
        <f t="shared" si="48"/>
        <v>1.0087500602899979E-3</v>
      </c>
      <c r="T723" s="30">
        <f t="shared" si="48"/>
        <v>7.6513093505892193E-4</v>
      </c>
      <c r="U723" s="63">
        <f t="shared" si="49"/>
        <v>-1.7461502516996519E-3</v>
      </c>
    </row>
    <row r="724" spans="1:21">
      <c r="A724" s="28">
        <v>44377</v>
      </c>
      <c r="B724" s="29">
        <v>1770.8000489999999</v>
      </c>
      <c r="C724" s="29">
        <v>26.165000920000001</v>
      </c>
      <c r="D724" s="29">
        <v>73.47000122</v>
      </c>
      <c r="E724" s="29">
        <v>14554.799800000001</v>
      </c>
      <c r="F724" s="29">
        <v>4297.5</v>
      </c>
      <c r="G724" s="29">
        <v>34502.511720000002</v>
      </c>
      <c r="H724" s="29">
        <v>11.637121199999999</v>
      </c>
      <c r="I724" s="29">
        <v>9.5072212220000001</v>
      </c>
      <c r="J724" s="29">
        <v>12.475571629999999</v>
      </c>
      <c r="L724" s="30">
        <f t="shared" si="48"/>
        <v>4.5382345005822167E-3</v>
      </c>
      <c r="M724" s="30">
        <f t="shared" si="48"/>
        <v>1.1325030262233637E-2</v>
      </c>
      <c r="N724" s="30">
        <f t="shared" si="48"/>
        <v>6.7141386330569208E-3</v>
      </c>
      <c r="O724" s="30">
        <f t="shared" si="48"/>
        <v>-1.2317647664304987E-3</v>
      </c>
      <c r="P724" s="30">
        <f t="shared" si="48"/>
        <v>1.3281595738365848E-3</v>
      </c>
      <c r="Q724" s="30">
        <f t="shared" si="48"/>
        <v>6.1303186740371274E-3</v>
      </c>
      <c r="R724" s="30">
        <f t="shared" si="48"/>
        <v>2.2308382286957418E-3</v>
      </c>
      <c r="S724" s="30">
        <f t="shared" si="48"/>
        <v>1.1101639551454046E-3</v>
      </c>
      <c r="T724" s="30">
        <f t="shared" si="48"/>
        <v>1.149115655368016E-3</v>
      </c>
      <c r="U724" s="63">
        <f t="shared" si="49"/>
        <v>3.2493215895484646E-3</v>
      </c>
    </row>
    <row r="725" spans="1:21">
      <c r="A725" s="28">
        <v>44378</v>
      </c>
      <c r="B725" s="29">
        <v>1775.900024</v>
      </c>
      <c r="C725" s="29">
        <v>26.075000760000002</v>
      </c>
      <c r="D725" s="29">
        <v>75.230003359999998</v>
      </c>
      <c r="E725" s="29">
        <v>14560.049800000001</v>
      </c>
      <c r="F725" s="29">
        <v>4319.9399409999996</v>
      </c>
      <c r="G725" s="29">
        <v>34633.53125</v>
      </c>
      <c r="H725" s="29">
        <v>11.62752819</v>
      </c>
      <c r="I725" s="29">
        <v>9.5072212220000001</v>
      </c>
      <c r="J725" s="29">
        <v>12.46602631</v>
      </c>
      <c r="L725" s="30">
        <f t="shared" si="48"/>
        <v>2.8800400151784977E-3</v>
      </c>
      <c r="M725" s="30">
        <f t="shared" si="48"/>
        <v>-3.4397155297328785E-3</v>
      </c>
      <c r="N725" s="30">
        <f t="shared" si="48"/>
        <v>2.3955384657335266E-2</v>
      </c>
      <c r="O725" s="30">
        <f t="shared" si="48"/>
        <v>3.6070575151425643E-4</v>
      </c>
      <c r="P725" s="30">
        <f t="shared" si="48"/>
        <v>5.2216267597440247E-3</v>
      </c>
      <c r="Q725" s="30">
        <f t="shared" si="48"/>
        <v>3.7973910729534044E-3</v>
      </c>
      <c r="R725" s="30">
        <f t="shared" si="48"/>
        <v>-8.2434562939837086E-4</v>
      </c>
      <c r="S725" s="30">
        <f t="shared" si="48"/>
        <v>0</v>
      </c>
      <c r="T725" s="30">
        <f t="shared" si="48"/>
        <v>-7.6512085242219641E-4</v>
      </c>
      <c r="U725" s="63">
        <f t="shared" si="49"/>
        <v>3.1253879402688743E-3</v>
      </c>
    </row>
    <row r="726" spans="1:21">
      <c r="A726" s="28">
        <v>44379</v>
      </c>
      <c r="B726" s="29">
        <v>1782.599976</v>
      </c>
      <c r="C726" s="29">
        <v>26.481000900000002</v>
      </c>
      <c r="D726" s="29">
        <v>75.160003660000001</v>
      </c>
      <c r="E726" s="29">
        <v>14727.62988</v>
      </c>
      <c r="F726" s="29">
        <v>4352.3398440000001</v>
      </c>
      <c r="G726" s="29">
        <v>34786.351560000003</v>
      </c>
      <c r="H726" s="29">
        <v>11.646715159999999</v>
      </c>
      <c r="I726" s="29">
        <v>9.5072212220000001</v>
      </c>
      <c r="J726" s="29">
        <v>12.485116959999999</v>
      </c>
      <c r="L726" s="30">
        <f t="shared" si="48"/>
        <v>3.7727078717579854E-3</v>
      </c>
      <c r="M726" s="30">
        <f t="shared" si="48"/>
        <v>1.5570474713957339E-2</v>
      </c>
      <c r="N726" s="30">
        <f t="shared" si="48"/>
        <v>-9.3047583242855669E-4</v>
      </c>
      <c r="O726" s="30">
        <f t="shared" si="48"/>
        <v>1.1509581512557654E-2</v>
      </c>
      <c r="P726" s="30">
        <f t="shared" si="48"/>
        <v>7.5000818165311678E-3</v>
      </c>
      <c r="Q726" s="30">
        <f t="shared" si="48"/>
        <v>4.4124957659350539E-3</v>
      </c>
      <c r="R726" s="30">
        <f t="shared" si="48"/>
        <v>1.6501331741771708E-3</v>
      </c>
      <c r="S726" s="30">
        <f t="shared" si="48"/>
        <v>0</v>
      </c>
      <c r="T726" s="30">
        <f t="shared" si="48"/>
        <v>1.5314142233668893E-3</v>
      </c>
      <c r="U726" s="63">
        <f t="shared" si="49"/>
        <v>6.4953616632556438E-3</v>
      </c>
    </row>
    <row r="727" spans="1:21">
      <c r="A727" s="28">
        <v>44383</v>
      </c>
      <c r="B727" s="29">
        <v>1793.5</v>
      </c>
      <c r="C727" s="29">
        <v>26.153999330000001</v>
      </c>
      <c r="D727" s="29">
        <v>73.370002749999998</v>
      </c>
      <c r="E727" s="29">
        <v>14786.360350000001</v>
      </c>
      <c r="F727" s="29">
        <v>4343.5400390000004</v>
      </c>
      <c r="G727" s="29">
        <v>34577.371090000001</v>
      </c>
      <c r="H727" s="29">
        <v>11.694681170000001</v>
      </c>
      <c r="I727" s="29">
        <v>9.5359716419999998</v>
      </c>
      <c r="J727" s="29">
        <v>12.52329636</v>
      </c>
      <c r="L727" s="30">
        <f t="shared" si="48"/>
        <v>6.1146775197757908E-3</v>
      </c>
      <c r="M727" s="30">
        <f t="shared" si="48"/>
        <v>-1.2348535134108163E-2</v>
      </c>
      <c r="N727" s="30">
        <f t="shared" si="48"/>
        <v>-2.3815870447497556E-2</v>
      </c>
      <c r="O727" s="30">
        <f t="shared" si="48"/>
        <v>3.9877747117855744E-3</v>
      </c>
      <c r="P727" s="30">
        <f t="shared" si="48"/>
        <v>-2.0218561315084038E-3</v>
      </c>
      <c r="Q727" s="30">
        <f t="shared" si="48"/>
        <v>-6.0075420568193039E-3</v>
      </c>
      <c r="R727" s="30">
        <f t="shared" si="48"/>
        <v>4.118415307754697E-3</v>
      </c>
      <c r="S727" s="30">
        <f t="shared" si="48"/>
        <v>3.0240613244036929E-3</v>
      </c>
      <c r="T727" s="30">
        <f t="shared" si="48"/>
        <v>3.0579929785456983E-3</v>
      </c>
      <c r="U727" s="63">
        <f t="shared" si="49"/>
        <v>-2.833647734486593E-3</v>
      </c>
    </row>
    <row r="728" spans="1:21">
      <c r="A728" s="28">
        <v>44384</v>
      </c>
      <c r="B728" s="29">
        <v>1801.5</v>
      </c>
      <c r="C728" s="29">
        <v>26.11000061</v>
      </c>
      <c r="D728" s="29">
        <v>72.199996949999999</v>
      </c>
      <c r="E728" s="29">
        <v>14810.54004</v>
      </c>
      <c r="F728" s="29">
        <v>4358.1298829999996</v>
      </c>
      <c r="G728" s="29">
        <v>34681.789060000003</v>
      </c>
      <c r="H728" s="29">
        <v>11.713870999999999</v>
      </c>
      <c r="I728" s="29">
        <v>9.5551385880000002</v>
      </c>
      <c r="J728" s="29">
        <v>12.542386049999999</v>
      </c>
      <c r="L728" s="30">
        <f t="shared" si="48"/>
        <v>4.4605519933091919E-3</v>
      </c>
      <c r="M728" s="30">
        <f t="shared" si="48"/>
        <v>-1.6822941472485198E-3</v>
      </c>
      <c r="N728" s="30">
        <f t="shared" si="48"/>
        <v>-1.5946650622144065E-2</v>
      </c>
      <c r="O728" s="30">
        <f t="shared" si="48"/>
        <v>1.635269899262104E-3</v>
      </c>
      <c r="P728" s="30">
        <f t="shared" si="48"/>
        <v>3.3589753677873979E-3</v>
      </c>
      <c r="Q728" s="30">
        <f t="shared" si="48"/>
        <v>3.0198354215020817E-3</v>
      </c>
      <c r="R728" s="30">
        <f t="shared" si="48"/>
        <v>1.6409023658743305E-3</v>
      </c>
      <c r="S728" s="30">
        <f t="shared" si="48"/>
        <v>2.0099625627640894E-3</v>
      </c>
      <c r="T728" s="30">
        <f t="shared" si="48"/>
        <v>1.5243342847792718E-3</v>
      </c>
      <c r="U728" s="63">
        <f t="shared" si="49"/>
        <v>5.709192692498245E-4</v>
      </c>
    </row>
    <row r="729" spans="1:21">
      <c r="A729" s="28">
        <v>44385</v>
      </c>
      <c r="B729" s="29">
        <v>1799.599976</v>
      </c>
      <c r="C729" s="29">
        <v>25.966999049999998</v>
      </c>
      <c r="D729" s="29">
        <v>72.940002440000001</v>
      </c>
      <c r="E729" s="29">
        <v>14722.139649999999</v>
      </c>
      <c r="F729" s="29">
        <v>4320.8198240000002</v>
      </c>
      <c r="G729" s="29">
        <v>34421.929689999997</v>
      </c>
      <c r="H729" s="29">
        <v>11.72346497</v>
      </c>
      <c r="I729" s="29">
        <v>9.5551385880000002</v>
      </c>
      <c r="J729" s="29">
        <v>12.55193233</v>
      </c>
      <c r="L729" s="30">
        <f t="shared" si="48"/>
        <v>-1.054689980571788E-3</v>
      </c>
      <c r="M729" s="30">
        <f t="shared" si="48"/>
        <v>-5.4768884204940971E-3</v>
      </c>
      <c r="N729" s="30">
        <f t="shared" si="48"/>
        <v>1.0249383950978075E-2</v>
      </c>
      <c r="O729" s="30">
        <f t="shared" si="48"/>
        <v>-5.9687485912904847E-3</v>
      </c>
      <c r="P729" s="30">
        <f t="shared" si="48"/>
        <v>-8.5610250271651589E-3</v>
      </c>
      <c r="Q729" s="30">
        <f t="shared" si="48"/>
        <v>-7.4926748891311901E-3</v>
      </c>
      <c r="R729" s="30">
        <f t="shared" si="48"/>
        <v>8.1902643455777913E-4</v>
      </c>
      <c r="S729" s="30">
        <f t="shared" si="48"/>
        <v>0</v>
      </c>
      <c r="T729" s="30">
        <f t="shared" si="48"/>
        <v>7.6112152519813847E-4</v>
      </c>
      <c r="U729" s="63">
        <f t="shared" si="49"/>
        <v>-3.5706206767942457E-3</v>
      </c>
    </row>
    <row r="730" spans="1:21">
      <c r="A730" s="28">
        <v>44386</v>
      </c>
      <c r="B730" s="29">
        <v>1810</v>
      </c>
      <c r="C730" s="29">
        <v>26.211000439999999</v>
      </c>
      <c r="D730" s="29">
        <v>74.559997559999999</v>
      </c>
      <c r="E730" s="29">
        <v>14826.089840000001</v>
      </c>
      <c r="F730" s="29">
        <v>4369.5498049999997</v>
      </c>
      <c r="G730" s="29">
        <v>34870.160159999999</v>
      </c>
      <c r="H730" s="29">
        <v>11.6754961</v>
      </c>
      <c r="I730" s="29">
        <v>9.5359716419999998</v>
      </c>
      <c r="J730" s="29">
        <v>12.51375103</v>
      </c>
      <c r="L730" s="30">
        <f t="shared" si="48"/>
        <v>5.7790754271491718E-3</v>
      </c>
      <c r="M730" s="30">
        <f t="shared" si="48"/>
        <v>9.3965956378005977E-3</v>
      </c>
      <c r="N730" s="30">
        <f t="shared" si="48"/>
        <v>2.2209967998459978E-2</v>
      </c>
      <c r="O730" s="30">
        <f t="shared" si="48"/>
        <v>7.0608072244444653E-3</v>
      </c>
      <c r="P730" s="30">
        <f t="shared" si="48"/>
        <v>1.1277947932317955E-2</v>
      </c>
      <c r="Q730" s="30">
        <f t="shared" si="48"/>
        <v>1.3021654335962918E-2</v>
      </c>
      <c r="R730" s="30">
        <f t="shared" si="48"/>
        <v>-4.0916973030371562E-3</v>
      </c>
      <c r="S730" s="30">
        <f t="shared" si="48"/>
        <v>-2.0059307171191865E-3</v>
      </c>
      <c r="T730" s="30">
        <f t="shared" si="48"/>
        <v>-3.0418663036243521E-3</v>
      </c>
      <c r="U730" s="63">
        <f t="shared" si="49"/>
        <v>7.4072752553190763E-3</v>
      </c>
    </row>
    <row r="731" spans="1:21">
      <c r="A731" s="28">
        <v>44389</v>
      </c>
      <c r="B731" s="29">
        <v>1805.5</v>
      </c>
      <c r="C731" s="29">
        <v>26.216999049999998</v>
      </c>
      <c r="D731" s="29">
        <v>74.099998470000003</v>
      </c>
      <c r="E731" s="29">
        <v>14877.889649999999</v>
      </c>
      <c r="F731" s="29">
        <v>4384.6298829999996</v>
      </c>
      <c r="G731" s="29">
        <v>34996.179689999997</v>
      </c>
      <c r="H731" s="29">
        <v>11.6754961</v>
      </c>
      <c r="I731" s="29">
        <v>9.5359716419999998</v>
      </c>
      <c r="J731" s="29">
        <v>12.51375103</v>
      </c>
      <c r="L731" s="30">
        <f t="shared" si="48"/>
        <v>-2.4861878453038555E-3</v>
      </c>
      <c r="M731" s="30">
        <f t="shared" si="48"/>
        <v>2.2885849068332575E-4</v>
      </c>
      <c r="N731" s="30">
        <f t="shared" si="48"/>
        <v>-6.1695158939594208E-3</v>
      </c>
      <c r="O731" s="30">
        <f t="shared" si="48"/>
        <v>3.493828147475897E-3</v>
      </c>
      <c r="P731" s="30">
        <f t="shared" si="48"/>
        <v>3.4511743023832864E-3</v>
      </c>
      <c r="Q731" s="30">
        <f t="shared" si="48"/>
        <v>3.6139647601778346E-3</v>
      </c>
      <c r="R731" s="30">
        <f t="shared" si="48"/>
        <v>0</v>
      </c>
      <c r="S731" s="30">
        <f t="shared" si="48"/>
        <v>0</v>
      </c>
      <c r="T731" s="30">
        <f t="shared" si="48"/>
        <v>0</v>
      </c>
      <c r="U731" s="63">
        <f t="shared" si="49"/>
        <v>1.0062988520677118E-3</v>
      </c>
    </row>
    <row r="732" spans="1:21">
      <c r="A732" s="28">
        <v>44390</v>
      </c>
      <c r="B732" s="29">
        <v>1809.400024</v>
      </c>
      <c r="C732" s="29">
        <v>26.114999770000001</v>
      </c>
      <c r="D732" s="29">
        <v>75.25</v>
      </c>
      <c r="E732" s="29">
        <v>14874.54004</v>
      </c>
      <c r="F732" s="29">
        <v>4369.2099609999996</v>
      </c>
      <c r="G732" s="29">
        <v>34888.789060000003</v>
      </c>
      <c r="H732" s="29">
        <v>11.646715159999999</v>
      </c>
      <c r="I732" s="29">
        <v>9.5168056490000001</v>
      </c>
      <c r="J732" s="29">
        <v>12.49466133</v>
      </c>
      <c r="L732" s="30">
        <f t="shared" si="48"/>
        <v>2.1600797563001706E-3</v>
      </c>
      <c r="M732" s="30">
        <f t="shared" si="48"/>
        <v>-3.8905780103004606E-3</v>
      </c>
      <c r="N732" s="30">
        <f t="shared" si="48"/>
        <v>1.5519589119365351E-2</v>
      </c>
      <c r="O732" s="30">
        <f t="shared" si="48"/>
        <v>-2.2514012933272376E-4</v>
      </c>
      <c r="P732" s="30">
        <f t="shared" si="48"/>
        <v>-3.5168126869239424E-3</v>
      </c>
      <c r="Q732" s="30">
        <f t="shared" si="48"/>
        <v>-3.0686386614560135E-3</v>
      </c>
      <c r="R732" s="30">
        <f t="shared" si="48"/>
        <v>-2.4650721265712106E-3</v>
      </c>
      <c r="S732" s="30">
        <f t="shared" si="48"/>
        <v>-2.0098626253862717E-3</v>
      </c>
      <c r="T732" s="30">
        <f t="shared" si="48"/>
        <v>-1.525497826689648E-3</v>
      </c>
      <c r="U732" s="63">
        <f t="shared" si="49"/>
        <v>-9.9958301557641436E-4</v>
      </c>
    </row>
    <row r="733" spans="1:21">
      <c r="A733" s="28">
        <v>44391</v>
      </c>
      <c r="B733" s="29">
        <v>1824.3000489999999</v>
      </c>
      <c r="C733" s="29">
        <v>26.246000290000001</v>
      </c>
      <c r="D733" s="29">
        <v>73.129997250000002</v>
      </c>
      <c r="E733" s="29">
        <v>14900.440430000001</v>
      </c>
      <c r="F733" s="29">
        <v>4374.2998049999997</v>
      </c>
      <c r="G733" s="29">
        <v>34933.230470000002</v>
      </c>
      <c r="H733" s="29">
        <v>11.68509102</v>
      </c>
      <c r="I733" s="29">
        <v>9.5455579759999996</v>
      </c>
      <c r="J733" s="29">
        <v>12.52329636</v>
      </c>
      <c r="L733" s="30">
        <f t="shared" si="48"/>
        <v>8.2347876657262731E-3</v>
      </c>
      <c r="M733" s="30">
        <f t="shared" si="48"/>
        <v>5.0162941280393891E-3</v>
      </c>
      <c r="N733" s="30">
        <f t="shared" si="48"/>
        <v>-2.8172794019933556E-2</v>
      </c>
      <c r="O733" s="30">
        <f t="shared" si="48"/>
        <v>1.741256531654134E-3</v>
      </c>
      <c r="P733" s="30">
        <f t="shared" si="48"/>
        <v>1.1649346324467125E-3</v>
      </c>
      <c r="Q733" s="30">
        <f t="shared" si="48"/>
        <v>1.273802020573811E-3</v>
      </c>
      <c r="R733" s="30">
        <f t="shared" si="48"/>
        <v>3.2949942943396593E-3</v>
      </c>
      <c r="S733" s="30">
        <f t="shared" si="48"/>
        <v>3.0212161580729369E-3</v>
      </c>
      <c r="T733" s="30">
        <f t="shared" si="48"/>
        <v>2.2917812050853303E-3</v>
      </c>
      <c r="U733" s="63">
        <f t="shared" si="49"/>
        <v>4.1214146473177605E-4</v>
      </c>
    </row>
    <row r="734" spans="1:21">
      <c r="A734" s="28">
        <v>44392</v>
      </c>
      <c r="B734" s="29">
        <v>1828.400024</v>
      </c>
      <c r="C734" s="29">
        <v>26.375</v>
      </c>
      <c r="D734" s="29">
        <v>71.650001529999997</v>
      </c>
      <c r="E734" s="29">
        <v>14794.690430000001</v>
      </c>
      <c r="F734" s="29">
        <v>4360.0297849999997</v>
      </c>
      <c r="G734" s="29">
        <v>34987.019529999998</v>
      </c>
      <c r="H734" s="29">
        <v>11.713870999999999</v>
      </c>
      <c r="I734" s="29">
        <v>9.5551385880000002</v>
      </c>
      <c r="J734" s="29">
        <v>12.55193233</v>
      </c>
      <c r="L734" s="30">
        <f t="shared" si="48"/>
        <v>2.2474236089877753E-3</v>
      </c>
      <c r="M734" s="30">
        <f t="shared" si="48"/>
        <v>4.915023568339727E-3</v>
      </c>
      <c r="N734" s="30">
        <f t="shared" si="48"/>
        <v>-2.0237874684181034E-2</v>
      </c>
      <c r="O734" s="30">
        <f t="shared" si="48"/>
        <v>-7.0971056524669063E-3</v>
      </c>
      <c r="P734" s="30">
        <f t="shared" si="48"/>
        <v>-3.2622409610993941E-3</v>
      </c>
      <c r="Q734" s="30">
        <f t="shared" si="48"/>
        <v>1.5397677018789135E-3</v>
      </c>
      <c r="R734" s="30">
        <f t="shared" si="48"/>
        <v>2.462965838326836E-3</v>
      </c>
      <c r="S734" s="30">
        <f t="shared" si="48"/>
        <v>1.0036722865325309E-3</v>
      </c>
      <c r="T734" s="30">
        <f t="shared" si="48"/>
        <v>2.2866160136132407E-3</v>
      </c>
      <c r="U734" s="63">
        <f t="shared" si="49"/>
        <v>-2.0134035416649494E-3</v>
      </c>
    </row>
    <row r="735" spans="1:21">
      <c r="A735" s="28">
        <v>44393</v>
      </c>
      <c r="B735" s="29">
        <v>1814.5</v>
      </c>
      <c r="C735" s="29">
        <v>25.777000430000001</v>
      </c>
      <c r="D735" s="29">
        <v>71.809997559999999</v>
      </c>
      <c r="E735" s="29">
        <v>14681.37988</v>
      </c>
      <c r="F735" s="29">
        <v>4327.1601559999999</v>
      </c>
      <c r="G735" s="29">
        <v>34687.851560000003</v>
      </c>
      <c r="H735" s="29">
        <v>11.704277039999999</v>
      </c>
      <c r="I735" s="29">
        <v>9.5551385880000002</v>
      </c>
      <c r="J735" s="29">
        <v>12.542386049999999</v>
      </c>
      <c r="L735" s="30">
        <f t="shared" si="48"/>
        <v>-7.6022882397424052E-3</v>
      </c>
      <c r="M735" s="30">
        <f t="shared" si="48"/>
        <v>-2.2672969478672922E-2</v>
      </c>
      <c r="N735" s="30">
        <f t="shared" si="48"/>
        <v>2.2330220039563642E-3</v>
      </c>
      <c r="O735" s="30">
        <f t="shared" si="48"/>
        <v>-7.6588658976083357E-3</v>
      </c>
      <c r="P735" s="30">
        <f t="shared" si="48"/>
        <v>-7.5388542328500563E-3</v>
      </c>
      <c r="Q735" s="30">
        <f t="shared" si="48"/>
        <v>-8.5508275360085539E-3</v>
      </c>
      <c r="R735" s="30">
        <f t="shared" si="48"/>
        <v>-8.1902558086910382E-4</v>
      </c>
      <c r="S735" s="30">
        <f t="shared" si="48"/>
        <v>0</v>
      </c>
      <c r="T735" s="30">
        <f t="shared" si="48"/>
        <v>-7.6054265980896041E-4</v>
      </c>
      <c r="U735" s="63">
        <f t="shared" si="49"/>
        <v>-7.2587179403171657E-3</v>
      </c>
    </row>
    <row r="736" spans="1:21">
      <c r="A736" s="28">
        <v>44396</v>
      </c>
      <c r="B736" s="29">
        <v>1808.6999510000001</v>
      </c>
      <c r="C736" s="29">
        <v>25.125999449999998</v>
      </c>
      <c r="D736" s="29">
        <v>66.41999817</v>
      </c>
      <c r="E736" s="29">
        <v>14549.089840000001</v>
      </c>
      <c r="F736" s="29">
        <v>4258.4902339999999</v>
      </c>
      <c r="G736" s="29">
        <v>33962.039060000003</v>
      </c>
      <c r="H736" s="29">
        <v>11.76183891</v>
      </c>
      <c r="I736" s="29">
        <v>9.5838918690000003</v>
      </c>
      <c r="J736" s="29">
        <v>12.59011078</v>
      </c>
      <c r="L736" s="30">
        <f t="shared" si="48"/>
        <v>-3.1964998622209251E-3</v>
      </c>
      <c r="M736" s="30">
        <f t="shared" si="48"/>
        <v>-2.5255109948415511E-2</v>
      </c>
      <c r="N736" s="30">
        <f t="shared" si="48"/>
        <v>-7.5059178013429761E-2</v>
      </c>
      <c r="O736" s="30">
        <f t="shared" si="48"/>
        <v>-9.0107361216239523E-3</v>
      </c>
      <c r="P736" s="30">
        <f t="shared" si="48"/>
        <v>-1.5869512457213575E-2</v>
      </c>
      <c r="Q736" s="30">
        <f t="shared" si="48"/>
        <v>-2.0924112257127092E-2</v>
      </c>
      <c r="R736" s="30">
        <f t="shared" si="48"/>
        <v>4.9180201223262276E-3</v>
      </c>
      <c r="S736" s="30">
        <f t="shared" si="48"/>
        <v>3.0091956003768239E-3</v>
      </c>
      <c r="T736" s="30">
        <f t="shared" si="48"/>
        <v>3.805075829251825E-3</v>
      </c>
      <c r="U736" s="63">
        <f t="shared" si="49"/>
        <v>-1.5307720774557224E-2</v>
      </c>
    </row>
    <row r="737" spans="1:21">
      <c r="A737" s="28">
        <v>44397</v>
      </c>
      <c r="B737" s="29">
        <v>1810.900024</v>
      </c>
      <c r="C737" s="29">
        <v>24.976999280000001</v>
      </c>
      <c r="D737" s="29">
        <v>67.41999817</v>
      </c>
      <c r="E737" s="29">
        <v>14728.20996</v>
      </c>
      <c r="F737" s="29">
        <v>4323.0600590000004</v>
      </c>
      <c r="G737" s="29">
        <v>34511.988279999998</v>
      </c>
      <c r="H737" s="29">
        <v>11.74265194</v>
      </c>
      <c r="I737" s="29">
        <v>9.5743064879999995</v>
      </c>
      <c r="J737" s="29">
        <v>12.58057213</v>
      </c>
      <c r="L737" s="30">
        <f t="shared" si="48"/>
        <v>1.2163836233773928E-3</v>
      </c>
      <c r="M737" s="30">
        <f t="shared" si="48"/>
        <v>-5.9301191300470402E-3</v>
      </c>
      <c r="N737" s="30">
        <f t="shared" si="48"/>
        <v>1.5055706527430601E-2</v>
      </c>
      <c r="O737" s="30">
        <f t="shared" si="48"/>
        <v>1.23114312970658E-2</v>
      </c>
      <c r="P737" s="30">
        <f t="shared" si="48"/>
        <v>1.5162609622647816E-2</v>
      </c>
      <c r="Q737" s="30">
        <f t="shared" si="48"/>
        <v>1.6193056577916698E-2</v>
      </c>
      <c r="R737" s="30">
        <f t="shared" si="48"/>
        <v>-1.6312899833789141E-3</v>
      </c>
      <c r="S737" s="30">
        <f t="shared" si="48"/>
        <v>-1.0001553785269346E-3</v>
      </c>
      <c r="T737" s="30">
        <f t="shared" si="48"/>
        <v>-7.5763034707787558E-4</v>
      </c>
      <c r="U737" s="63">
        <f t="shared" si="49"/>
        <v>6.6366530853592398E-3</v>
      </c>
    </row>
    <row r="738" spans="1:21">
      <c r="A738" s="28">
        <v>44398</v>
      </c>
      <c r="B738" s="29">
        <v>1802.900024</v>
      </c>
      <c r="C738" s="29">
        <v>25.23800087</v>
      </c>
      <c r="D738" s="29">
        <v>70.300003050000001</v>
      </c>
      <c r="E738" s="29">
        <v>14842.62988</v>
      </c>
      <c r="F738" s="29">
        <v>4358.6899409999996</v>
      </c>
      <c r="G738" s="29">
        <v>34798</v>
      </c>
      <c r="H738" s="29">
        <v>11.704277039999999</v>
      </c>
      <c r="I738" s="29">
        <v>9.5551385880000002</v>
      </c>
      <c r="J738" s="29">
        <v>12.542386049999999</v>
      </c>
      <c r="L738" s="30">
        <f t="shared" si="48"/>
        <v>-4.4176928013558436E-3</v>
      </c>
      <c r="M738" s="30">
        <f t="shared" si="48"/>
        <v>1.0449677604346785E-2</v>
      </c>
      <c r="N738" s="30">
        <f t="shared" si="48"/>
        <v>4.2717368112915821E-2</v>
      </c>
      <c r="O738" s="30">
        <f t="shared" si="48"/>
        <v>7.7687594290651862E-3</v>
      </c>
      <c r="P738" s="30">
        <f t="shared" si="48"/>
        <v>8.2418198021152467E-3</v>
      </c>
      <c r="Q738" s="30">
        <f t="shared" si="48"/>
        <v>8.287315053527422E-3</v>
      </c>
      <c r="R738" s="30">
        <f t="shared" si="48"/>
        <v>-3.2679926302917606E-3</v>
      </c>
      <c r="S738" s="30">
        <f t="shared" si="48"/>
        <v>-2.0020144565063847E-3</v>
      </c>
      <c r="T738" s="30">
        <f t="shared" si="48"/>
        <v>-3.0353214150683483E-3</v>
      </c>
      <c r="U738" s="63">
        <f t="shared" si="49"/>
        <v>7.5900771877492421E-3</v>
      </c>
    </row>
    <row r="739" spans="1:21">
      <c r="A739" s="28">
        <v>44399</v>
      </c>
      <c r="B739" s="29">
        <v>1805</v>
      </c>
      <c r="C739" s="29">
        <v>25.364999770000001</v>
      </c>
      <c r="D739" s="29">
        <v>71.910003660000001</v>
      </c>
      <c r="E739" s="29">
        <v>14940.16992</v>
      </c>
      <c r="F739" s="29">
        <v>4367.4799800000001</v>
      </c>
      <c r="G739" s="29">
        <v>34823.351560000003</v>
      </c>
      <c r="H739" s="29">
        <v>11.73305511</v>
      </c>
      <c r="I739" s="29">
        <v>9.5743064879999995</v>
      </c>
      <c r="J739" s="29">
        <v>12.571022989999999</v>
      </c>
      <c r="L739" s="30">
        <f t="shared" si="48"/>
        <v>1.1647767330662528E-3</v>
      </c>
      <c r="M739" s="30">
        <f t="shared" si="48"/>
        <v>5.0320507021996974E-3</v>
      </c>
      <c r="N739" s="30">
        <f t="shared" si="48"/>
        <v>2.2901856901128559E-2</v>
      </c>
      <c r="O739" s="30">
        <f t="shared" si="48"/>
        <v>6.5716143829357421E-3</v>
      </c>
      <c r="P739" s="30">
        <f t="shared" si="48"/>
        <v>2.0166699441768188E-3</v>
      </c>
      <c r="Q739" s="30">
        <f t="shared" si="48"/>
        <v>7.2853497327440842E-4</v>
      </c>
      <c r="R739" s="30">
        <f t="shared" si="48"/>
        <v>2.4587652788505832E-3</v>
      </c>
      <c r="S739" s="30">
        <f t="shared" si="48"/>
        <v>2.0060305586850902E-3</v>
      </c>
      <c r="T739" s="30">
        <f t="shared" si="48"/>
        <v>2.2832130892669333E-3</v>
      </c>
      <c r="U739" s="63">
        <f t="shared" si="49"/>
        <v>4.5370720448947854E-3</v>
      </c>
    </row>
    <row r="740" spans="1:21">
      <c r="A740" s="28">
        <v>44400</v>
      </c>
      <c r="B740" s="29">
        <v>1801.400024</v>
      </c>
      <c r="C740" s="29">
        <v>25.218000409999998</v>
      </c>
      <c r="D740" s="29">
        <v>72.069999690000003</v>
      </c>
      <c r="E740" s="29">
        <v>15111.79004</v>
      </c>
      <c r="F740" s="29">
        <v>4411.7900390000004</v>
      </c>
      <c r="G740" s="29">
        <v>35061.550779999998</v>
      </c>
      <c r="H740" s="29">
        <v>11.72346497</v>
      </c>
      <c r="I740" s="29">
        <v>9.5647249219999999</v>
      </c>
      <c r="J740" s="29">
        <v>12.571022989999999</v>
      </c>
      <c r="L740" s="30">
        <f t="shared" si="48"/>
        <v>-1.9944465373961107E-3</v>
      </c>
      <c r="M740" s="30">
        <f t="shared" si="48"/>
        <v>-5.7953621656982035E-3</v>
      </c>
      <c r="N740" s="30">
        <f t="shared" si="48"/>
        <v>2.2249481554261763E-3</v>
      </c>
      <c r="O740" s="30">
        <f t="shared" si="48"/>
        <v>1.1487159846171213E-2</v>
      </c>
      <c r="P740" s="30">
        <f t="shared" si="48"/>
        <v>1.0145452114928899E-2</v>
      </c>
      <c r="Q740" s="30">
        <f t="shared" si="48"/>
        <v>6.8402152386044524E-3</v>
      </c>
      <c r="R740" s="30">
        <f t="shared" si="48"/>
        <v>-8.1736085870987019E-4</v>
      </c>
      <c r="S740" s="30">
        <f t="shared" si="48"/>
        <v>-1.0007582284951022E-3</v>
      </c>
      <c r="T740" s="30">
        <f t="shared" si="48"/>
        <v>0</v>
      </c>
      <c r="U740" s="63">
        <f t="shared" si="49"/>
        <v>3.6985854997116539E-3</v>
      </c>
    </row>
    <row r="741" spans="1:21">
      <c r="A741" s="28">
        <v>44403</v>
      </c>
      <c r="B741" s="29">
        <v>1798.6999510000001</v>
      </c>
      <c r="C741" s="29">
        <v>25.295000080000001</v>
      </c>
      <c r="D741" s="29">
        <v>71.910003660000001</v>
      </c>
      <c r="E741" s="29">
        <v>15125.950199999999</v>
      </c>
      <c r="F741" s="29">
        <v>4422.2998049999997</v>
      </c>
      <c r="G741" s="29">
        <v>35144.308590000001</v>
      </c>
      <c r="H741" s="29">
        <v>11.713870999999999</v>
      </c>
      <c r="I741" s="29">
        <v>9.5551385880000002</v>
      </c>
      <c r="J741" s="29">
        <v>12.561476710000001</v>
      </c>
      <c r="L741" s="30">
        <f t="shared" si="48"/>
        <v>-1.4988747441029293E-3</v>
      </c>
      <c r="M741" s="30">
        <f t="shared" si="48"/>
        <v>3.0533614381840213E-3</v>
      </c>
      <c r="N741" s="30">
        <f t="shared" si="48"/>
        <v>-2.2200087510504396E-3</v>
      </c>
      <c r="O741" s="30">
        <f t="shared" si="48"/>
        <v>9.3702731195444144E-4</v>
      </c>
      <c r="P741" s="30">
        <f t="shared" si="48"/>
        <v>2.3821999476614231E-3</v>
      </c>
      <c r="Q741" s="30">
        <f t="shared" si="48"/>
        <v>2.3603579464948066E-3</v>
      </c>
      <c r="R741" s="30">
        <f t="shared" si="48"/>
        <v>-8.183561792142191E-4</v>
      </c>
      <c r="S741" s="30">
        <f t="shared" si="48"/>
        <v>-1.0022592472000991E-3</v>
      </c>
      <c r="T741" s="30">
        <f t="shared" si="48"/>
        <v>-7.5938768130423551E-4</v>
      </c>
      <c r="U741" s="63">
        <f t="shared" si="49"/>
        <v>8.9487374812267093E-4</v>
      </c>
    </row>
    <row r="742" spans="1:21">
      <c r="A742" s="28">
        <v>44404</v>
      </c>
      <c r="B742" s="29">
        <v>1799.5</v>
      </c>
      <c r="C742" s="29">
        <v>24.631999969999999</v>
      </c>
      <c r="D742" s="29">
        <v>71.650001529999997</v>
      </c>
      <c r="E742" s="29">
        <v>14956.969730000001</v>
      </c>
      <c r="F742" s="29">
        <v>4401.4599609999996</v>
      </c>
      <c r="G742" s="29">
        <v>35058.519529999998</v>
      </c>
      <c r="H742" s="29">
        <v>11.74265194</v>
      </c>
      <c r="I742" s="29">
        <v>9.5743064879999995</v>
      </c>
      <c r="J742" s="29">
        <v>12.59011078</v>
      </c>
      <c r="L742" s="30">
        <f t="shared" si="48"/>
        <v>4.4479291810461952E-4</v>
      </c>
      <c r="M742" s="30">
        <f t="shared" si="48"/>
        <v>-2.6210717845548293E-2</v>
      </c>
      <c r="N742" s="30">
        <f t="shared" si="48"/>
        <v>-3.6156600857556453E-3</v>
      </c>
      <c r="O742" s="30">
        <f t="shared" si="48"/>
        <v>-1.1171560646814682E-2</v>
      </c>
      <c r="P742" s="30">
        <f t="shared" si="48"/>
        <v>-4.7124448632899218E-3</v>
      </c>
      <c r="Q742" s="30">
        <f t="shared" si="48"/>
        <v>-2.4410512951281715E-3</v>
      </c>
      <c r="R742" s="30">
        <f t="shared" si="48"/>
        <v>2.4569964958638391E-3</v>
      </c>
      <c r="S742" s="30">
        <f t="shared" si="48"/>
        <v>2.0060305586850902E-3</v>
      </c>
      <c r="T742" s="30">
        <f t="shared" si="48"/>
        <v>2.279514635186386E-3</v>
      </c>
      <c r="U742" s="63">
        <f t="shared" si="49"/>
        <v>-6.4699322988467671E-3</v>
      </c>
    </row>
    <row r="743" spans="1:21">
      <c r="A743" s="28">
        <v>44405</v>
      </c>
      <c r="B743" s="29">
        <v>1799.5</v>
      </c>
      <c r="C743" s="29">
        <v>24.856000900000002</v>
      </c>
      <c r="D743" s="29">
        <v>72.38999939</v>
      </c>
      <c r="E743" s="29">
        <v>15018.099609999999</v>
      </c>
      <c r="F743" s="29">
        <v>4400.6401370000003</v>
      </c>
      <c r="G743" s="29">
        <v>34930.929689999997</v>
      </c>
      <c r="H743" s="29">
        <v>11.74265194</v>
      </c>
      <c r="I743" s="29">
        <v>9.5838918690000003</v>
      </c>
      <c r="J743" s="29">
        <v>12.59011078</v>
      </c>
      <c r="L743" s="30">
        <f t="shared" si="48"/>
        <v>0</v>
      </c>
      <c r="M743" s="30">
        <f t="shared" si="48"/>
        <v>9.0938994102314208E-3</v>
      </c>
      <c r="N743" s="30">
        <f t="shared" si="48"/>
        <v>1.0327953163967063E-2</v>
      </c>
      <c r="O743" s="30">
        <f t="shared" si="48"/>
        <v>4.0870497903988667E-3</v>
      </c>
      <c r="P743" s="30">
        <f t="shared" si="48"/>
        <v>-1.8626183295167298E-4</v>
      </c>
      <c r="Q743" s="30">
        <f t="shared" si="48"/>
        <v>-3.6393390739395404E-3</v>
      </c>
      <c r="R743" s="30">
        <f t="shared" si="48"/>
        <v>0</v>
      </c>
      <c r="S743" s="30">
        <f t="shared" si="48"/>
        <v>1.0011566907759395E-3</v>
      </c>
      <c r="T743" s="30">
        <f t="shared" si="48"/>
        <v>0</v>
      </c>
      <c r="U743" s="63">
        <f t="shared" si="49"/>
        <v>2.6011104988023386E-3</v>
      </c>
    </row>
    <row r="744" spans="1:21">
      <c r="A744" s="28">
        <v>44406</v>
      </c>
      <c r="B744" s="29">
        <v>1831.1999510000001</v>
      </c>
      <c r="C744" s="29">
        <v>25.763999940000001</v>
      </c>
      <c r="D744" s="29">
        <v>73.620002749999998</v>
      </c>
      <c r="E744" s="29">
        <v>15048.360350000001</v>
      </c>
      <c r="F744" s="29">
        <v>4419.1499020000001</v>
      </c>
      <c r="G744" s="29">
        <v>35084.53125</v>
      </c>
      <c r="H744" s="29">
        <v>11.72346497</v>
      </c>
      <c r="I744" s="29">
        <v>9.5743064879999995</v>
      </c>
      <c r="J744" s="29">
        <v>12.58057213</v>
      </c>
      <c r="L744" s="30">
        <f t="shared" ref="L744:T772" si="50">(B744/B743)-1</f>
        <v>1.7615977215893253E-2</v>
      </c>
      <c r="M744" s="30">
        <f t="shared" si="50"/>
        <v>3.6530375246325297E-2</v>
      </c>
      <c r="N744" s="30">
        <f t="shared" si="50"/>
        <v>1.6991343698918637E-2</v>
      </c>
      <c r="O744" s="30">
        <f t="shared" si="50"/>
        <v>2.0149513444331912E-3</v>
      </c>
      <c r="P744" s="30">
        <f t="shared" si="50"/>
        <v>4.2061528377137503E-3</v>
      </c>
      <c r="Q744" s="30">
        <f t="shared" si="50"/>
        <v>4.3972937841381121E-3</v>
      </c>
      <c r="R744" s="30">
        <f t="shared" si="50"/>
        <v>-1.6339554385190747E-3</v>
      </c>
      <c r="S744" s="30">
        <f t="shared" si="50"/>
        <v>-1.0001553785269346E-3</v>
      </c>
      <c r="T744" s="30">
        <f t="shared" si="50"/>
        <v>-7.5763034707787558E-4</v>
      </c>
      <c r="U744" s="63">
        <f t="shared" si="49"/>
        <v>9.2032666901489309E-3</v>
      </c>
    </row>
    <row r="745" spans="1:21">
      <c r="A745" s="28">
        <v>44407</v>
      </c>
      <c r="B745" s="29">
        <v>1812.599976</v>
      </c>
      <c r="C745" s="29">
        <v>25.527999879999999</v>
      </c>
      <c r="D745" s="29">
        <v>73.949996949999999</v>
      </c>
      <c r="E745" s="29">
        <v>14959.900390000001</v>
      </c>
      <c r="F745" s="29">
        <v>4395.2597660000001</v>
      </c>
      <c r="G745" s="29">
        <v>34935.46875</v>
      </c>
      <c r="H745" s="29">
        <v>11.75997448</v>
      </c>
      <c r="I745" s="29">
        <v>9.5944566729999998</v>
      </c>
      <c r="J745" s="29">
        <v>12.59587002</v>
      </c>
      <c r="L745" s="30">
        <f t="shared" si="50"/>
        <v>-1.0157260538284141E-2</v>
      </c>
      <c r="M745" s="30">
        <f t="shared" si="50"/>
        <v>-9.1600706625371009E-3</v>
      </c>
      <c r="N745" s="30">
        <f t="shared" si="50"/>
        <v>4.482398637237317E-3</v>
      </c>
      <c r="O745" s="30">
        <f t="shared" si="50"/>
        <v>-5.8783786367795354E-3</v>
      </c>
      <c r="P745" s="30">
        <f t="shared" si="50"/>
        <v>-5.4060478892530295E-3</v>
      </c>
      <c r="Q745" s="30">
        <f t="shared" si="50"/>
        <v>-4.2486672812537263E-3</v>
      </c>
      <c r="R745" s="30">
        <f t="shared" si="50"/>
        <v>3.1142251965119438E-3</v>
      </c>
      <c r="S745" s="30">
        <f t="shared" si="50"/>
        <v>2.1046103992237164E-3</v>
      </c>
      <c r="T745" s="30">
        <f t="shared" si="50"/>
        <v>1.2159931871078555E-3</v>
      </c>
      <c r="U745" s="63">
        <f t="shared" si="49"/>
        <v>-3.5904155272448658E-3</v>
      </c>
    </row>
    <row r="746" spans="1:21">
      <c r="A746" s="28">
        <v>44410</v>
      </c>
      <c r="B746" s="29">
        <v>1818.099976</v>
      </c>
      <c r="C746" s="29">
        <v>25.556999210000001</v>
      </c>
      <c r="D746" s="29">
        <v>71.260002139999997</v>
      </c>
      <c r="E746" s="29">
        <v>14963.62012</v>
      </c>
      <c r="F746" s="29">
        <v>4387.1601559999999</v>
      </c>
      <c r="G746" s="29">
        <v>34838.160159999999</v>
      </c>
      <c r="H746" s="29">
        <v>11.79840469</v>
      </c>
      <c r="I746" s="29">
        <v>9.6136455539999996</v>
      </c>
      <c r="J746" s="29">
        <v>12.624562259999999</v>
      </c>
      <c r="L746" s="30">
        <f t="shared" si="50"/>
        <v>3.0343153882950169E-3</v>
      </c>
      <c r="M746" s="30">
        <f t="shared" si="50"/>
        <v>1.1359812808022784E-3</v>
      </c>
      <c r="N746" s="30">
        <f t="shared" si="50"/>
        <v>-3.6375860999951048E-2</v>
      </c>
      <c r="O746" s="30">
        <f t="shared" si="50"/>
        <v>2.4864670907076558E-4</v>
      </c>
      <c r="P746" s="30">
        <f t="shared" si="50"/>
        <v>-1.8428057569328526E-3</v>
      </c>
      <c r="Q746" s="30">
        <f t="shared" si="50"/>
        <v>-2.7853809747436786E-3</v>
      </c>
      <c r="R746" s="30">
        <f t="shared" si="50"/>
        <v>3.2678820915263973E-3</v>
      </c>
      <c r="S746" s="30">
        <f t="shared" si="50"/>
        <v>1.9999966286783355E-3</v>
      </c>
      <c r="T746" s="30">
        <f t="shared" si="50"/>
        <v>2.2779085489483819E-3</v>
      </c>
      <c r="U746" s="63">
        <f t="shared" si="49"/>
        <v>-2.4383962152560402E-3</v>
      </c>
    </row>
    <row r="747" spans="1:21">
      <c r="A747" s="28">
        <v>44411</v>
      </c>
      <c r="B747" s="29">
        <v>1810.099976</v>
      </c>
      <c r="C747" s="29">
        <v>25.565999980000001</v>
      </c>
      <c r="D747" s="29">
        <v>70.559997559999999</v>
      </c>
      <c r="E747" s="29">
        <v>15061.41992</v>
      </c>
      <c r="F747" s="29">
        <v>4423.1499020000001</v>
      </c>
      <c r="G747" s="29">
        <v>35116.398439999997</v>
      </c>
      <c r="H747" s="29">
        <v>11.79840469</v>
      </c>
      <c r="I747" s="29">
        <v>9.6040515899999992</v>
      </c>
      <c r="J747" s="29">
        <v>12.624562259999999</v>
      </c>
      <c r="L747" s="30">
        <f t="shared" si="50"/>
        <v>-4.4001980669956531E-3</v>
      </c>
      <c r="M747" s="30">
        <f t="shared" si="50"/>
        <v>3.5218414830473499E-4</v>
      </c>
      <c r="N747" s="30">
        <f t="shared" si="50"/>
        <v>-9.8232466878789282E-3</v>
      </c>
      <c r="O747" s="30">
        <f t="shared" si="50"/>
        <v>6.535838200629307E-3</v>
      </c>
      <c r="P747" s="30">
        <f t="shared" si="50"/>
        <v>8.2034265265606976E-3</v>
      </c>
      <c r="Q747" s="30">
        <f t="shared" si="50"/>
        <v>7.9865951221920195E-3</v>
      </c>
      <c r="R747" s="30">
        <f t="shared" si="50"/>
        <v>0</v>
      </c>
      <c r="S747" s="30">
        <f t="shared" si="50"/>
        <v>-9.9795274811320667E-4</v>
      </c>
      <c r="T747" s="30">
        <f t="shared" si="50"/>
        <v>0</v>
      </c>
      <c r="U747" s="63">
        <f t="shared" si="49"/>
        <v>2.4683671879225828E-3</v>
      </c>
    </row>
    <row r="748" spans="1:21">
      <c r="A748" s="28">
        <v>44412</v>
      </c>
      <c r="B748" s="29">
        <v>1810.5</v>
      </c>
      <c r="C748" s="29">
        <v>25.445999149999999</v>
      </c>
      <c r="D748" s="29">
        <v>68.150001529999997</v>
      </c>
      <c r="E748" s="29">
        <v>15083.389649999999</v>
      </c>
      <c r="F748" s="29">
        <v>4402.6601559999999</v>
      </c>
      <c r="G748" s="29">
        <v>34792.671880000002</v>
      </c>
      <c r="H748" s="29">
        <v>11.79840469</v>
      </c>
      <c r="I748" s="29">
        <v>9.6136455539999996</v>
      </c>
      <c r="J748" s="29">
        <v>12.624562259999999</v>
      </c>
      <c r="L748" s="30">
        <f t="shared" si="50"/>
        <v>2.2099552803922506E-4</v>
      </c>
      <c r="M748" s="30">
        <f t="shared" si="50"/>
        <v>-4.6937663339543523E-3</v>
      </c>
      <c r="N748" s="30">
        <f t="shared" si="50"/>
        <v>-3.415527371512006E-2</v>
      </c>
      <c r="O748" s="30">
        <f t="shared" si="50"/>
        <v>1.4586758829309154E-3</v>
      </c>
      <c r="P748" s="30">
        <f t="shared" si="50"/>
        <v>-4.6323878805769603E-3</v>
      </c>
      <c r="Q748" s="30">
        <f t="shared" si="50"/>
        <v>-9.2186720273468303E-3</v>
      </c>
      <c r="R748" s="30">
        <f t="shared" si="50"/>
        <v>0</v>
      </c>
      <c r="S748" s="30">
        <f t="shared" si="50"/>
        <v>9.9894965266433822E-4</v>
      </c>
      <c r="T748" s="30">
        <f t="shared" si="50"/>
        <v>0</v>
      </c>
      <c r="U748" s="63">
        <f t="shared" si="49"/>
        <v>-4.6874661278201186E-3</v>
      </c>
    </row>
    <row r="749" spans="1:21">
      <c r="A749" s="28">
        <v>44413</v>
      </c>
      <c r="B749" s="29">
        <v>1805.099976</v>
      </c>
      <c r="C749" s="29">
        <v>25.277000430000001</v>
      </c>
      <c r="D749" s="29">
        <v>69.089996339999999</v>
      </c>
      <c r="E749" s="29">
        <v>15181.639649999999</v>
      </c>
      <c r="F749" s="29">
        <v>4429.1000979999999</v>
      </c>
      <c r="G749" s="29">
        <v>35064.25</v>
      </c>
      <c r="H749" s="29">
        <v>11.76958084</v>
      </c>
      <c r="I749" s="29">
        <v>9.5944566729999998</v>
      </c>
      <c r="J749" s="29">
        <v>12.59587002</v>
      </c>
      <c r="L749" s="30">
        <f t="shared" si="50"/>
        <v>-2.9826147473074327E-3</v>
      </c>
      <c r="M749" s="30">
        <f t="shared" si="50"/>
        <v>-6.6414652851231049E-3</v>
      </c>
      <c r="N749" s="30">
        <f t="shared" si="50"/>
        <v>1.3793026983076606E-2</v>
      </c>
      <c r="O749" s="30">
        <f t="shared" si="50"/>
        <v>6.5137878341556821E-3</v>
      </c>
      <c r="P749" s="30">
        <f t="shared" si="50"/>
        <v>6.0054469486969797E-3</v>
      </c>
      <c r="Q749" s="30">
        <f t="shared" si="50"/>
        <v>7.8056126570753559E-3</v>
      </c>
      <c r="R749" s="30">
        <f t="shared" si="50"/>
        <v>-2.4430294397708163E-3</v>
      </c>
      <c r="S749" s="30">
        <f t="shared" si="50"/>
        <v>-1.9960046261551234E-3</v>
      </c>
      <c r="T749" s="30">
        <f t="shared" si="50"/>
        <v>-2.2727314744931393E-3</v>
      </c>
      <c r="U749" s="63">
        <f t="shared" si="49"/>
        <v>2.1379968222109153E-3</v>
      </c>
    </row>
    <row r="750" spans="1:21">
      <c r="A750" s="28">
        <v>44414</v>
      </c>
      <c r="B750" s="29">
        <v>1760</v>
      </c>
      <c r="C750" s="29">
        <v>24.312000269999999</v>
      </c>
      <c r="D750" s="29">
        <v>68.27999878</v>
      </c>
      <c r="E750" s="29">
        <v>15109.360350000001</v>
      </c>
      <c r="F750" s="29">
        <v>4436.5200199999999</v>
      </c>
      <c r="G750" s="29">
        <v>35208.511720000002</v>
      </c>
      <c r="H750" s="29">
        <v>11.711933139999999</v>
      </c>
      <c r="I750" s="29">
        <v>9.5560789110000002</v>
      </c>
      <c r="J750" s="29">
        <v>12.53848648</v>
      </c>
      <c r="L750" s="30">
        <f t="shared" si="50"/>
        <v>-2.4984752423485745E-2</v>
      </c>
      <c r="M750" s="30">
        <f t="shared" si="50"/>
        <v>-3.8177004533128556E-2</v>
      </c>
      <c r="N750" s="30">
        <f t="shared" si="50"/>
        <v>-1.1723803776365949E-2</v>
      </c>
      <c r="O750" s="30">
        <f t="shared" si="50"/>
        <v>-4.7609679630353785E-3</v>
      </c>
      <c r="P750" s="30">
        <f t="shared" si="50"/>
        <v>1.6752662698571452E-3</v>
      </c>
      <c r="Q750" s="30">
        <f t="shared" si="50"/>
        <v>4.1142109128244897E-3</v>
      </c>
      <c r="R750" s="30">
        <f t="shared" si="50"/>
        <v>-4.8980248985656116E-3</v>
      </c>
      <c r="S750" s="30">
        <f t="shared" si="50"/>
        <v>-3.99999325735656E-3</v>
      </c>
      <c r="T750" s="30">
        <f t="shared" si="50"/>
        <v>-4.5557424702609151E-3</v>
      </c>
      <c r="U750" s="63">
        <f t="shared" si="49"/>
        <v>-9.1102822525663645E-3</v>
      </c>
    </row>
    <row r="751" spans="1:21">
      <c r="A751" s="28">
        <v>44417</v>
      </c>
      <c r="B751" s="29">
        <v>1723.400024</v>
      </c>
      <c r="C751" s="29">
        <v>23.254999160000001</v>
      </c>
      <c r="D751" s="29">
        <v>66.480003359999998</v>
      </c>
      <c r="E751" s="29">
        <v>15133.110350000001</v>
      </c>
      <c r="F751" s="29">
        <v>4432.3500979999999</v>
      </c>
      <c r="G751" s="29">
        <v>35101.851560000003</v>
      </c>
      <c r="H751" s="29">
        <v>11.69272041</v>
      </c>
      <c r="I751" s="29">
        <v>9.5464820859999993</v>
      </c>
      <c r="J751" s="29">
        <v>12.51935673</v>
      </c>
      <c r="L751" s="30">
        <f t="shared" si="50"/>
        <v>-2.0795440909090912E-2</v>
      </c>
      <c r="M751" s="30">
        <f t="shared" si="50"/>
        <v>-4.3476517697488393E-2</v>
      </c>
      <c r="N751" s="30">
        <f t="shared" si="50"/>
        <v>-2.6361972058605909E-2</v>
      </c>
      <c r="O751" s="30">
        <f t="shared" si="50"/>
        <v>1.5718732924387968E-3</v>
      </c>
      <c r="P751" s="30">
        <f t="shared" si="50"/>
        <v>-9.3990830227341782E-4</v>
      </c>
      <c r="Q751" s="30">
        <f t="shared" si="50"/>
        <v>-3.0293856453867951E-3</v>
      </c>
      <c r="R751" s="30">
        <f t="shared" si="50"/>
        <v>-1.6404405464356397E-3</v>
      </c>
      <c r="S751" s="30">
        <f t="shared" si="50"/>
        <v>-1.0042638920607638E-3</v>
      </c>
      <c r="T751" s="30">
        <f t="shared" si="50"/>
        <v>-1.525682547930618E-3</v>
      </c>
      <c r="U751" s="63">
        <f t="shared" si="49"/>
        <v>-1.0272257377565926E-2</v>
      </c>
    </row>
    <row r="752" spans="1:21">
      <c r="A752" s="28">
        <v>44418</v>
      </c>
      <c r="B752" s="29">
        <v>1728.8000489999999</v>
      </c>
      <c r="C752" s="29">
        <v>23.377000809999998</v>
      </c>
      <c r="D752" s="29">
        <v>68.290000919999997</v>
      </c>
      <c r="E752" s="29">
        <v>15053.58008</v>
      </c>
      <c r="F752" s="29">
        <v>4436.75</v>
      </c>
      <c r="G752" s="29">
        <v>35264.671880000002</v>
      </c>
      <c r="H752" s="29">
        <v>11.673505779999999</v>
      </c>
      <c r="I752" s="29">
        <v>9.5368881230000007</v>
      </c>
      <c r="J752" s="29">
        <v>12.50022888</v>
      </c>
      <c r="L752" s="30">
        <f t="shared" si="50"/>
        <v>3.1333555325516738E-3</v>
      </c>
      <c r="M752" s="30">
        <f t="shared" si="50"/>
        <v>5.2462547584111174E-3</v>
      </c>
      <c r="N752" s="30">
        <f t="shared" si="50"/>
        <v>2.7226195374849382E-2</v>
      </c>
      <c r="O752" s="30">
        <f t="shared" si="50"/>
        <v>-5.2553816208709137E-3</v>
      </c>
      <c r="P752" s="30">
        <f t="shared" si="50"/>
        <v>9.9267925653823141E-4</v>
      </c>
      <c r="Q752" s="30">
        <f t="shared" si="50"/>
        <v>4.638510869481971E-3</v>
      </c>
      <c r="R752" s="30">
        <f t="shared" si="50"/>
        <v>-1.6432985076396678E-3</v>
      </c>
      <c r="S752" s="30">
        <f t="shared" si="50"/>
        <v>-1.0049736555907129E-3</v>
      </c>
      <c r="T752" s="30">
        <f t="shared" si="50"/>
        <v>-1.5278620469504345E-3</v>
      </c>
      <c r="U752" s="63">
        <f t="shared" si="49"/>
        <v>2.5235805200709022E-3</v>
      </c>
    </row>
    <row r="753" spans="1:21">
      <c r="A753" s="28">
        <v>44419</v>
      </c>
      <c r="B753" s="29">
        <v>1750.400024</v>
      </c>
      <c r="C753" s="29">
        <v>23.474000929999999</v>
      </c>
      <c r="D753" s="29">
        <v>69.25</v>
      </c>
      <c r="E753" s="29">
        <v>15027.759770000001</v>
      </c>
      <c r="F753" s="29">
        <v>4442.4101559999999</v>
      </c>
      <c r="G753" s="29">
        <v>35484.96875</v>
      </c>
      <c r="H753" s="29">
        <v>11.68310833</v>
      </c>
      <c r="I753" s="29">
        <v>9.5368881230000007</v>
      </c>
      <c r="J753" s="29">
        <v>12.50979424</v>
      </c>
      <c r="L753" s="30">
        <f t="shared" si="50"/>
        <v>1.2494200825881707E-2</v>
      </c>
      <c r="M753" s="30">
        <f t="shared" si="50"/>
        <v>4.1493825828378128E-3</v>
      </c>
      <c r="N753" s="30">
        <f t="shared" si="50"/>
        <v>1.4057681462394722E-2</v>
      </c>
      <c r="O753" s="30">
        <f t="shared" si="50"/>
        <v>-1.7152271992961765E-3</v>
      </c>
      <c r="P753" s="30">
        <f t="shared" si="50"/>
        <v>1.2757437313348774E-3</v>
      </c>
      <c r="Q753" s="30">
        <f t="shared" si="50"/>
        <v>6.2469564653722109E-3</v>
      </c>
      <c r="R753" s="30">
        <f t="shared" si="50"/>
        <v>8.2259350198388148E-4</v>
      </c>
      <c r="S753" s="30">
        <f t="shared" si="50"/>
        <v>0</v>
      </c>
      <c r="T753" s="30">
        <f t="shared" si="50"/>
        <v>7.6521478861102388E-4</v>
      </c>
      <c r="U753" s="63">
        <f t="shared" si="49"/>
        <v>2.8609497372261523E-3</v>
      </c>
    </row>
    <row r="754" spans="1:21">
      <c r="A754" s="28">
        <v>44420</v>
      </c>
      <c r="B754" s="29">
        <v>1749</v>
      </c>
      <c r="C754" s="29">
        <v>23.104999540000001</v>
      </c>
      <c r="D754" s="29">
        <v>69.089996339999999</v>
      </c>
      <c r="E754" s="29">
        <v>15088.98047</v>
      </c>
      <c r="F754" s="29">
        <v>4460.830078</v>
      </c>
      <c r="G754" s="29">
        <v>35499.851560000003</v>
      </c>
      <c r="H754" s="29">
        <v>11.673505779999999</v>
      </c>
      <c r="I754" s="29">
        <v>9.5368881230000007</v>
      </c>
      <c r="J754" s="29">
        <v>12.50979424</v>
      </c>
      <c r="L754" s="30">
        <f t="shared" si="50"/>
        <v>-7.9983088482871167E-4</v>
      </c>
      <c r="M754" s="30">
        <f t="shared" si="50"/>
        <v>-1.5719578060014894E-2</v>
      </c>
      <c r="N754" s="30">
        <f t="shared" si="50"/>
        <v>-2.3105221660649766E-3</v>
      </c>
      <c r="O754" s="30">
        <f t="shared" si="50"/>
        <v>4.0738407412004296E-3</v>
      </c>
      <c r="P754" s="30">
        <f t="shared" si="50"/>
        <v>4.1463803100489915E-3</v>
      </c>
      <c r="Q754" s="30">
        <f t="shared" si="50"/>
        <v>4.1941166990611123E-4</v>
      </c>
      <c r="R754" s="30">
        <f t="shared" si="50"/>
        <v>-8.2191739807313535E-4</v>
      </c>
      <c r="S754" s="30">
        <f t="shared" si="50"/>
        <v>0</v>
      </c>
      <c r="T754" s="30">
        <f t="shared" si="50"/>
        <v>0</v>
      </c>
      <c r="U754" s="63">
        <f t="shared" si="49"/>
        <v>-8.5371956666655587E-4</v>
      </c>
    </row>
    <row r="755" spans="1:21">
      <c r="A755" s="28">
        <v>44421</v>
      </c>
      <c r="B755" s="29">
        <v>1775.1999510000001</v>
      </c>
      <c r="C755" s="29">
        <v>23.76799965</v>
      </c>
      <c r="D755" s="29">
        <v>68.440002440000001</v>
      </c>
      <c r="E755" s="29">
        <v>15136.679690000001</v>
      </c>
      <c r="F755" s="29">
        <v>4468</v>
      </c>
      <c r="G755" s="29">
        <v>35515.378909999999</v>
      </c>
      <c r="H755" s="29">
        <v>11.721543309999999</v>
      </c>
      <c r="I755" s="29">
        <v>9.5656709670000009</v>
      </c>
      <c r="J755" s="29">
        <v>12.54805183</v>
      </c>
      <c r="L755" s="30">
        <f t="shared" si="50"/>
        <v>1.4979960548885174E-2</v>
      </c>
      <c r="M755" s="30">
        <f t="shared" si="50"/>
        <v>2.8695092975535186E-2</v>
      </c>
      <c r="N755" s="30">
        <f t="shared" si="50"/>
        <v>-9.4079307343034602E-3</v>
      </c>
      <c r="O755" s="30">
        <f t="shared" si="50"/>
        <v>3.1611956881272274E-3</v>
      </c>
      <c r="P755" s="30">
        <f t="shared" si="50"/>
        <v>1.6073066838750982E-3</v>
      </c>
      <c r="Q755" s="30">
        <f t="shared" si="50"/>
        <v>4.3739196975955963E-4</v>
      </c>
      <c r="R755" s="30">
        <f t="shared" si="50"/>
        <v>4.1150902655398003E-3</v>
      </c>
      <c r="S755" s="30">
        <f t="shared" si="50"/>
        <v>3.0180540684527912E-3</v>
      </c>
      <c r="T755" s="30">
        <f t="shared" si="50"/>
        <v>3.0582109718217954E-3</v>
      </c>
      <c r="U755" s="63">
        <f t="shared" si="49"/>
        <v>6.1808254942443018E-3</v>
      </c>
    </row>
    <row r="756" spans="1:21">
      <c r="A756" s="28">
        <v>44424</v>
      </c>
      <c r="B756" s="29">
        <v>1786.900024</v>
      </c>
      <c r="C756" s="29">
        <v>23.780000690000001</v>
      </c>
      <c r="D756" s="29">
        <v>67.290000919999997</v>
      </c>
      <c r="E756" s="29">
        <v>15140.76953</v>
      </c>
      <c r="F756" s="29">
        <v>4479.7099609999996</v>
      </c>
      <c r="G756" s="29">
        <v>35625.398439999997</v>
      </c>
      <c r="H756" s="29">
        <v>11.731151580000001</v>
      </c>
      <c r="I756" s="29">
        <v>9.575267792</v>
      </c>
      <c r="J756" s="29">
        <v>12.56717873</v>
      </c>
      <c r="L756" s="30">
        <f t="shared" si="50"/>
        <v>6.5908479737222248E-3</v>
      </c>
      <c r="M756" s="30">
        <f t="shared" si="50"/>
        <v>5.049242753587535E-4</v>
      </c>
      <c r="N756" s="30">
        <f t="shared" si="50"/>
        <v>-1.6803060768564193E-2</v>
      </c>
      <c r="O756" s="30">
        <f t="shared" si="50"/>
        <v>2.7019399787531206E-4</v>
      </c>
      <c r="P756" s="30">
        <f t="shared" si="50"/>
        <v>2.6208507162039929E-3</v>
      </c>
      <c r="Q756" s="30">
        <f t="shared" si="50"/>
        <v>3.0977996962611165E-3</v>
      </c>
      <c r="R756" s="30">
        <f t="shared" si="50"/>
        <v>8.19710318504141E-4</v>
      </c>
      <c r="S756" s="30">
        <f t="shared" si="50"/>
        <v>1.0032568581028745E-3</v>
      </c>
      <c r="T756" s="30">
        <f t="shared" si="50"/>
        <v>1.5242923968699085E-3</v>
      </c>
      <c r="U756" s="63">
        <f t="shared" si="49"/>
        <v>4.1266798615133726E-4</v>
      </c>
    </row>
    <row r="757" spans="1:21">
      <c r="A757" s="28">
        <v>44425</v>
      </c>
      <c r="B757" s="29">
        <v>1785</v>
      </c>
      <c r="C757" s="29">
        <v>23.648000719999999</v>
      </c>
      <c r="D757" s="29">
        <v>66.589996339999999</v>
      </c>
      <c r="E757" s="29">
        <v>15002.83008</v>
      </c>
      <c r="F757" s="29">
        <v>4448.080078</v>
      </c>
      <c r="G757" s="29">
        <v>35343.28125</v>
      </c>
      <c r="H757" s="29">
        <v>11.721543309999999</v>
      </c>
      <c r="I757" s="29">
        <v>9.5656709670000009</v>
      </c>
      <c r="J757" s="29">
        <v>12.55761528</v>
      </c>
      <c r="L757" s="30">
        <f t="shared" si="50"/>
        <v>-1.0633073896024747E-3</v>
      </c>
      <c r="M757" s="30">
        <f t="shared" si="50"/>
        <v>-5.5508816724093579E-3</v>
      </c>
      <c r="N757" s="30">
        <f t="shared" si="50"/>
        <v>-1.0402802354427365E-2</v>
      </c>
      <c r="O757" s="30">
        <f t="shared" si="50"/>
        <v>-9.1104649421342998E-3</v>
      </c>
      <c r="P757" s="30">
        <f t="shared" si="50"/>
        <v>-7.0606988567043505E-3</v>
      </c>
      <c r="Q757" s="30">
        <f t="shared" si="50"/>
        <v>-7.9189904493317531E-3</v>
      </c>
      <c r="R757" s="30">
        <f t="shared" si="50"/>
        <v>-8.1903894383072995E-4</v>
      </c>
      <c r="S757" s="30">
        <f t="shared" si="50"/>
        <v>-1.0022513425700375E-3</v>
      </c>
      <c r="T757" s="30">
        <f t="shared" si="50"/>
        <v>-7.6098623290610234E-4</v>
      </c>
      <c r="U757" s="63">
        <f t="shared" si="49"/>
        <v>-5.3856053219017283E-3</v>
      </c>
    </row>
    <row r="758" spans="1:21">
      <c r="A758" s="28">
        <v>44426</v>
      </c>
      <c r="B758" s="29">
        <v>1781.599976</v>
      </c>
      <c r="C758" s="29">
        <v>23.41200066</v>
      </c>
      <c r="D758" s="29">
        <v>65.459999080000003</v>
      </c>
      <c r="E758" s="29">
        <v>14857.91992</v>
      </c>
      <c r="F758" s="29">
        <v>4400.2700199999999</v>
      </c>
      <c r="G758" s="29">
        <v>34960.691409999999</v>
      </c>
      <c r="H758" s="29">
        <v>11.721543309999999</v>
      </c>
      <c r="I758" s="29">
        <v>9.5656709670000009</v>
      </c>
      <c r="J758" s="29">
        <v>12.55761528</v>
      </c>
      <c r="L758" s="30">
        <f t="shared" si="50"/>
        <v>-1.9047753501401088E-3</v>
      </c>
      <c r="M758" s="30">
        <f t="shared" si="50"/>
        <v>-9.979704533770728E-3</v>
      </c>
      <c r="N758" s="30">
        <f t="shared" si="50"/>
        <v>-1.6969474727560829E-2</v>
      </c>
      <c r="O758" s="30">
        <f t="shared" si="50"/>
        <v>-9.6588549778469091E-3</v>
      </c>
      <c r="P758" s="30">
        <f t="shared" si="50"/>
        <v>-1.074847061240336E-2</v>
      </c>
      <c r="Q758" s="30">
        <f t="shared" si="50"/>
        <v>-1.0824966626436283E-2</v>
      </c>
      <c r="R758" s="30">
        <f t="shared" si="50"/>
        <v>0</v>
      </c>
      <c r="S758" s="30">
        <f t="shared" si="50"/>
        <v>0</v>
      </c>
      <c r="T758" s="30">
        <f t="shared" si="50"/>
        <v>0</v>
      </c>
      <c r="U758" s="63">
        <f t="shared" si="49"/>
        <v>-7.663388464111273E-3</v>
      </c>
    </row>
    <row r="759" spans="1:21">
      <c r="A759" s="28">
        <v>44427</v>
      </c>
      <c r="B759" s="29">
        <v>1780.1999510000001</v>
      </c>
      <c r="C759" s="29">
        <v>23.219999309999999</v>
      </c>
      <c r="D759" s="29">
        <v>63.689998629999998</v>
      </c>
      <c r="E759" s="29">
        <v>14933.940430000001</v>
      </c>
      <c r="F759" s="29">
        <v>4405.7998049999997</v>
      </c>
      <c r="G759" s="29">
        <v>34894.121090000001</v>
      </c>
      <c r="H759" s="29">
        <v>11.74075985</v>
      </c>
      <c r="I759" s="29">
        <v>9.575267792</v>
      </c>
      <c r="J759" s="29">
        <v>12.55761528</v>
      </c>
      <c r="L759" s="30">
        <f t="shared" si="50"/>
        <v>-7.8582455032538689E-4</v>
      </c>
      <c r="M759" s="30">
        <f t="shared" si="50"/>
        <v>-8.2009800353389783E-3</v>
      </c>
      <c r="N759" s="30">
        <f t="shared" si="50"/>
        <v>-2.7039420636667755E-2</v>
      </c>
      <c r="O759" s="30">
        <f t="shared" si="50"/>
        <v>5.1164974915276495E-3</v>
      </c>
      <c r="P759" s="30">
        <f t="shared" si="50"/>
        <v>1.2566921972665401E-3</v>
      </c>
      <c r="Q759" s="30">
        <f t="shared" si="50"/>
        <v>-1.9041476960308668E-3</v>
      </c>
      <c r="R759" s="30">
        <f t="shared" si="50"/>
        <v>1.639420637008282E-3</v>
      </c>
      <c r="S759" s="30">
        <f t="shared" si="50"/>
        <v>1.0032568581028745E-3</v>
      </c>
      <c r="T759" s="30">
        <f t="shared" si="50"/>
        <v>0</v>
      </c>
      <c r="U759" s="63">
        <f t="shared" si="49"/>
        <v>-2.2188067914840326E-3</v>
      </c>
    </row>
    <row r="760" spans="1:21">
      <c r="A760" s="28">
        <v>44428</v>
      </c>
      <c r="B760" s="29">
        <v>1781</v>
      </c>
      <c r="C760" s="29">
        <v>23.104999540000001</v>
      </c>
      <c r="D760" s="29">
        <v>62.319999690000003</v>
      </c>
      <c r="E760" s="29">
        <v>15092.570309999999</v>
      </c>
      <c r="F760" s="29">
        <v>4441.669922</v>
      </c>
      <c r="G760" s="29">
        <v>35120.078130000002</v>
      </c>
      <c r="H760" s="29">
        <v>11.731151580000001</v>
      </c>
      <c r="I760" s="29">
        <v>9.575267792</v>
      </c>
      <c r="J760" s="29">
        <v>12.55761528</v>
      </c>
      <c r="L760" s="30">
        <f t="shared" si="50"/>
        <v>4.4941524661346044E-4</v>
      </c>
      <c r="M760" s="30">
        <f t="shared" si="50"/>
        <v>-4.9526172875669072E-3</v>
      </c>
      <c r="N760" s="30">
        <f t="shared" si="50"/>
        <v>-2.1510425019143908E-2</v>
      </c>
      <c r="O760" s="30">
        <f t="shared" si="50"/>
        <v>1.0622104778276409E-2</v>
      </c>
      <c r="P760" s="30">
        <f t="shared" si="50"/>
        <v>8.1415676126028735E-3</v>
      </c>
      <c r="Q760" s="30">
        <f t="shared" si="50"/>
        <v>6.4755045532514099E-3</v>
      </c>
      <c r="R760" s="30">
        <f t="shared" si="50"/>
        <v>-8.1836866802098562E-4</v>
      </c>
      <c r="S760" s="30">
        <f t="shared" si="50"/>
        <v>0</v>
      </c>
      <c r="T760" s="30">
        <f t="shared" si="50"/>
        <v>0</v>
      </c>
      <c r="U760" s="63">
        <f t="shared" si="49"/>
        <v>1.5539932920248494E-3</v>
      </c>
    </row>
    <row r="761" spans="1:21">
      <c r="A761" s="28">
        <v>44431</v>
      </c>
      <c r="B761" s="29">
        <v>1803.1999510000001</v>
      </c>
      <c r="C761" s="29">
        <v>23.649000170000001</v>
      </c>
      <c r="D761" s="29">
        <v>65.63999939</v>
      </c>
      <c r="E761" s="29">
        <v>15312.820309999999</v>
      </c>
      <c r="F761" s="29">
        <v>4479.5297849999997</v>
      </c>
      <c r="G761" s="29">
        <v>35335.710939999997</v>
      </c>
      <c r="H761" s="29">
        <v>11.74075985</v>
      </c>
      <c r="I761" s="29">
        <v>9.575267792</v>
      </c>
      <c r="J761" s="29">
        <v>12.56717873</v>
      </c>
      <c r="L761" s="30">
        <f t="shared" si="50"/>
        <v>1.2464879842784882E-2</v>
      </c>
      <c r="M761" s="30">
        <f t="shared" si="50"/>
        <v>2.3544715032701502E-2</v>
      </c>
      <c r="N761" s="30">
        <f t="shared" si="50"/>
        <v>5.3273422922252234E-2</v>
      </c>
      <c r="O761" s="30">
        <f t="shared" si="50"/>
        <v>1.4593273079143376E-2</v>
      </c>
      <c r="P761" s="30">
        <f t="shared" si="50"/>
        <v>8.523790300687617E-3</v>
      </c>
      <c r="Q761" s="30">
        <f t="shared" si="50"/>
        <v>6.1398727304025069E-3</v>
      </c>
      <c r="R761" s="30">
        <f t="shared" si="50"/>
        <v>8.190389438305079E-4</v>
      </c>
      <c r="S761" s="30">
        <f t="shared" si="50"/>
        <v>0</v>
      </c>
      <c r="T761" s="30">
        <f t="shared" si="50"/>
        <v>7.6156577397545888E-4</v>
      </c>
      <c r="U761" s="63">
        <f t="shared" si="49"/>
        <v>1.2904507696387263E-2</v>
      </c>
    </row>
    <row r="762" spans="1:21">
      <c r="A762" s="28">
        <v>44432</v>
      </c>
      <c r="B762" s="29">
        <v>1805.599976</v>
      </c>
      <c r="C762" s="29">
        <v>23.88999939</v>
      </c>
      <c r="D762" s="29">
        <v>67.540000919999997</v>
      </c>
      <c r="E762" s="29">
        <v>15357.679690000001</v>
      </c>
      <c r="F762" s="29">
        <v>4486.2299800000001</v>
      </c>
      <c r="G762" s="29">
        <v>35366.261720000002</v>
      </c>
      <c r="H762" s="29">
        <v>11.721543309999999</v>
      </c>
      <c r="I762" s="29">
        <v>9.5656709670000009</v>
      </c>
      <c r="J762" s="29">
        <v>12.54805183</v>
      </c>
      <c r="L762" s="30">
        <f t="shared" si="50"/>
        <v>1.3309810698858282E-3</v>
      </c>
      <c r="M762" s="30">
        <f t="shared" si="50"/>
        <v>1.0190672682463653E-2</v>
      </c>
      <c r="N762" s="30">
        <f t="shared" si="50"/>
        <v>2.8945788355529078E-2</v>
      </c>
      <c r="O762" s="30">
        <f t="shared" si="50"/>
        <v>2.9295308827406163E-3</v>
      </c>
      <c r="P762" s="30">
        <f t="shared" si="50"/>
        <v>1.4957362316099232E-3</v>
      </c>
      <c r="Q762" s="30">
        <f t="shared" si="50"/>
        <v>8.6458653830057131E-4</v>
      </c>
      <c r="R762" s="30">
        <f t="shared" si="50"/>
        <v>-1.6367373360421933E-3</v>
      </c>
      <c r="S762" s="30">
        <f t="shared" si="50"/>
        <v>-1.0022513425700375E-3</v>
      </c>
      <c r="T762" s="30">
        <f t="shared" si="50"/>
        <v>-1.5219724658120937E-3</v>
      </c>
      <c r="U762" s="63">
        <f t="shared" si="49"/>
        <v>4.2993769434814038E-3</v>
      </c>
    </row>
    <row r="763" spans="1:21">
      <c r="A763" s="28">
        <v>44433</v>
      </c>
      <c r="B763" s="29">
        <v>1788.1999510000001</v>
      </c>
      <c r="C763" s="29">
        <v>23.77099991</v>
      </c>
      <c r="D763" s="29">
        <v>68.36000061</v>
      </c>
      <c r="E763" s="29">
        <v>15368.91992</v>
      </c>
      <c r="F763" s="29">
        <v>4496.1899409999996</v>
      </c>
      <c r="G763" s="29">
        <v>35405.5</v>
      </c>
      <c r="H763" s="29">
        <v>11.69272041</v>
      </c>
      <c r="I763" s="29">
        <v>9.5464820859999993</v>
      </c>
      <c r="J763" s="29">
        <v>12.51935673</v>
      </c>
      <c r="L763" s="30">
        <f t="shared" si="50"/>
        <v>-9.636699840097851E-3</v>
      </c>
      <c r="M763" s="30">
        <f t="shared" si="50"/>
        <v>-4.981142027563723E-3</v>
      </c>
      <c r="N763" s="30">
        <f t="shared" si="50"/>
        <v>1.2140948753780467E-2</v>
      </c>
      <c r="O763" s="30">
        <f t="shared" si="50"/>
        <v>7.3189636891046739E-4</v>
      </c>
      <c r="P763" s="30">
        <f t="shared" si="50"/>
        <v>2.2201182383430051E-3</v>
      </c>
      <c r="Q763" s="30">
        <f t="shared" si="50"/>
        <v>1.1094833915625824E-3</v>
      </c>
      <c r="R763" s="30">
        <f t="shared" si="50"/>
        <v>-2.4589680076863019E-3</v>
      </c>
      <c r="S763" s="30">
        <f t="shared" si="50"/>
        <v>-2.0060151625745926E-3</v>
      </c>
      <c r="T763" s="30">
        <f t="shared" si="50"/>
        <v>-2.2868171401233539E-3</v>
      </c>
      <c r="U763" s="63">
        <f t="shared" si="49"/>
        <v>-1.3256948437615014E-4</v>
      </c>
    </row>
    <row r="764" spans="1:21">
      <c r="A764" s="28">
        <v>44434</v>
      </c>
      <c r="B764" s="29">
        <v>1792.1999510000001</v>
      </c>
      <c r="C764" s="29">
        <v>23.54599953</v>
      </c>
      <c r="D764" s="29">
        <v>67.41999817</v>
      </c>
      <c r="E764" s="29">
        <v>15278.51953</v>
      </c>
      <c r="F764" s="29">
        <v>4470</v>
      </c>
      <c r="G764" s="29">
        <v>35213.121090000001</v>
      </c>
      <c r="H764" s="29">
        <v>11.70232964</v>
      </c>
      <c r="I764" s="29">
        <v>9.5560789110000002</v>
      </c>
      <c r="J764" s="29">
        <v>12.528922079999999</v>
      </c>
      <c r="L764" s="30">
        <f t="shared" si="50"/>
        <v>2.2368863156287944E-3</v>
      </c>
      <c r="M764" s="30">
        <f t="shared" si="50"/>
        <v>-9.4653309011770714E-3</v>
      </c>
      <c r="N764" s="30">
        <f t="shared" si="50"/>
        <v>-1.3750766992569274E-2</v>
      </c>
      <c r="O764" s="30">
        <f t="shared" si="50"/>
        <v>-5.8820262237400112E-3</v>
      </c>
      <c r="P764" s="30">
        <f t="shared" si="50"/>
        <v>-5.8249187297845229E-3</v>
      </c>
      <c r="Q764" s="30">
        <f t="shared" si="50"/>
        <v>-5.4335882843060679E-3</v>
      </c>
      <c r="R764" s="30">
        <f t="shared" si="50"/>
        <v>8.218130309336491E-4</v>
      </c>
      <c r="S764" s="30">
        <f t="shared" si="50"/>
        <v>1.0052734518901651E-3</v>
      </c>
      <c r="T764" s="30">
        <f t="shared" si="50"/>
        <v>7.6404484721459553E-4</v>
      </c>
      <c r="U764" s="63">
        <f t="shared" si="49"/>
        <v>-4.7605315232911016E-3</v>
      </c>
    </row>
    <row r="765" spans="1:21">
      <c r="A765" s="28">
        <v>44435</v>
      </c>
      <c r="B765" s="29">
        <v>1816.599976</v>
      </c>
      <c r="C765" s="29">
        <v>24.059999470000001</v>
      </c>
      <c r="D765" s="29">
        <v>68.739997860000003</v>
      </c>
      <c r="E765" s="29">
        <v>15432.950199999999</v>
      </c>
      <c r="F765" s="29">
        <v>4509.3701170000004</v>
      </c>
      <c r="G765" s="29">
        <v>35455.800779999998</v>
      </c>
      <c r="H765" s="29">
        <v>11.721543309999999</v>
      </c>
      <c r="I765" s="29">
        <v>9.5656709670000009</v>
      </c>
      <c r="J765" s="29">
        <v>12.55761528</v>
      </c>
      <c r="L765" s="30">
        <f t="shared" si="50"/>
        <v>1.3614566268895123E-2</v>
      </c>
      <c r="M765" s="30">
        <f t="shared" si="50"/>
        <v>2.1829608012397639E-2</v>
      </c>
      <c r="N765" s="30">
        <f t="shared" si="50"/>
        <v>1.9578755945255599E-2</v>
      </c>
      <c r="O765" s="30">
        <f t="shared" si="50"/>
        <v>1.0107698569666201E-2</v>
      </c>
      <c r="P765" s="30">
        <f t="shared" si="50"/>
        <v>8.8076324384789295E-3</v>
      </c>
      <c r="Q765" s="30">
        <f t="shared" si="50"/>
        <v>6.8917404219790424E-3</v>
      </c>
      <c r="R765" s="30">
        <f t="shared" si="50"/>
        <v>1.6418670974986949E-3</v>
      </c>
      <c r="S765" s="30">
        <f t="shared" si="50"/>
        <v>1.0037648379985775E-3</v>
      </c>
      <c r="T765" s="30">
        <f t="shared" si="50"/>
        <v>2.2901571114248842E-3</v>
      </c>
      <c r="U765" s="63">
        <f t="shared" si="49"/>
        <v>1.0061244671017934E-2</v>
      </c>
    </row>
    <row r="766" spans="1:21">
      <c r="A766" s="28">
        <v>44438</v>
      </c>
      <c r="B766" s="29">
        <v>1809</v>
      </c>
      <c r="C766" s="29">
        <v>23.959999079999999</v>
      </c>
      <c r="D766" s="29">
        <v>69.209999080000003</v>
      </c>
      <c r="E766" s="29">
        <v>15605.089840000001</v>
      </c>
      <c r="F766" s="29">
        <v>4528.7900390000004</v>
      </c>
      <c r="G766" s="29">
        <v>35399.839840000001</v>
      </c>
      <c r="H766" s="29">
        <v>11.74075985</v>
      </c>
      <c r="I766" s="29">
        <v>9.575267792</v>
      </c>
      <c r="J766" s="29">
        <v>12.576739310000001</v>
      </c>
      <c r="L766" s="30">
        <f t="shared" si="50"/>
        <v>-4.1836266103748576E-3</v>
      </c>
      <c r="M766" s="30">
        <f t="shared" si="50"/>
        <v>-4.1562922777571565E-3</v>
      </c>
      <c r="N766" s="30">
        <f t="shared" si="50"/>
        <v>6.8373761220830165E-3</v>
      </c>
      <c r="O766" s="30">
        <f t="shared" si="50"/>
        <v>1.1154033270968533E-2</v>
      </c>
      <c r="P766" s="30">
        <f t="shared" si="50"/>
        <v>4.3065708726788277E-3</v>
      </c>
      <c r="Q766" s="30">
        <f t="shared" si="50"/>
        <v>-1.5783296038701655E-3</v>
      </c>
      <c r="R766" s="30">
        <f t="shared" si="50"/>
        <v>1.639420637008282E-3</v>
      </c>
      <c r="S766" s="30">
        <f t="shared" si="50"/>
        <v>1.0032568581028745E-3</v>
      </c>
      <c r="T766" s="30">
        <f t="shared" si="50"/>
        <v>1.5229030013730327E-3</v>
      </c>
      <c r="U766" s="63">
        <f t="shared" si="49"/>
        <v>2.5799105363836982E-3</v>
      </c>
    </row>
    <row r="767" spans="1:21">
      <c r="A767" s="28">
        <v>44439</v>
      </c>
      <c r="B767" s="29">
        <v>1815</v>
      </c>
      <c r="C767" s="29">
        <v>23.959999079999999</v>
      </c>
      <c r="D767" s="29">
        <v>68.5</v>
      </c>
      <c r="E767" s="29">
        <v>15582.509770000001</v>
      </c>
      <c r="F767" s="29">
        <v>4522.6801759999998</v>
      </c>
      <c r="G767" s="29">
        <v>35360.730470000002</v>
      </c>
      <c r="H767" s="29">
        <v>11.73883343</v>
      </c>
      <c r="I767" s="29">
        <v>9.5762281419999997</v>
      </c>
      <c r="J767" s="29">
        <v>12.554699899999999</v>
      </c>
      <c r="L767" s="30">
        <f t="shared" si="50"/>
        <v>3.3167495854062867E-3</v>
      </c>
      <c r="M767" s="30">
        <f t="shared" si="50"/>
        <v>0</v>
      </c>
      <c r="N767" s="30">
        <f t="shared" si="50"/>
        <v>-1.0258619988989026E-2</v>
      </c>
      <c r="O767" s="30">
        <f t="shared" si="50"/>
        <v>-1.4469682796776073E-3</v>
      </c>
      <c r="P767" s="30">
        <f t="shared" si="50"/>
        <v>-1.3491159774211559E-3</v>
      </c>
      <c r="Q767" s="30">
        <f t="shared" si="50"/>
        <v>-1.1047894616689202E-3</v>
      </c>
      <c r="R767" s="30">
        <f t="shared" si="50"/>
        <v>-1.6407966985210187E-4</v>
      </c>
      <c r="S767" s="30">
        <f t="shared" si="50"/>
        <v>1.0029484510098996E-4</v>
      </c>
      <c r="T767" s="30">
        <f t="shared" si="50"/>
        <v>-1.7523945958295428E-3</v>
      </c>
      <c r="U767" s="63">
        <f t="shared" si="49"/>
        <v>-1.3791735402221836E-3</v>
      </c>
    </row>
    <row r="768" spans="1:21">
      <c r="A768" s="28">
        <v>44440</v>
      </c>
      <c r="B768" s="29">
        <v>1813.099976</v>
      </c>
      <c r="C768" s="29">
        <v>24.17700005</v>
      </c>
      <c r="D768" s="29">
        <v>68.589996339999999</v>
      </c>
      <c r="E768" s="29">
        <v>15611.570309999999</v>
      </c>
      <c r="F768" s="29">
        <v>4524.0898440000001</v>
      </c>
      <c r="G768" s="29">
        <v>35312.53125</v>
      </c>
      <c r="H768" s="29">
        <v>11.74845695</v>
      </c>
      <c r="I768" s="29">
        <v>9.5858345029999992</v>
      </c>
      <c r="J768" s="29">
        <v>12.56428337</v>
      </c>
      <c r="L768" s="30">
        <f t="shared" si="50"/>
        <v>-1.0468451790633937E-3</v>
      </c>
      <c r="M768" s="30">
        <f t="shared" si="50"/>
        <v>9.056802100678496E-3</v>
      </c>
      <c r="N768" s="30">
        <f t="shared" si="50"/>
        <v>1.3138151824816369E-3</v>
      </c>
      <c r="O768" s="30">
        <f t="shared" si="50"/>
        <v>1.864946047134719E-3</v>
      </c>
      <c r="P768" s="30">
        <f t="shared" si="50"/>
        <v>3.1168863265662594E-4</v>
      </c>
      <c r="Q768" s="30">
        <f t="shared" si="50"/>
        <v>-1.3630719546615655E-3</v>
      </c>
      <c r="R768" s="30">
        <f t="shared" si="50"/>
        <v>8.1980207465970345E-4</v>
      </c>
      <c r="S768" s="30">
        <f t="shared" si="50"/>
        <v>1.0031466311737347E-3</v>
      </c>
      <c r="T768" s="30">
        <f t="shared" si="50"/>
        <v>7.6333724233434985E-4</v>
      </c>
      <c r="U768" s="63">
        <f t="shared" si="49"/>
        <v>1.9223307583357543E-3</v>
      </c>
    </row>
    <row r="769" spans="1:21">
      <c r="A769" s="28">
        <v>44441</v>
      </c>
      <c r="B769" s="29">
        <v>1808.6999510000001</v>
      </c>
      <c r="C769" s="29">
        <v>23.875</v>
      </c>
      <c r="D769" s="29">
        <v>69.989997860000003</v>
      </c>
      <c r="E769" s="29">
        <v>15604.25</v>
      </c>
      <c r="F769" s="29">
        <v>4536.9501950000003</v>
      </c>
      <c r="G769" s="29">
        <v>35443.820310000003</v>
      </c>
      <c r="H769" s="29">
        <v>11.75807762</v>
      </c>
      <c r="I769" s="29">
        <v>9.5858345029999992</v>
      </c>
      <c r="J769" s="29">
        <v>12.5738678</v>
      </c>
      <c r="L769" s="30">
        <f t="shared" si="50"/>
        <v>-2.4267966787507866E-3</v>
      </c>
      <c r="M769" s="30">
        <f t="shared" si="50"/>
        <v>-1.2491212697002929E-2</v>
      </c>
      <c r="N769" s="30">
        <f t="shared" si="50"/>
        <v>2.0411161899764663E-2</v>
      </c>
      <c r="O769" s="30">
        <f t="shared" si="50"/>
        <v>-4.6890286208489673E-4</v>
      </c>
      <c r="P769" s="30">
        <f t="shared" si="50"/>
        <v>2.8426382860313737E-3</v>
      </c>
      <c r="Q769" s="30">
        <f t="shared" si="50"/>
        <v>3.7179169929939526E-3</v>
      </c>
      <c r="R769" s="30">
        <f t="shared" si="50"/>
        <v>8.1888796468709835E-4</v>
      </c>
      <c r="S769" s="30">
        <f t="shared" si="50"/>
        <v>0</v>
      </c>
      <c r="T769" s="30">
        <f t="shared" si="50"/>
        <v>7.6283141009736433E-4</v>
      </c>
      <c r="U769" s="63">
        <f t="shared" si="49"/>
        <v>5.599516046526482E-4</v>
      </c>
    </row>
    <row r="770" spans="1:21">
      <c r="A770" s="28">
        <v>44442</v>
      </c>
      <c r="B770" s="29">
        <v>1830.900024</v>
      </c>
      <c r="C770" s="29">
        <v>24.76199913</v>
      </c>
      <c r="D770" s="29">
        <v>69.290000919999997</v>
      </c>
      <c r="E770" s="29">
        <v>15652.860350000001</v>
      </c>
      <c r="F770" s="29">
        <v>4535.4301759999998</v>
      </c>
      <c r="G770" s="29">
        <v>35369.089840000001</v>
      </c>
      <c r="H770" s="29">
        <v>11.73883343</v>
      </c>
      <c r="I770" s="29">
        <v>9.5762281419999997</v>
      </c>
      <c r="J770" s="29">
        <v>12.554699899999999</v>
      </c>
      <c r="L770" s="30">
        <f t="shared" si="50"/>
        <v>1.2274049649708907E-2</v>
      </c>
      <c r="M770" s="30">
        <f t="shared" si="50"/>
        <v>3.7151796020942429E-2</v>
      </c>
      <c r="N770" s="30">
        <f t="shared" si="50"/>
        <v>-1.0001385360808301E-2</v>
      </c>
      <c r="O770" s="30">
        <f t="shared" si="50"/>
        <v>3.1151993847831072E-3</v>
      </c>
      <c r="P770" s="30">
        <f t="shared" si="50"/>
        <v>-3.3503100864440416E-4</v>
      </c>
      <c r="Q770" s="30">
        <f t="shared" si="50"/>
        <v>-2.1084202929140261E-3</v>
      </c>
      <c r="R770" s="30">
        <f t="shared" si="50"/>
        <v>-1.6366782582950545E-3</v>
      </c>
      <c r="S770" s="30">
        <f t="shared" si="50"/>
        <v>-1.0021413364682541E-3</v>
      </c>
      <c r="T770" s="30">
        <f t="shared" si="50"/>
        <v>-1.5244235349762825E-3</v>
      </c>
      <c r="U770" s="63">
        <f t="shared" si="49"/>
        <v>5.4102381587290346E-3</v>
      </c>
    </row>
    <row r="771" spans="1:21">
      <c r="A771" s="28">
        <v>44446</v>
      </c>
      <c r="B771" s="29">
        <v>1795.900024</v>
      </c>
      <c r="C771" s="29">
        <v>24.333999630000001</v>
      </c>
      <c r="D771" s="29">
        <v>68.349998470000003</v>
      </c>
      <c r="E771" s="29">
        <v>15675.759770000001</v>
      </c>
      <c r="F771" s="29">
        <v>4520.0297849999997</v>
      </c>
      <c r="G771" s="29">
        <v>35100</v>
      </c>
      <c r="H771" s="29">
        <v>11.709965710000001</v>
      </c>
      <c r="I771" s="29">
        <v>9.5570163729999997</v>
      </c>
      <c r="J771" s="29">
        <v>12.535532</v>
      </c>
      <c r="L771" s="30">
        <f t="shared" si="50"/>
        <v>-1.911628135955501E-2</v>
      </c>
      <c r="M771" s="30">
        <f t="shared" si="50"/>
        <v>-1.7284529320633957E-2</v>
      </c>
      <c r="N771" s="30">
        <f t="shared" si="50"/>
        <v>-1.3566206343182063E-2</v>
      </c>
      <c r="O771" s="30">
        <f t="shared" si="50"/>
        <v>1.4629543411213142E-3</v>
      </c>
      <c r="P771" s="30">
        <f t="shared" si="50"/>
        <v>-3.3955744885003636E-3</v>
      </c>
      <c r="Q771" s="30">
        <f t="shared" si="50"/>
        <v>-7.6080510190477124E-3</v>
      </c>
      <c r="R771" s="30">
        <f t="shared" si="50"/>
        <v>-2.4591642919324919E-3</v>
      </c>
      <c r="S771" s="30">
        <f t="shared" si="50"/>
        <v>-2.0061937450863709E-3</v>
      </c>
      <c r="T771" s="30">
        <f t="shared" si="50"/>
        <v>-1.5267509500564991E-3</v>
      </c>
      <c r="U771" s="63">
        <f t="shared" si="49"/>
        <v>-6.3005385164773752E-3</v>
      </c>
    </row>
    <row r="772" spans="1:21">
      <c r="A772" s="28">
        <v>44447</v>
      </c>
      <c r="B772" s="29">
        <v>1790.6999510000001</v>
      </c>
      <c r="C772" s="29">
        <v>24.01199913</v>
      </c>
      <c r="D772" s="29">
        <v>69.300003050000001</v>
      </c>
      <c r="E772" s="29">
        <v>15620.849609999999</v>
      </c>
      <c r="F772" s="29">
        <v>4514.0698240000002</v>
      </c>
      <c r="G772" s="29">
        <v>35031.070310000003</v>
      </c>
      <c r="H772" s="29">
        <v>11.729209900000001</v>
      </c>
      <c r="I772" s="29">
        <v>9.566623688</v>
      </c>
      <c r="J772" s="29">
        <v>12.545115470000001</v>
      </c>
      <c r="L772" s="30">
        <f t="shared" si="50"/>
        <v>-2.8955247678085216E-3</v>
      </c>
      <c r="M772" s="30">
        <f t="shared" si="50"/>
        <v>-1.3232534926277628E-2</v>
      </c>
      <c r="N772" s="30">
        <f t="shared" si="50"/>
        <v>1.3899116331611561E-2</v>
      </c>
      <c r="O772" s="30">
        <f t="shared" ref="O772:T814" si="51">(E772/E771)-1</f>
        <v>-3.5028707256082869E-3</v>
      </c>
      <c r="P772" s="30">
        <f t="shared" si="51"/>
        <v>-1.3185667536479428E-3</v>
      </c>
      <c r="Q772" s="30">
        <f t="shared" si="51"/>
        <v>-1.9638088319087199E-3</v>
      </c>
      <c r="R772" s="30">
        <f t="shared" si="51"/>
        <v>1.6434027627909575E-3</v>
      </c>
      <c r="S772" s="30">
        <f t="shared" si="51"/>
        <v>1.0052630052139744E-3</v>
      </c>
      <c r="T772" s="30">
        <f t="shared" si="51"/>
        <v>7.6450445023001912E-4</v>
      </c>
      <c r="U772" s="63">
        <f t="shared" ref="U772:U835" si="52">SUMPRODUCT($L$2:$T$2,L772:T772)</f>
        <v>-1.715499036833823E-3</v>
      </c>
    </row>
    <row r="773" spans="1:21">
      <c r="A773" s="28">
        <v>44448</v>
      </c>
      <c r="B773" s="29">
        <v>1797.400024</v>
      </c>
      <c r="C773" s="29">
        <v>24.132999420000001</v>
      </c>
      <c r="D773" s="29">
        <v>68.13999939</v>
      </c>
      <c r="E773" s="29">
        <v>15561.049800000001</v>
      </c>
      <c r="F773" s="29">
        <v>4493.2797849999997</v>
      </c>
      <c r="G773" s="29">
        <v>34879.378909999999</v>
      </c>
      <c r="H773" s="29">
        <v>11.74845695</v>
      </c>
      <c r="I773" s="29">
        <v>9.595438004</v>
      </c>
      <c r="J773" s="29">
        <v>12.5738678</v>
      </c>
      <c r="L773" s="30">
        <f t="shared" ref="L773:T826" si="53">(B773/B772)-1</f>
        <v>3.7415944509622268E-3</v>
      </c>
      <c r="M773" s="30">
        <f t="shared" si="53"/>
        <v>5.039159352993039E-3</v>
      </c>
      <c r="N773" s="30">
        <f t="shared" si="53"/>
        <v>-1.673886881596609E-2</v>
      </c>
      <c r="O773" s="30">
        <f t="shared" si="51"/>
        <v>-3.8282047067219604E-3</v>
      </c>
      <c r="P773" s="30">
        <f t="shared" si="51"/>
        <v>-4.6056086437710198E-3</v>
      </c>
      <c r="Q773" s="30">
        <f t="shared" si="51"/>
        <v>-4.3301959848113247E-3</v>
      </c>
      <c r="R773" s="30">
        <f t="shared" si="51"/>
        <v>1.6409502570158274E-3</v>
      </c>
      <c r="S773" s="30">
        <f t="shared" si="51"/>
        <v>3.0119629390401581E-3</v>
      </c>
      <c r="T773" s="30">
        <f t="shared" si="51"/>
        <v>2.2919143366002537E-3</v>
      </c>
      <c r="U773" s="63">
        <f t="shared" si="52"/>
        <v>-1.6221341703361836E-3</v>
      </c>
    </row>
    <row r="774" spans="1:21">
      <c r="A774" s="28">
        <v>44449</v>
      </c>
      <c r="B774" s="29">
        <v>1789.599976</v>
      </c>
      <c r="C774" s="29">
        <v>23.854999540000001</v>
      </c>
      <c r="D774" s="29">
        <v>69.72000122</v>
      </c>
      <c r="E774" s="29">
        <v>15440.75</v>
      </c>
      <c r="F774" s="29">
        <v>4458.580078</v>
      </c>
      <c r="G774" s="29">
        <v>34607.71875</v>
      </c>
      <c r="H774" s="29">
        <v>11.729209900000001</v>
      </c>
      <c r="I774" s="29">
        <v>9.5762281419999997</v>
      </c>
      <c r="J774" s="29">
        <v>12.554699899999999</v>
      </c>
      <c r="L774" s="30">
        <f t="shared" si="53"/>
        <v>-4.3396282941187136E-3</v>
      </c>
      <c r="M774" s="30">
        <f t="shared" si="53"/>
        <v>-1.1519491430046158E-2</v>
      </c>
      <c r="N774" s="30">
        <f t="shared" si="53"/>
        <v>2.3187582097804915E-2</v>
      </c>
      <c r="O774" s="30">
        <f t="shared" si="51"/>
        <v>-7.7308280319237088E-3</v>
      </c>
      <c r="P774" s="30">
        <f t="shared" si="51"/>
        <v>-7.7225787532391177E-3</v>
      </c>
      <c r="Q774" s="30">
        <f t="shared" si="51"/>
        <v>-7.7885607051940697E-3</v>
      </c>
      <c r="R774" s="30">
        <f t="shared" si="51"/>
        <v>-1.6382619506469798E-3</v>
      </c>
      <c r="S774" s="30">
        <f t="shared" si="51"/>
        <v>-2.001978647769076E-3</v>
      </c>
      <c r="T774" s="30">
        <f t="shared" si="51"/>
        <v>-1.5244235349762825E-3</v>
      </c>
      <c r="U774" s="63">
        <f t="shared" si="52"/>
        <v>-4.2061235280706219E-3</v>
      </c>
    </row>
    <row r="775" spans="1:21">
      <c r="A775" s="28">
        <v>44452</v>
      </c>
      <c r="B775" s="29">
        <v>1792</v>
      </c>
      <c r="C775" s="29">
        <v>23.75300026</v>
      </c>
      <c r="D775" s="29">
        <v>70.449996949999999</v>
      </c>
      <c r="E775" s="29">
        <v>15434.5</v>
      </c>
      <c r="F775" s="29">
        <v>4468.7299800000001</v>
      </c>
      <c r="G775" s="29">
        <v>34869.628909999999</v>
      </c>
      <c r="H775" s="29">
        <v>11.74845695</v>
      </c>
      <c r="I775" s="29">
        <v>9.5858345029999992</v>
      </c>
      <c r="J775" s="29">
        <v>12.5738678</v>
      </c>
      <c r="L775" s="30">
        <f t="shared" si="53"/>
        <v>1.3410952347934213E-3</v>
      </c>
      <c r="M775" s="30">
        <f t="shared" si="53"/>
        <v>-4.2758030587662921E-3</v>
      </c>
      <c r="N775" s="30">
        <f t="shared" si="53"/>
        <v>1.0470391813340862E-2</v>
      </c>
      <c r="O775" s="30">
        <f t="shared" si="51"/>
        <v>-4.0477308420894254E-4</v>
      </c>
      <c r="P775" s="30">
        <f t="shared" si="51"/>
        <v>2.2764875414220676E-3</v>
      </c>
      <c r="Q775" s="30">
        <f t="shared" si="51"/>
        <v>7.5679695010235637E-3</v>
      </c>
      <c r="R775" s="30">
        <f t="shared" si="51"/>
        <v>1.6409502570158274E-3</v>
      </c>
      <c r="S775" s="30">
        <f t="shared" si="51"/>
        <v>1.0031466311737347E-3</v>
      </c>
      <c r="T775" s="30">
        <f t="shared" si="51"/>
        <v>1.5267509500567211E-3</v>
      </c>
      <c r="U775" s="63">
        <f t="shared" si="52"/>
        <v>1.4252635152190839E-3</v>
      </c>
    </row>
    <row r="776" spans="1:21">
      <c r="A776" s="28">
        <v>44453</v>
      </c>
      <c r="B776" s="29">
        <v>1804.6999510000001</v>
      </c>
      <c r="C776" s="29">
        <v>23.841999049999998</v>
      </c>
      <c r="D776" s="29">
        <v>70.459999080000003</v>
      </c>
      <c r="E776" s="29">
        <v>15382.900390000001</v>
      </c>
      <c r="F776" s="29">
        <v>4443.0498049999997</v>
      </c>
      <c r="G776" s="29">
        <v>34577.570310000003</v>
      </c>
      <c r="H776" s="29">
        <v>11.777321819999999</v>
      </c>
      <c r="I776" s="29">
        <v>9.614649773</v>
      </c>
      <c r="J776" s="29">
        <v>12.602620119999999</v>
      </c>
      <c r="L776" s="30">
        <f t="shared" si="53"/>
        <v>7.087026227678539E-3</v>
      </c>
      <c r="M776" s="30">
        <f t="shared" si="53"/>
        <v>3.7468441470895897E-3</v>
      </c>
      <c r="N776" s="30">
        <f t="shared" si="53"/>
        <v>1.419748819451172E-4</v>
      </c>
      <c r="O776" s="30">
        <f t="shared" si="51"/>
        <v>-3.3431345362661125E-3</v>
      </c>
      <c r="P776" s="30">
        <f t="shared" si="51"/>
        <v>-5.7466383323524495E-3</v>
      </c>
      <c r="Q776" s="30">
        <f t="shared" si="51"/>
        <v>-8.3757300874583995E-3</v>
      </c>
      <c r="R776" s="30">
        <f t="shared" si="51"/>
        <v>2.4569073302855848E-3</v>
      </c>
      <c r="S776" s="30">
        <f t="shared" si="51"/>
        <v>3.0060262349598244E-3</v>
      </c>
      <c r="T776" s="30">
        <f t="shared" si="51"/>
        <v>2.2866726815753413E-3</v>
      </c>
      <c r="U776" s="63">
        <f t="shared" si="52"/>
        <v>-7.3411973670157516E-4</v>
      </c>
    </row>
    <row r="777" spans="1:21">
      <c r="A777" s="28">
        <v>44454</v>
      </c>
      <c r="B777" s="29">
        <v>1792.400024</v>
      </c>
      <c r="C777" s="29">
        <v>23.759000780000001</v>
      </c>
      <c r="D777" s="29">
        <v>72.61000061</v>
      </c>
      <c r="E777" s="29">
        <v>15503.530269999999</v>
      </c>
      <c r="F777" s="29">
        <v>4480.7001950000003</v>
      </c>
      <c r="G777" s="29">
        <v>34814.390630000002</v>
      </c>
      <c r="H777" s="29">
        <v>11.75807762</v>
      </c>
      <c r="I777" s="29">
        <v>9.6050434110000005</v>
      </c>
      <c r="J777" s="29">
        <v>12.59303474</v>
      </c>
      <c r="L777" s="30">
        <f t="shared" si="53"/>
        <v>-6.8154969435137991E-3</v>
      </c>
      <c r="M777" s="30">
        <f t="shared" si="53"/>
        <v>-3.4811791505375833E-3</v>
      </c>
      <c r="N777" s="30">
        <f t="shared" si="53"/>
        <v>3.0513788788996354E-2</v>
      </c>
      <c r="O777" s="30">
        <f t="shared" si="51"/>
        <v>7.8418163637343774E-3</v>
      </c>
      <c r="P777" s="30">
        <f t="shared" si="51"/>
        <v>8.4739968383047426E-3</v>
      </c>
      <c r="Q777" s="30">
        <f t="shared" si="51"/>
        <v>6.8489578034784948E-3</v>
      </c>
      <c r="R777" s="30">
        <f t="shared" si="51"/>
        <v>-1.6340047673079061E-3</v>
      </c>
      <c r="S777" s="30">
        <f t="shared" si="51"/>
        <v>-9.9913800573125933E-4</v>
      </c>
      <c r="T777" s="30">
        <f t="shared" si="51"/>
        <v>-7.6058628354491731E-4</v>
      </c>
      <c r="U777" s="63">
        <f t="shared" si="52"/>
        <v>4.87859324205628E-3</v>
      </c>
    </row>
    <row r="778" spans="1:21">
      <c r="A778" s="28">
        <v>44455</v>
      </c>
      <c r="B778" s="29">
        <v>1754.599976</v>
      </c>
      <c r="C778" s="29">
        <v>22.752000809999998</v>
      </c>
      <c r="D778" s="29">
        <v>72.61000061</v>
      </c>
      <c r="E778" s="29">
        <v>15515.910159999999</v>
      </c>
      <c r="F778" s="29">
        <v>4473.75</v>
      </c>
      <c r="G778" s="29">
        <v>34751.320310000003</v>
      </c>
      <c r="H778" s="29">
        <v>11.73883343</v>
      </c>
      <c r="I778" s="29">
        <v>9.5858345029999992</v>
      </c>
      <c r="J778" s="29">
        <v>12.56428337</v>
      </c>
      <c r="L778" s="30">
        <f t="shared" si="53"/>
        <v>-2.1089069121770998E-2</v>
      </c>
      <c r="M778" s="30">
        <f t="shared" si="53"/>
        <v>-4.2383936063829841E-2</v>
      </c>
      <c r="N778" s="30">
        <f t="shared" si="53"/>
        <v>0</v>
      </c>
      <c r="O778" s="30">
        <f t="shared" si="51"/>
        <v>7.9852071008335024E-4</v>
      </c>
      <c r="P778" s="30">
        <f t="shared" si="51"/>
        <v>-1.5511403792997092E-3</v>
      </c>
      <c r="Q778" s="30">
        <f t="shared" si="51"/>
        <v>-1.8116163706639599E-3</v>
      </c>
      <c r="R778" s="30">
        <f t="shared" si="51"/>
        <v>-1.6366782582950545E-3</v>
      </c>
      <c r="S778" s="30">
        <f t="shared" si="51"/>
        <v>-1.9998772705184242E-3</v>
      </c>
      <c r="T778" s="30">
        <f t="shared" si="51"/>
        <v>-2.2831168652839295E-3</v>
      </c>
      <c r="U778" s="63">
        <f t="shared" si="52"/>
        <v>-8.5760915571657624E-3</v>
      </c>
    </row>
    <row r="779" spans="1:21">
      <c r="A779" s="28">
        <v>44456</v>
      </c>
      <c r="B779" s="29">
        <v>1749.400024</v>
      </c>
      <c r="C779" s="29">
        <v>22.295000080000001</v>
      </c>
      <c r="D779" s="29">
        <v>71.97000122</v>
      </c>
      <c r="E779" s="29">
        <v>15333.469730000001</v>
      </c>
      <c r="F779" s="29">
        <v>4432.9902339999999</v>
      </c>
      <c r="G779" s="29">
        <v>34584.878909999999</v>
      </c>
      <c r="H779" s="29">
        <v>11.71959019</v>
      </c>
      <c r="I779" s="29">
        <v>9.5762281419999997</v>
      </c>
      <c r="J779" s="29">
        <v>12.554699899999999</v>
      </c>
      <c r="L779" s="30">
        <f t="shared" si="53"/>
        <v>-2.9636111199855542E-3</v>
      </c>
      <c r="M779" s="30">
        <f t="shared" si="53"/>
        <v>-2.0086177642853031E-2</v>
      </c>
      <c r="N779" s="30">
        <f t="shared" si="53"/>
        <v>-8.8142044432355515E-3</v>
      </c>
      <c r="O779" s="30">
        <f t="shared" si="51"/>
        <v>-1.1758280894815343E-2</v>
      </c>
      <c r="P779" s="30">
        <f t="shared" si="51"/>
        <v>-9.1108725342274877E-3</v>
      </c>
      <c r="Q779" s="30">
        <f t="shared" si="51"/>
        <v>-4.78949860078004E-3</v>
      </c>
      <c r="R779" s="30">
        <f t="shared" si="51"/>
        <v>-1.639280437425894E-3</v>
      </c>
      <c r="S779" s="30">
        <f t="shared" si="51"/>
        <v>-1.0021413364682541E-3</v>
      </c>
      <c r="T779" s="30">
        <f t="shared" si="51"/>
        <v>-7.6275500303368826E-4</v>
      </c>
      <c r="U779" s="63">
        <f t="shared" si="52"/>
        <v>-8.466345834926824E-3</v>
      </c>
    </row>
    <row r="780" spans="1:21">
      <c r="A780" s="28">
        <v>44459</v>
      </c>
      <c r="B780" s="29">
        <v>1761.8000489999999</v>
      </c>
      <c r="C780" s="29">
        <v>22.163000109999999</v>
      </c>
      <c r="D780" s="29">
        <v>70.290000919999997</v>
      </c>
      <c r="E780" s="29">
        <v>15012.190430000001</v>
      </c>
      <c r="F780" s="29">
        <v>4357.7299800000001</v>
      </c>
      <c r="G780" s="29">
        <v>33970.46875</v>
      </c>
      <c r="H780" s="29">
        <v>11.75807762</v>
      </c>
      <c r="I780" s="29">
        <v>9.595438004</v>
      </c>
      <c r="J780" s="29">
        <v>12.583451269999999</v>
      </c>
      <c r="L780" s="30">
        <f t="shared" si="53"/>
        <v>7.0881587000595214E-3</v>
      </c>
      <c r="M780" s="30">
        <f t="shared" si="53"/>
        <v>-5.9206086354050003E-3</v>
      </c>
      <c r="N780" s="30">
        <f t="shared" si="53"/>
        <v>-2.3343063380873552E-2</v>
      </c>
      <c r="O780" s="30">
        <f t="shared" si="51"/>
        <v>-2.0952811441719232E-2</v>
      </c>
      <c r="P780" s="30">
        <f t="shared" si="51"/>
        <v>-1.6977311030999198E-2</v>
      </c>
      <c r="Q780" s="30">
        <f t="shared" si="51"/>
        <v>-1.7765282960766626E-2</v>
      </c>
      <c r="R780" s="30">
        <f t="shared" si="51"/>
        <v>3.2840252411590054E-3</v>
      </c>
      <c r="S780" s="30">
        <f t="shared" si="51"/>
        <v>2.0059946061381506E-3</v>
      </c>
      <c r="T780" s="30">
        <f t="shared" si="51"/>
        <v>2.2900881923908489E-3</v>
      </c>
      <c r="U780" s="63">
        <f t="shared" si="52"/>
        <v>-9.8582514307125856E-3</v>
      </c>
    </row>
    <row r="781" spans="1:21">
      <c r="A781" s="28">
        <v>44460</v>
      </c>
      <c r="B781" s="29">
        <v>1776</v>
      </c>
      <c r="C781" s="29">
        <v>22.57299995</v>
      </c>
      <c r="D781" s="29">
        <v>70.559997559999999</v>
      </c>
      <c r="E781" s="29">
        <v>15027.76953</v>
      </c>
      <c r="F781" s="29">
        <v>4354.1899409999996</v>
      </c>
      <c r="G781" s="29">
        <v>33919.839840000001</v>
      </c>
      <c r="H781" s="29">
        <v>11.74845695</v>
      </c>
      <c r="I781" s="29">
        <v>9.595438004</v>
      </c>
      <c r="J781" s="29">
        <v>12.583451269999999</v>
      </c>
      <c r="L781" s="30">
        <f t="shared" si="53"/>
        <v>8.0599106624272832E-3</v>
      </c>
      <c r="M781" s="30">
        <f t="shared" si="53"/>
        <v>1.8499293325139998E-2</v>
      </c>
      <c r="N781" s="30">
        <f t="shared" si="53"/>
        <v>3.841181341102784E-3</v>
      </c>
      <c r="O781" s="30">
        <f t="shared" si="51"/>
        <v>1.0377632812907933E-3</v>
      </c>
      <c r="P781" s="30">
        <f t="shared" si="51"/>
        <v>-8.1235850230454432E-4</v>
      </c>
      <c r="Q781" s="30">
        <f t="shared" si="51"/>
        <v>-1.4903800819645596E-3</v>
      </c>
      <c r="R781" s="30">
        <f t="shared" si="51"/>
        <v>-8.1821793586700498E-4</v>
      </c>
      <c r="S781" s="30">
        <f t="shared" si="51"/>
        <v>0</v>
      </c>
      <c r="T781" s="30">
        <f t="shared" si="51"/>
        <v>0</v>
      </c>
      <c r="U781" s="63">
        <f t="shared" si="52"/>
        <v>3.3367229645073246E-3</v>
      </c>
    </row>
    <row r="782" spans="1:21">
      <c r="A782" s="28">
        <v>44461</v>
      </c>
      <c r="B782" s="29">
        <v>1776.6999510000001</v>
      </c>
      <c r="C782" s="29">
        <v>22.868999479999999</v>
      </c>
      <c r="D782" s="29">
        <v>72.230003359999998</v>
      </c>
      <c r="E782" s="29">
        <v>15176.509770000001</v>
      </c>
      <c r="F782" s="29">
        <v>4395.6401370000003</v>
      </c>
      <c r="G782" s="29">
        <v>34258.320310000003</v>
      </c>
      <c r="H782" s="29">
        <v>11.75807762</v>
      </c>
      <c r="I782" s="29">
        <v>9.6050434110000005</v>
      </c>
      <c r="J782" s="29">
        <v>12.59303474</v>
      </c>
      <c r="L782" s="30">
        <f t="shared" si="53"/>
        <v>3.9411655405419133E-4</v>
      </c>
      <c r="M782" s="30">
        <f t="shared" si="53"/>
        <v>1.31129903271896E-2</v>
      </c>
      <c r="N782" s="30">
        <f t="shared" si="53"/>
        <v>2.36678834715085E-2</v>
      </c>
      <c r="O782" s="30">
        <f t="shared" si="51"/>
        <v>9.8976923822973184E-3</v>
      </c>
      <c r="P782" s="30">
        <f t="shared" si="51"/>
        <v>9.5196113540423344E-3</v>
      </c>
      <c r="Q782" s="30">
        <f t="shared" si="51"/>
        <v>9.978834558082017E-3</v>
      </c>
      <c r="R782" s="30">
        <f t="shared" si="51"/>
        <v>8.1888796468709835E-4</v>
      </c>
      <c r="S782" s="30">
        <f t="shared" si="51"/>
        <v>1.0010389307915091E-3</v>
      </c>
      <c r="T782" s="30">
        <f t="shared" si="51"/>
        <v>7.6159312690693426E-4</v>
      </c>
      <c r="U782" s="63">
        <f t="shared" si="52"/>
        <v>8.4143495694621543E-3</v>
      </c>
    </row>
    <row r="783" spans="1:21">
      <c r="A783" s="28">
        <v>44462</v>
      </c>
      <c r="B783" s="29">
        <v>1747.6999510000001</v>
      </c>
      <c r="C783" s="29">
        <v>22.642000199999998</v>
      </c>
      <c r="D783" s="29">
        <v>73.300003050000001</v>
      </c>
      <c r="E783" s="29">
        <v>15316.58008</v>
      </c>
      <c r="F783" s="29">
        <v>4448.9799800000001</v>
      </c>
      <c r="G783" s="29">
        <v>34764.820310000003</v>
      </c>
      <c r="H783" s="29">
        <v>11.690723419999999</v>
      </c>
      <c r="I783" s="29">
        <v>9.5570163729999997</v>
      </c>
      <c r="J783" s="29">
        <v>12.52594948</v>
      </c>
      <c r="L783" s="30">
        <f t="shared" si="53"/>
        <v>-1.6322395902401921E-2</v>
      </c>
      <c r="M783" s="30">
        <f t="shared" si="53"/>
        <v>-9.9260695772249719E-3</v>
      </c>
      <c r="N783" s="30">
        <f t="shared" si="53"/>
        <v>1.4813784303276956E-2</v>
      </c>
      <c r="O783" s="30">
        <f t="shared" si="51"/>
        <v>9.229415203018565E-3</v>
      </c>
      <c r="P783" s="30">
        <f t="shared" si="51"/>
        <v>1.2134715613094649E-2</v>
      </c>
      <c r="Q783" s="30">
        <f t="shared" si="51"/>
        <v>1.4784729531884144E-2</v>
      </c>
      <c r="R783" s="30">
        <f t="shared" si="51"/>
        <v>-5.7283343567517964E-3</v>
      </c>
      <c r="S783" s="30">
        <f t="shared" si="51"/>
        <v>-5.0001895821728537E-3</v>
      </c>
      <c r="T783" s="30">
        <f t="shared" si="51"/>
        <v>-5.3271718362623011E-3</v>
      </c>
      <c r="U783" s="63">
        <f t="shared" si="52"/>
        <v>2.5884250076268845E-3</v>
      </c>
    </row>
    <row r="784" spans="1:21">
      <c r="A784" s="28">
        <v>44463</v>
      </c>
      <c r="B784" s="29">
        <v>1749.6999510000001</v>
      </c>
      <c r="C784" s="29">
        <v>22.38800049</v>
      </c>
      <c r="D784" s="29">
        <v>73.980003359999998</v>
      </c>
      <c r="E784" s="29">
        <v>15329.679690000001</v>
      </c>
      <c r="F784" s="29">
        <v>4455.4799800000001</v>
      </c>
      <c r="G784" s="29">
        <v>34798</v>
      </c>
      <c r="H784" s="29">
        <v>11.67148018</v>
      </c>
      <c r="I784" s="29">
        <v>9.5378103260000007</v>
      </c>
      <c r="J784" s="29">
        <v>12.516366</v>
      </c>
      <c r="L784" s="30">
        <f t="shared" si="53"/>
        <v>1.1443611924664143E-3</v>
      </c>
      <c r="M784" s="30">
        <f t="shared" si="53"/>
        <v>-1.1218077367563972E-2</v>
      </c>
      <c r="N784" s="30">
        <f t="shared" si="53"/>
        <v>9.2769479086671769E-3</v>
      </c>
      <c r="O784" s="30">
        <f t="shared" si="51"/>
        <v>8.5525684791121215E-4</v>
      </c>
      <c r="P784" s="30">
        <f t="shared" si="51"/>
        <v>1.4610090468423209E-3</v>
      </c>
      <c r="Q784" s="30">
        <f t="shared" si="51"/>
        <v>9.5440418515413405E-4</v>
      </c>
      <c r="R784" s="30">
        <f t="shared" si="51"/>
        <v>-1.6460264526555468E-3</v>
      </c>
      <c r="S784" s="30">
        <f t="shared" si="51"/>
        <v>-2.009627926793045E-3</v>
      </c>
      <c r="T784" s="30">
        <f t="shared" si="51"/>
        <v>-7.6509010477021633E-4</v>
      </c>
      <c r="U784" s="63">
        <f t="shared" si="52"/>
        <v>-7.4350373679082384E-4</v>
      </c>
    </row>
    <row r="785" spans="1:21">
      <c r="A785" s="28">
        <v>44466</v>
      </c>
      <c r="B785" s="29">
        <v>1750</v>
      </c>
      <c r="C785" s="29">
        <v>22.656999590000002</v>
      </c>
      <c r="D785" s="29">
        <v>75.449996949999999</v>
      </c>
      <c r="E785" s="29">
        <v>15204.820309999999</v>
      </c>
      <c r="F785" s="29">
        <v>4443.1098629999997</v>
      </c>
      <c r="G785" s="29">
        <v>34869.371090000001</v>
      </c>
      <c r="H785" s="29">
        <v>11.65223598</v>
      </c>
      <c r="I785" s="29">
        <v>9.5282030110000004</v>
      </c>
      <c r="J785" s="29">
        <v>12.49719715</v>
      </c>
      <c r="L785" s="30">
        <f t="shared" si="53"/>
        <v>1.7148597382576902E-4</v>
      </c>
      <c r="M785" s="30">
        <f t="shared" si="53"/>
        <v>1.2015324911224479E-2</v>
      </c>
      <c r="N785" s="30">
        <f t="shared" si="53"/>
        <v>1.9870147651207093E-2</v>
      </c>
      <c r="O785" s="30">
        <f t="shared" si="51"/>
        <v>-8.1449438295472243E-3</v>
      </c>
      <c r="P785" s="30">
        <f t="shared" si="51"/>
        <v>-2.7763825795488195E-3</v>
      </c>
      <c r="Q785" s="30">
        <f t="shared" si="51"/>
        <v>2.051011265015168E-3</v>
      </c>
      <c r="R785" s="30">
        <f t="shared" si="51"/>
        <v>-1.6488225746187357E-3</v>
      </c>
      <c r="S785" s="30">
        <f t="shared" si="51"/>
        <v>-1.0072872778578157E-3</v>
      </c>
      <c r="T785" s="30">
        <f t="shared" si="51"/>
        <v>-1.5315028339695225E-3</v>
      </c>
      <c r="U785" s="63">
        <f t="shared" si="52"/>
        <v>1.2464321868518133E-3</v>
      </c>
    </row>
    <row r="786" spans="1:21">
      <c r="A786" s="28">
        <v>44467</v>
      </c>
      <c r="B786" s="29">
        <v>1735.8000489999999</v>
      </c>
      <c r="C786" s="29">
        <v>22.43000031</v>
      </c>
      <c r="D786" s="29">
        <v>75.290000919999997</v>
      </c>
      <c r="E786" s="29">
        <v>14770.299800000001</v>
      </c>
      <c r="F786" s="29">
        <v>4352.6298829999996</v>
      </c>
      <c r="G786" s="29">
        <v>34299.988279999998</v>
      </c>
      <c r="H786" s="29">
        <v>11.6137476</v>
      </c>
      <c r="I786" s="29">
        <v>9.4897832869999998</v>
      </c>
      <c r="J786" s="29">
        <v>12.458863259999999</v>
      </c>
      <c r="L786" s="30">
        <f t="shared" si="53"/>
        <v>-8.1142577142857553E-3</v>
      </c>
      <c r="M786" s="30">
        <f t="shared" si="53"/>
        <v>-1.0018947085129071E-2</v>
      </c>
      <c r="N786" s="30">
        <f t="shared" si="53"/>
        <v>-2.1205571433757786E-3</v>
      </c>
      <c r="O786" s="30">
        <f t="shared" si="51"/>
        <v>-2.8577812900177468E-2</v>
      </c>
      <c r="P786" s="30">
        <f t="shared" si="51"/>
        <v>-2.0364110451886908E-2</v>
      </c>
      <c r="Q786" s="30">
        <f t="shared" si="51"/>
        <v>-1.6329024361534716E-2</v>
      </c>
      <c r="R786" s="30">
        <f t="shared" si="51"/>
        <v>-3.3030896444307123E-3</v>
      </c>
      <c r="S786" s="30">
        <f t="shared" si="51"/>
        <v>-4.0322108959733871E-3</v>
      </c>
      <c r="T786" s="30">
        <f t="shared" si="51"/>
        <v>-3.0673989967422433E-3</v>
      </c>
      <c r="U786" s="63">
        <f t="shared" si="52"/>
        <v>-1.3151166080620081E-2</v>
      </c>
    </row>
    <row r="787" spans="1:21">
      <c r="A787" s="28">
        <v>44468</v>
      </c>
      <c r="B787" s="29">
        <v>1721.5</v>
      </c>
      <c r="C787" s="29">
        <v>21.458999630000001</v>
      </c>
      <c r="D787" s="29">
        <v>74.83000183</v>
      </c>
      <c r="E787" s="29">
        <v>14752.889649999999</v>
      </c>
      <c r="F787" s="29">
        <v>4359.4599609999996</v>
      </c>
      <c r="G787" s="29">
        <v>34390.71875</v>
      </c>
      <c r="H787" s="29">
        <v>11.623370169999999</v>
      </c>
      <c r="I787" s="29">
        <v>9.4993858339999999</v>
      </c>
      <c r="J787" s="29">
        <v>12.46844673</v>
      </c>
      <c r="L787" s="30">
        <f t="shared" si="53"/>
        <v>-8.2383042956117869E-3</v>
      </c>
      <c r="M787" s="30">
        <f t="shared" si="53"/>
        <v>-4.3290266008917389E-2</v>
      </c>
      <c r="N787" s="30">
        <f t="shared" si="53"/>
        <v>-6.1096969634623077E-3</v>
      </c>
      <c r="O787" s="30">
        <f t="shared" si="51"/>
        <v>-1.178726920627704E-3</v>
      </c>
      <c r="P787" s="30">
        <f t="shared" si="51"/>
        <v>1.5691841906144699E-3</v>
      </c>
      <c r="Q787" s="30">
        <f t="shared" si="51"/>
        <v>2.6452041108395719E-3</v>
      </c>
      <c r="R787" s="30">
        <f t="shared" si="51"/>
        <v>8.2854995057757286E-4</v>
      </c>
      <c r="S787" s="30">
        <f t="shared" si="51"/>
        <v>1.0118826436378292E-3</v>
      </c>
      <c r="T787" s="30">
        <f t="shared" si="51"/>
        <v>7.6920902011745618E-4</v>
      </c>
      <c r="U787" s="63">
        <f t="shared" si="52"/>
        <v>-6.8176921561379101E-3</v>
      </c>
    </row>
    <row r="788" spans="1:21">
      <c r="A788" s="28">
        <v>44469</v>
      </c>
      <c r="B788" s="29">
        <v>1755.3000489999999</v>
      </c>
      <c r="C788" s="29">
        <v>22.02099991</v>
      </c>
      <c r="D788" s="29">
        <v>75.02999878</v>
      </c>
      <c r="E788" s="29">
        <v>14689.62012</v>
      </c>
      <c r="F788" s="29">
        <v>4307.5400390000004</v>
      </c>
      <c r="G788" s="29">
        <v>33843.921880000002</v>
      </c>
      <c r="H788" s="29">
        <v>11.63975143</v>
      </c>
      <c r="I788" s="29">
        <v>9.5099630360000003</v>
      </c>
      <c r="J788" s="29">
        <v>12.46268463</v>
      </c>
      <c r="L788" s="30">
        <f t="shared" si="53"/>
        <v>1.9634068544873706E-2</v>
      </c>
      <c r="M788" s="30">
        <f t="shared" si="53"/>
        <v>2.618949110816482E-2</v>
      </c>
      <c r="N788" s="30">
        <f t="shared" si="53"/>
        <v>2.6726840185617995E-3</v>
      </c>
      <c r="O788" s="30">
        <f t="shared" si="51"/>
        <v>-4.288619484115741E-3</v>
      </c>
      <c r="P788" s="30">
        <f t="shared" si="51"/>
        <v>-1.1909714153697459E-2</v>
      </c>
      <c r="Q788" s="30">
        <f t="shared" si="51"/>
        <v>-1.5899547606866959E-2</v>
      </c>
      <c r="R788" s="30">
        <f t="shared" si="51"/>
        <v>1.4093382349880113E-3</v>
      </c>
      <c r="S788" s="30">
        <f t="shared" si="51"/>
        <v>1.1134616684524978E-3</v>
      </c>
      <c r="T788" s="30">
        <f t="shared" si="51"/>
        <v>-4.6213454849475255E-4</v>
      </c>
      <c r="U788" s="63">
        <f t="shared" si="52"/>
        <v>7.63077977885658E-4</v>
      </c>
    </row>
    <row r="789" spans="1:21">
      <c r="A789" s="28">
        <v>44470</v>
      </c>
      <c r="B789" s="29">
        <v>1757</v>
      </c>
      <c r="C789" s="29">
        <v>22.510000229999999</v>
      </c>
      <c r="D789" s="29">
        <v>75.879997250000002</v>
      </c>
      <c r="E789" s="29">
        <v>14791.87012</v>
      </c>
      <c r="F789" s="29">
        <v>4357.0400390000004</v>
      </c>
      <c r="G789" s="29">
        <v>34326.460939999997</v>
      </c>
      <c r="H789" s="29">
        <v>11.6686573</v>
      </c>
      <c r="I789" s="29">
        <v>9.5291957860000007</v>
      </c>
      <c r="J789" s="29">
        <v>12.501091000000001</v>
      </c>
      <c r="L789" s="30">
        <f t="shared" si="53"/>
        <v>9.6846747139811562E-4</v>
      </c>
      <c r="M789" s="30">
        <f t="shared" si="53"/>
        <v>2.2206090640686016E-2</v>
      </c>
      <c r="N789" s="30">
        <f t="shared" si="53"/>
        <v>1.1328781604972971E-2</v>
      </c>
      <c r="O789" s="30">
        <f t="shared" si="51"/>
        <v>6.9606973607700962E-3</v>
      </c>
      <c r="P789" s="30">
        <f t="shared" si="51"/>
        <v>1.1491477630348745E-2</v>
      </c>
      <c r="Q789" s="30">
        <f t="shared" si="51"/>
        <v>1.4257776084903195E-2</v>
      </c>
      <c r="R789" s="30">
        <f t="shared" si="51"/>
        <v>2.4833751969564055E-3</v>
      </c>
      <c r="S789" s="30">
        <f t="shared" si="51"/>
        <v>2.0223790489188875E-3</v>
      </c>
      <c r="T789" s="30">
        <f t="shared" si="51"/>
        <v>3.0817092095509757E-3</v>
      </c>
      <c r="U789" s="63">
        <f t="shared" si="52"/>
        <v>9.7056063261221921E-3</v>
      </c>
    </row>
    <row r="790" spans="1:21">
      <c r="A790" s="28">
        <v>44473</v>
      </c>
      <c r="B790" s="29">
        <v>1766.1999510000001</v>
      </c>
      <c r="C790" s="29">
        <v>22.618000030000001</v>
      </c>
      <c r="D790" s="29">
        <v>77.620002749999998</v>
      </c>
      <c r="E790" s="29">
        <v>14472.12012</v>
      </c>
      <c r="F790" s="29">
        <v>4300.4599609999996</v>
      </c>
      <c r="G790" s="29">
        <v>34002.921880000002</v>
      </c>
      <c r="H790" s="29">
        <v>11.65902138</v>
      </c>
      <c r="I790" s="29">
        <v>9.5195798870000008</v>
      </c>
      <c r="J790" s="29">
        <v>12.481888769999999</v>
      </c>
      <c r="L790" s="30">
        <f t="shared" si="53"/>
        <v>5.2361701764371826E-3</v>
      </c>
      <c r="M790" s="30">
        <f t="shared" si="53"/>
        <v>4.7978586804307E-3</v>
      </c>
      <c r="N790" s="30">
        <f t="shared" si="53"/>
        <v>2.2931016909070845E-2</v>
      </c>
      <c r="O790" s="30">
        <f t="shared" si="51"/>
        <v>-2.1616604080890944E-2</v>
      </c>
      <c r="P790" s="30">
        <f t="shared" si="51"/>
        <v>-1.2985898108245686E-2</v>
      </c>
      <c r="Q790" s="30">
        <f t="shared" si="51"/>
        <v>-9.4253544099847097E-3</v>
      </c>
      <c r="R790" s="30">
        <f t="shared" si="51"/>
        <v>-8.2579509812141794E-4</v>
      </c>
      <c r="S790" s="30">
        <f t="shared" si="51"/>
        <v>-1.0090986916364564E-3</v>
      </c>
      <c r="T790" s="30">
        <f t="shared" si="51"/>
        <v>-1.5360443340506347E-3</v>
      </c>
      <c r="U790" s="63">
        <f t="shared" si="52"/>
        <v>-4.3499267627673463E-3</v>
      </c>
    </row>
    <row r="791" spans="1:21">
      <c r="A791" s="28">
        <v>44474</v>
      </c>
      <c r="B791" s="29">
        <v>1759.599976</v>
      </c>
      <c r="C791" s="29">
        <v>22.582000730000001</v>
      </c>
      <c r="D791" s="29">
        <v>78.930000309999997</v>
      </c>
      <c r="E791" s="29">
        <v>14674.150390000001</v>
      </c>
      <c r="F791" s="29">
        <v>4345.7202150000003</v>
      </c>
      <c r="G791" s="29">
        <v>34314.671880000002</v>
      </c>
      <c r="H791" s="29">
        <v>11.630114560000001</v>
      </c>
      <c r="I791" s="29">
        <v>9.5003499980000008</v>
      </c>
      <c r="J791" s="29">
        <v>12.453084949999999</v>
      </c>
      <c r="L791" s="30">
        <f t="shared" si="53"/>
        <v>-3.736822094385861E-3</v>
      </c>
      <c r="M791" s="30">
        <f t="shared" si="53"/>
        <v>-1.5916217151052958E-3</v>
      </c>
      <c r="N791" s="30">
        <f t="shared" si="53"/>
        <v>1.687706149946E-2</v>
      </c>
      <c r="O791" s="30">
        <f t="shared" si="51"/>
        <v>1.3959963593779268E-2</v>
      </c>
      <c r="P791" s="30">
        <f t="shared" si="51"/>
        <v>1.0524514682256569E-2</v>
      </c>
      <c r="Q791" s="30">
        <f t="shared" si="51"/>
        <v>9.168329742373249E-3</v>
      </c>
      <c r="R791" s="30">
        <f t="shared" si="51"/>
        <v>-2.4793521735526625E-3</v>
      </c>
      <c r="S791" s="30">
        <f t="shared" si="51"/>
        <v>-2.0200354667184728E-3</v>
      </c>
      <c r="T791" s="30">
        <f t="shared" si="51"/>
        <v>-2.3076491491600404E-3</v>
      </c>
      <c r="U791" s="63">
        <f t="shared" si="52"/>
        <v>5.3919444941016798E-3</v>
      </c>
    </row>
    <row r="792" spans="1:21">
      <c r="A792" s="28">
        <v>44475</v>
      </c>
      <c r="B792" s="29">
        <v>1760.5</v>
      </c>
      <c r="C792" s="29">
        <v>22.506000520000001</v>
      </c>
      <c r="D792" s="29">
        <v>77.430000309999997</v>
      </c>
      <c r="E792" s="29">
        <v>14766.75</v>
      </c>
      <c r="F792" s="29">
        <v>4363.5498049999997</v>
      </c>
      <c r="G792" s="29">
        <v>34416.988279999998</v>
      </c>
      <c r="H792" s="29">
        <v>11.63975143</v>
      </c>
      <c r="I792" s="29">
        <v>9.5003499980000008</v>
      </c>
      <c r="J792" s="29">
        <v>12.46268463</v>
      </c>
      <c r="L792" s="30">
        <f t="shared" si="53"/>
        <v>5.1149352823132155E-4</v>
      </c>
      <c r="M792" s="30">
        <f t="shared" si="53"/>
        <v>-3.3655215456190879E-3</v>
      </c>
      <c r="N792" s="30">
        <f t="shared" si="53"/>
        <v>-1.9004180845162866E-2</v>
      </c>
      <c r="O792" s="30">
        <f t="shared" si="51"/>
        <v>6.3103898719141238E-3</v>
      </c>
      <c r="P792" s="30">
        <f t="shared" si="51"/>
        <v>4.1027928899926014E-3</v>
      </c>
      <c r="Q792" s="30">
        <f t="shared" si="51"/>
        <v>2.9817099915103729E-3</v>
      </c>
      <c r="R792" s="30">
        <f t="shared" si="51"/>
        <v>8.2861350593610439E-4</v>
      </c>
      <c r="S792" s="30">
        <f t="shared" si="51"/>
        <v>0</v>
      </c>
      <c r="T792" s="30">
        <f t="shared" si="51"/>
        <v>7.7086762344791282E-4</v>
      </c>
      <c r="U792" s="63">
        <f t="shared" si="52"/>
        <v>2.7255438265916861E-4</v>
      </c>
    </row>
    <row r="793" spans="1:21">
      <c r="A793" s="28">
        <v>44476</v>
      </c>
      <c r="B793" s="29">
        <v>1757.900024</v>
      </c>
      <c r="C793" s="29">
        <v>22.631999969999999</v>
      </c>
      <c r="D793" s="29">
        <v>78.300003050000001</v>
      </c>
      <c r="E793" s="29">
        <v>14897.12988</v>
      </c>
      <c r="F793" s="29">
        <v>4399.7597660000001</v>
      </c>
      <c r="G793" s="29">
        <v>34754.941409999999</v>
      </c>
      <c r="H793" s="29">
        <v>11.60120869</v>
      </c>
      <c r="I793" s="29">
        <v>9.4811172490000004</v>
      </c>
      <c r="J793" s="29">
        <v>12.424280169999999</v>
      </c>
      <c r="L793" s="30">
        <f t="shared" si="53"/>
        <v>-1.4768395342231733E-3</v>
      </c>
      <c r="M793" s="30">
        <f t="shared" si="53"/>
        <v>5.5984824975023884E-3</v>
      </c>
      <c r="N793" s="30">
        <f t="shared" si="53"/>
        <v>1.1235990397996165E-2</v>
      </c>
      <c r="O793" s="30">
        <f t="shared" si="51"/>
        <v>8.8292874193711679E-3</v>
      </c>
      <c r="P793" s="30">
        <f t="shared" si="51"/>
        <v>8.2982806701343836E-3</v>
      </c>
      <c r="Q793" s="30">
        <f t="shared" si="51"/>
        <v>9.8193696453210411E-3</v>
      </c>
      <c r="R793" s="30">
        <f t="shared" si="51"/>
        <v>-3.3113026710056559E-3</v>
      </c>
      <c r="S793" s="30">
        <f t="shared" si="51"/>
        <v>-2.0244253110727195E-3</v>
      </c>
      <c r="T793" s="30">
        <f t="shared" si="51"/>
        <v>-3.0815559520421809E-3</v>
      </c>
      <c r="U793" s="63">
        <f t="shared" si="52"/>
        <v>4.8036048945145323E-3</v>
      </c>
    </row>
    <row r="794" spans="1:21">
      <c r="A794" s="28">
        <v>44477</v>
      </c>
      <c r="B794" s="29">
        <v>1756.3000489999999</v>
      </c>
      <c r="C794" s="29">
        <v>22.679000850000001</v>
      </c>
      <c r="D794" s="29">
        <v>79.349998470000003</v>
      </c>
      <c r="E794" s="29">
        <v>14820.75</v>
      </c>
      <c r="F794" s="29">
        <v>4391.3398440000001</v>
      </c>
      <c r="G794" s="29">
        <v>34746.25</v>
      </c>
      <c r="H794" s="29">
        <v>11.572228429999999</v>
      </c>
      <c r="I794" s="29">
        <v>9.4618854520000006</v>
      </c>
      <c r="J794" s="29">
        <v>12.40507698</v>
      </c>
      <c r="L794" s="30">
        <f t="shared" si="53"/>
        <v>-9.1016268169763492E-4</v>
      </c>
      <c r="M794" s="30">
        <f t="shared" si="53"/>
        <v>2.0767444354146125E-3</v>
      </c>
      <c r="N794" s="30">
        <f t="shared" si="53"/>
        <v>1.3409902670495466E-2</v>
      </c>
      <c r="O794" s="30">
        <f t="shared" si="51"/>
        <v>-5.1271540635853263E-3</v>
      </c>
      <c r="P794" s="30">
        <f t="shared" si="51"/>
        <v>-1.9137231230365037E-3</v>
      </c>
      <c r="Q794" s="30">
        <f t="shared" si="51"/>
        <v>-2.5007695733014756E-4</v>
      </c>
      <c r="R794" s="30">
        <f t="shared" si="51"/>
        <v>-2.4980379867644009E-3</v>
      </c>
      <c r="S794" s="30">
        <f t="shared" si="51"/>
        <v>-2.0284315123334506E-3</v>
      </c>
      <c r="T794" s="30">
        <f t="shared" si="51"/>
        <v>-1.5456179140557191E-3</v>
      </c>
      <c r="U794" s="63">
        <f t="shared" si="52"/>
        <v>-4.1530362543776777E-4</v>
      </c>
    </row>
    <row r="795" spans="1:21">
      <c r="A795" s="28">
        <v>44480</v>
      </c>
      <c r="B795" s="29">
        <v>1754.599976</v>
      </c>
      <c r="C795" s="29">
        <v>22.63999939</v>
      </c>
      <c r="D795" s="29">
        <v>80.519996640000002</v>
      </c>
      <c r="E795" s="29">
        <v>14713.73047</v>
      </c>
      <c r="F795" s="29">
        <v>4361.1899409999996</v>
      </c>
      <c r="G795" s="29">
        <v>34496.058590000001</v>
      </c>
      <c r="H795" s="29">
        <v>11.56256771</v>
      </c>
      <c r="I795" s="29">
        <v>9.4618854520000006</v>
      </c>
      <c r="J795" s="29">
        <v>12.38587379</v>
      </c>
      <c r="L795" s="30">
        <f t="shared" si="53"/>
        <v>-9.6798551077192929E-4</v>
      </c>
      <c r="M795" s="30">
        <f t="shared" si="53"/>
        <v>-1.7197168542811836E-3</v>
      </c>
      <c r="N795" s="30">
        <f t="shared" si="53"/>
        <v>1.4744778734209429E-2</v>
      </c>
      <c r="O795" s="30">
        <f t="shared" si="51"/>
        <v>-7.2209253917648875E-3</v>
      </c>
      <c r="P795" s="30">
        <f t="shared" si="51"/>
        <v>-6.8657639971078099E-3</v>
      </c>
      <c r="Q795" s="30">
        <f t="shared" si="51"/>
        <v>-7.2005298413497787E-3</v>
      </c>
      <c r="R795" s="30">
        <f t="shared" si="51"/>
        <v>-8.3481933133588981E-4</v>
      </c>
      <c r="S795" s="30">
        <f t="shared" si="51"/>
        <v>0</v>
      </c>
      <c r="T795" s="30">
        <f t="shared" si="51"/>
        <v>-1.5480105468882455E-3</v>
      </c>
      <c r="U795" s="63">
        <f t="shared" si="52"/>
        <v>-2.5504745293978316E-3</v>
      </c>
    </row>
    <row r="796" spans="1:21">
      <c r="A796" s="28">
        <v>44481</v>
      </c>
      <c r="B796" s="29">
        <v>1758.3000489999999</v>
      </c>
      <c r="C796" s="29">
        <v>22.490999219999999</v>
      </c>
      <c r="D796" s="29">
        <v>80.63999939</v>
      </c>
      <c r="E796" s="29">
        <v>14662.110350000001</v>
      </c>
      <c r="F796" s="29">
        <v>4350.6499020000001</v>
      </c>
      <c r="G796" s="29">
        <v>34378.339840000001</v>
      </c>
      <c r="H796" s="29">
        <v>11.591547970000001</v>
      </c>
      <c r="I796" s="29">
        <v>9.4715003969999998</v>
      </c>
      <c r="J796" s="29">
        <v>12.424280169999999</v>
      </c>
      <c r="L796" s="30">
        <f t="shared" si="53"/>
        <v>2.1087843671554474E-3</v>
      </c>
      <c r="M796" s="30">
        <f t="shared" si="53"/>
        <v>-6.5812797709621229E-3</v>
      </c>
      <c r="N796" s="30">
        <f t="shared" si="53"/>
        <v>1.4903471809186719E-3</v>
      </c>
      <c r="O796" s="30">
        <f t="shared" si="51"/>
        <v>-3.5082958808609899E-3</v>
      </c>
      <c r="P796" s="30">
        <f t="shared" si="51"/>
        <v>-2.4167805444361701E-3</v>
      </c>
      <c r="Q796" s="30">
        <f t="shared" si="51"/>
        <v>-3.4125275411645006E-3</v>
      </c>
      <c r="R796" s="30">
        <f t="shared" si="51"/>
        <v>2.5063861874674576E-3</v>
      </c>
      <c r="S796" s="30">
        <f t="shared" si="51"/>
        <v>1.0161764321472422E-3</v>
      </c>
      <c r="T796" s="30">
        <f t="shared" si="51"/>
        <v>3.1008211976943922E-3</v>
      </c>
      <c r="U796" s="63">
        <f t="shared" si="52"/>
        <v>-1.4870195190945447E-3</v>
      </c>
    </row>
    <row r="797" spans="1:21">
      <c r="A797" s="28">
        <v>44482</v>
      </c>
      <c r="B797" s="29">
        <v>1793.6999510000001</v>
      </c>
      <c r="C797" s="29">
        <v>23.149000170000001</v>
      </c>
      <c r="D797" s="29">
        <v>80.440002440000001</v>
      </c>
      <c r="E797" s="29">
        <v>14774.599609999999</v>
      </c>
      <c r="F797" s="29">
        <v>4363.7998049999997</v>
      </c>
      <c r="G797" s="29">
        <v>34377.808590000001</v>
      </c>
      <c r="H797" s="29">
        <v>11.62052727</v>
      </c>
      <c r="I797" s="29">
        <v>9.4907321929999995</v>
      </c>
      <c r="J797" s="29">
        <v>12.443483349999999</v>
      </c>
      <c r="L797" s="30">
        <f t="shared" si="53"/>
        <v>2.013302679490514E-2</v>
      </c>
      <c r="M797" s="30">
        <f t="shared" si="53"/>
        <v>2.925619015694414E-2</v>
      </c>
      <c r="N797" s="30">
        <f t="shared" si="53"/>
        <v>-2.4801209264989632E-3</v>
      </c>
      <c r="O797" s="30">
        <f t="shared" si="51"/>
        <v>7.6721056733826121E-3</v>
      </c>
      <c r="P797" s="30">
        <f t="shared" si="51"/>
        <v>3.022514634872131E-3</v>
      </c>
      <c r="Q797" s="30">
        <f t="shared" si="51"/>
        <v>-1.545304405248249E-5</v>
      </c>
      <c r="R797" s="30">
        <f t="shared" si="51"/>
        <v>2.5000371024648249E-3</v>
      </c>
      <c r="S797" s="30">
        <f t="shared" si="51"/>
        <v>2.0304909669952576E-3</v>
      </c>
      <c r="T797" s="30">
        <f t="shared" si="51"/>
        <v>1.5456171091801085E-3</v>
      </c>
      <c r="U797" s="63">
        <f t="shared" si="52"/>
        <v>7.6897688823758473E-3</v>
      </c>
    </row>
    <row r="798" spans="1:21">
      <c r="A798" s="28">
        <v>44483</v>
      </c>
      <c r="B798" s="29">
        <v>1796.6999510000001</v>
      </c>
      <c r="C798" s="29">
        <v>23.455999370000001</v>
      </c>
      <c r="D798" s="29">
        <v>81.309997559999999</v>
      </c>
      <c r="E798" s="29">
        <v>15052.41992</v>
      </c>
      <c r="F798" s="29">
        <v>4438.2597660000001</v>
      </c>
      <c r="G798" s="29">
        <v>34912.558590000001</v>
      </c>
      <c r="H798" s="29">
        <v>11.63984585</v>
      </c>
      <c r="I798" s="29">
        <v>9.5099630360000003</v>
      </c>
      <c r="J798" s="29">
        <v>12.47228432</v>
      </c>
      <c r="L798" s="30">
        <f t="shared" si="53"/>
        <v>1.6725205340655247E-3</v>
      </c>
      <c r="M798" s="30">
        <f t="shared" si="53"/>
        <v>1.3261877305519976E-2</v>
      </c>
      <c r="N798" s="30">
        <f t="shared" si="53"/>
        <v>1.0815453674916542E-2</v>
      </c>
      <c r="O798" s="30">
        <f t="shared" si="51"/>
        <v>1.8803914646320585E-2</v>
      </c>
      <c r="P798" s="30">
        <f t="shared" si="51"/>
        <v>1.706310195868399E-2</v>
      </c>
      <c r="Q798" s="30">
        <f t="shared" si="51"/>
        <v>1.5555092716280638E-2</v>
      </c>
      <c r="R798" s="30">
        <f t="shared" si="51"/>
        <v>1.6624529637199181E-3</v>
      </c>
      <c r="S798" s="30">
        <f t="shared" si="51"/>
        <v>2.0262760142135683E-3</v>
      </c>
      <c r="T798" s="30">
        <f t="shared" si="51"/>
        <v>2.3145424146848725E-3</v>
      </c>
      <c r="U798" s="63">
        <f t="shared" si="52"/>
        <v>1.1381001931229378E-2</v>
      </c>
    </row>
    <row r="799" spans="1:21">
      <c r="A799" s="28">
        <v>44484</v>
      </c>
      <c r="B799" s="29">
        <v>1767.1999510000001</v>
      </c>
      <c r="C799" s="29">
        <v>23.32799911</v>
      </c>
      <c r="D799" s="29">
        <v>82.27999878</v>
      </c>
      <c r="E799" s="29">
        <v>15146.91992</v>
      </c>
      <c r="F799" s="29">
        <v>4471.3701170000004</v>
      </c>
      <c r="G799" s="29">
        <v>35294.761720000002</v>
      </c>
      <c r="H799" s="29">
        <v>11.610869409999999</v>
      </c>
      <c r="I799" s="29">
        <v>9.4907321929999995</v>
      </c>
      <c r="J799" s="29">
        <v>12.443483349999999</v>
      </c>
      <c r="L799" s="30">
        <f t="shared" si="53"/>
        <v>-1.6418990819018542E-2</v>
      </c>
      <c r="M799" s="30">
        <f t="shared" si="53"/>
        <v>-5.4570371520265004E-3</v>
      </c>
      <c r="N799" s="30">
        <f t="shared" si="53"/>
        <v>1.1929667311626924E-2</v>
      </c>
      <c r="O799" s="30">
        <f t="shared" si="51"/>
        <v>6.2780603054024553E-3</v>
      </c>
      <c r="P799" s="30">
        <f t="shared" si="51"/>
        <v>7.4602102503433798E-3</v>
      </c>
      <c r="Q799" s="30">
        <f t="shared" si="51"/>
        <v>1.094743970181189E-2</v>
      </c>
      <c r="R799" s="30">
        <f t="shared" si="51"/>
        <v>-2.4894178474021977E-3</v>
      </c>
      <c r="S799" s="30">
        <f t="shared" si="51"/>
        <v>-2.0221785223772937E-3</v>
      </c>
      <c r="T799" s="30">
        <f t="shared" si="51"/>
        <v>-2.3091976787136259E-3</v>
      </c>
      <c r="U799" s="63">
        <f t="shared" si="52"/>
        <v>1.9340359073033535E-3</v>
      </c>
    </row>
    <row r="800" spans="1:21">
      <c r="A800" s="28">
        <v>44487</v>
      </c>
      <c r="B800" s="29">
        <v>1764.8000489999999</v>
      </c>
      <c r="C800" s="29">
        <v>23.243000030000001</v>
      </c>
      <c r="D800" s="29">
        <v>82.440002440000001</v>
      </c>
      <c r="E800" s="29">
        <v>15300.889649999999</v>
      </c>
      <c r="F800" s="29">
        <v>4486.4599609999996</v>
      </c>
      <c r="G800" s="29">
        <v>35258.609380000002</v>
      </c>
      <c r="H800" s="29">
        <v>11.60120964</v>
      </c>
      <c r="I800" s="29">
        <v>9.4907321929999995</v>
      </c>
      <c r="J800" s="29">
        <v>12.43388081</v>
      </c>
      <c r="L800" s="30">
        <f t="shared" si="53"/>
        <v>-1.3580251621454487E-3</v>
      </c>
      <c r="M800" s="30">
        <f t="shared" si="53"/>
        <v>-3.6436506877078889E-3</v>
      </c>
      <c r="N800" s="30">
        <f t="shared" si="53"/>
        <v>1.9446239957758849E-3</v>
      </c>
      <c r="O800" s="30">
        <f t="shared" si="51"/>
        <v>1.0165085100680926E-2</v>
      </c>
      <c r="P800" s="30">
        <f t="shared" si="51"/>
        <v>3.3747696131500859E-3</v>
      </c>
      <c r="Q800" s="30">
        <f t="shared" si="51"/>
        <v>-1.0242976078661536E-3</v>
      </c>
      <c r="R800" s="30">
        <f t="shared" si="51"/>
        <v>-8.3195923224144153E-4</v>
      </c>
      <c r="S800" s="30">
        <f t="shared" si="51"/>
        <v>0</v>
      </c>
      <c r="T800" s="30">
        <f t="shared" si="51"/>
        <v>-7.7169227698603571E-4</v>
      </c>
      <c r="U800" s="63">
        <f t="shared" si="52"/>
        <v>1.6071656823260067E-3</v>
      </c>
    </row>
    <row r="801" spans="1:21">
      <c r="A801" s="28">
        <v>44488</v>
      </c>
      <c r="B801" s="29">
        <v>1769.6999510000001</v>
      </c>
      <c r="C801" s="29">
        <v>23.86199951</v>
      </c>
      <c r="D801" s="29">
        <v>82.959999080000003</v>
      </c>
      <c r="E801" s="29">
        <v>15410.719730000001</v>
      </c>
      <c r="F801" s="29">
        <v>4519.6298829999996</v>
      </c>
      <c r="G801" s="29">
        <v>35457.308590000001</v>
      </c>
      <c r="H801" s="29">
        <v>11.572228429999999</v>
      </c>
      <c r="I801" s="29">
        <v>9.4618854520000006</v>
      </c>
      <c r="J801" s="29">
        <v>12.40507698</v>
      </c>
      <c r="L801" s="30">
        <f t="shared" si="53"/>
        <v>2.7764629782147665E-3</v>
      </c>
      <c r="M801" s="30">
        <f t="shared" si="53"/>
        <v>2.6631651645701915E-2</v>
      </c>
      <c r="N801" s="30">
        <f t="shared" si="53"/>
        <v>6.3075767177283026E-3</v>
      </c>
      <c r="O801" s="30">
        <f t="shared" si="51"/>
        <v>7.1780192206014615E-3</v>
      </c>
      <c r="P801" s="30">
        <f t="shared" si="51"/>
        <v>7.3933395791649925E-3</v>
      </c>
      <c r="Q801" s="30">
        <f t="shared" si="51"/>
        <v>5.6354806242786548E-3</v>
      </c>
      <c r="R801" s="30">
        <f t="shared" si="51"/>
        <v>-2.4981196702175135E-3</v>
      </c>
      <c r="S801" s="30">
        <f t="shared" si="51"/>
        <v>-3.0394642281946771E-3</v>
      </c>
      <c r="T801" s="30">
        <f t="shared" si="51"/>
        <v>-2.3165599252675806E-3</v>
      </c>
      <c r="U801" s="63">
        <f t="shared" si="52"/>
        <v>7.2474533287529364E-3</v>
      </c>
    </row>
    <row r="802" spans="1:21">
      <c r="A802" s="28">
        <v>44489</v>
      </c>
      <c r="B802" s="29">
        <v>1784.099976</v>
      </c>
      <c r="C802" s="29">
        <v>24.42399979</v>
      </c>
      <c r="D802" s="29">
        <v>83.870002749999998</v>
      </c>
      <c r="E802" s="29">
        <v>15388.70996</v>
      </c>
      <c r="F802" s="29">
        <v>4536.1899409999996</v>
      </c>
      <c r="G802" s="29">
        <v>35609.339840000001</v>
      </c>
      <c r="H802" s="29">
        <v>11.56256771</v>
      </c>
      <c r="I802" s="29">
        <v>9.4522695540000008</v>
      </c>
      <c r="J802" s="29">
        <v>12.40507698</v>
      </c>
      <c r="L802" s="30">
        <f t="shared" si="53"/>
        <v>8.1369867201854795E-3</v>
      </c>
      <c r="M802" s="30">
        <f t="shared" si="53"/>
        <v>2.3552103408789327E-2</v>
      </c>
      <c r="N802" s="30">
        <f t="shared" si="53"/>
        <v>1.0969186114894391E-2</v>
      </c>
      <c r="O802" s="30">
        <f t="shared" si="51"/>
        <v>-1.4282116854772431E-3</v>
      </c>
      <c r="P802" s="30">
        <f t="shared" si="51"/>
        <v>3.6640296724934629E-3</v>
      </c>
      <c r="Q802" s="30">
        <f t="shared" si="51"/>
        <v>4.2877267352119386E-3</v>
      </c>
      <c r="R802" s="30">
        <f t="shared" si="51"/>
        <v>-8.3481933133588981E-4</v>
      </c>
      <c r="S802" s="30">
        <f t="shared" si="51"/>
        <v>-1.0162771520307867E-3</v>
      </c>
      <c r="T802" s="30">
        <f t="shared" si="51"/>
        <v>0</v>
      </c>
      <c r="U802" s="63">
        <f t="shared" si="52"/>
        <v>5.7902015066317522E-3</v>
      </c>
    </row>
    <row r="803" spans="1:21">
      <c r="A803" s="28">
        <v>44490</v>
      </c>
      <c r="B803" s="29">
        <v>1781.1999510000001</v>
      </c>
      <c r="C803" s="29">
        <v>24.149999619999999</v>
      </c>
      <c r="D803" s="29">
        <v>82.5</v>
      </c>
      <c r="E803" s="29">
        <v>15489.589840000001</v>
      </c>
      <c r="F803" s="29">
        <v>4549.7797849999997</v>
      </c>
      <c r="G803" s="29">
        <v>35603.078130000002</v>
      </c>
      <c r="H803" s="29">
        <v>11.54324913</v>
      </c>
      <c r="I803" s="29">
        <v>9.4330396650000008</v>
      </c>
      <c r="J803" s="29">
        <v>12.376272200000001</v>
      </c>
      <c r="L803" s="30">
        <f t="shared" si="53"/>
        <v>-1.6254834588932399E-3</v>
      </c>
      <c r="M803" s="30">
        <f t="shared" si="53"/>
        <v>-1.121848068931719E-2</v>
      </c>
      <c r="N803" s="30">
        <f t="shared" si="53"/>
        <v>-1.6334836116360996E-2</v>
      </c>
      <c r="O803" s="30">
        <f t="shared" si="51"/>
        <v>6.5554474846960531E-3</v>
      </c>
      <c r="P803" s="30">
        <f t="shared" si="51"/>
        <v>2.9958719050031668E-3</v>
      </c>
      <c r="Q803" s="30">
        <f t="shared" si="51"/>
        <v>-1.7584459661801333E-4</v>
      </c>
      <c r="R803" s="30">
        <f t="shared" si="51"/>
        <v>-1.6707863239834309E-3</v>
      </c>
      <c r="S803" s="30">
        <f t="shared" si="51"/>
        <v>-2.0344202934693412E-3</v>
      </c>
      <c r="T803" s="30">
        <f t="shared" si="51"/>
        <v>-2.3220154172715057E-3</v>
      </c>
      <c r="U803" s="63">
        <f t="shared" si="52"/>
        <v>-1.8933632408002733E-3</v>
      </c>
    </row>
    <row r="804" spans="1:21">
      <c r="A804" s="28">
        <v>44491</v>
      </c>
      <c r="B804" s="29">
        <v>1795.5</v>
      </c>
      <c r="C804" s="29">
        <v>24.429000850000001</v>
      </c>
      <c r="D804" s="29">
        <v>83.760002139999997</v>
      </c>
      <c r="E804" s="29">
        <v>15355.070309999999</v>
      </c>
      <c r="F804" s="29">
        <v>4544.8999020000001</v>
      </c>
      <c r="G804" s="29">
        <v>35677.019529999998</v>
      </c>
      <c r="H804" s="29">
        <v>11.56256771</v>
      </c>
      <c r="I804" s="29">
        <v>9.4522695540000008</v>
      </c>
      <c r="J804" s="29">
        <v>12.39547539</v>
      </c>
      <c r="L804" s="30">
        <f t="shared" si="53"/>
        <v>8.0283232615021571E-3</v>
      </c>
      <c r="M804" s="30">
        <f t="shared" si="53"/>
        <v>1.1552846144516904E-2</v>
      </c>
      <c r="N804" s="30">
        <f t="shared" si="53"/>
        <v>1.5272753212121071E-2</v>
      </c>
      <c r="O804" s="30">
        <f t="shared" si="51"/>
        <v>-8.6845120748531013E-3</v>
      </c>
      <c r="P804" s="30">
        <f t="shared" si="51"/>
        <v>-1.0725536686606585E-3</v>
      </c>
      <c r="Q804" s="30">
        <f t="shared" si="51"/>
        <v>2.0768260466133004E-3</v>
      </c>
      <c r="R804" s="30">
        <f t="shared" si="51"/>
        <v>1.6735825227744971E-3</v>
      </c>
      <c r="S804" s="30">
        <f t="shared" si="51"/>
        <v>2.038567596757801E-3</v>
      </c>
      <c r="T804" s="30">
        <f t="shared" si="51"/>
        <v>1.5516134171644769E-3</v>
      </c>
      <c r="U804" s="63">
        <f t="shared" si="52"/>
        <v>2.5517256694525953E-3</v>
      </c>
    </row>
    <row r="805" spans="1:21">
      <c r="A805" s="28">
        <v>44494</v>
      </c>
      <c r="B805" s="29">
        <v>1806</v>
      </c>
      <c r="C805" s="29">
        <v>24.572000500000001</v>
      </c>
      <c r="D805" s="29">
        <v>83.760002139999997</v>
      </c>
      <c r="E805" s="29">
        <v>15514.190430000001</v>
      </c>
      <c r="F805" s="29">
        <v>4566.4799800000001</v>
      </c>
      <c r="G805" s="29">
        <v>35741.148439999997</v>
      </c>
      <c r="H805" s="29">
        <v>11.56256771</v>
      </c>
      <c r="I805" s="29">
        <v>9.4522695540000008</v>
      </c>
      <c r="J805" s="29">
        <v>12.40507698</v>
      </c>
      <c r="L805" s="30">
        <f t="shared" si="53"/>
        <v>5.8479532163742132E-3</v>
      </c>
      <c r="M805" s="30">
        <f t="shared" si="53"/>
        <v>5.8536839422149711E-3</v>
      </c>
      <c r="N805" s="30">
        <f t="shared" si="53"/>
        <v>0</v>
      </c>
      <c r="O805" s="30">
        <f t="shared" si="51"/>
        <v>1.0362708655027975E-2</v>
      </c>
      <c r="P805" s="30">
        <f t="shared" si="51"/>
        <v>4.7481965423492589E-3</v>
      </c>
      <c r="Q805" s="30">
        <f t="shared" si="51"/>
        <v>1.7974850714779222E-3</v>
      </c>
      <c r="R805" s="30">
        <f t="shared" si="51"/>
        <v>0</v>
      </c>
      <c r="S805" s="30">
        <f t="shared" si="51"/>
        <v>0</v>
      </c>
      <c r="T805" s="30">
        <f t="shared" si="51"/>
        <v>7.7460441797549962E-4</v>
      </c>
      <c r="U805" s="63">
        <f t="shared" si="52"/>
        <v>4.0107389247514775E-3</v>
      </c>
    </row>
    <row r="806" spans="1:21">
      <c r="A806" s="28">
        <v>44495</v>
      </c>
      <c r="B806" s="29">
        <v>1792.6999510000001</v>
      </c>
      <c r="C806" s="29">
        <v>24.086000439999999</v>
      </c>
      <c r="D806" s="29">
        <v>84.650001529999997</v>
      </c>
      <c r="E806" s="29">
        <v>15559.490229999999</v>
      </c>
      <c r="F806" s="29">
        <v>4574.7900390000004</v>
      </c>
      <c r="G806" s="29">
        <v>35756.878909999999</v>
      </c>
      <c r="H806" s="29">
        <v>11.591547970000001</v>
      </c>
      <c r="I806" s="29">
        <v>9.4715003969999998</v>
      </c>
      <c r="J806" s="29">
        <v>12.424280169999999</v>
      </c>
      <c r="L806" s="30">
        <f t="shared" si="53"/>
        <v>-7.364368217054218E-3</v>
      </c>
      <c r="M806" s="30">
        <f t="shared" si="53"/>
        <v>-1.9778611839113447E-2</v>
      </c>
      <c r="N806" s="30">
        <f t="shared" si="53"/>
        <v>1.0625589389460899E-2</v>
      </c>
      <c r="O806" s="30">
        <f t="shared" si="51"/>
        <v>2.9198945445714219E-3</v>
      </c>
      <c r="P806" s="30">
        <f t="shared" si="51"/>
        <v>1.8197953426701829E-3</v>
      </c>
      <c r="Q806" s="30">
        <f t="shared" si="51"/>
        <v>4.4012211936639289E-4</v>
      </c>
      <c r="R806" s="30">
        <f t="shared" si="51"/>
        <v>2.5063861874674576E-3</v>
      </c>
      <c r="S806" s="30">
        <f t="shared" si="51"/>
        <v>2.0345212216108521E-3</v>
      </c>
      <c r="T806" s="30">
        <f t="shared" si="51"/>
        <v>1.5480105468881344E-3</v>
      </c>
      <c r="U806" s="63">
        <f t="shared" si="52"/>
        <v>-1.1810102214850292E-3</v>
      </c>
    </row>
    <row r="807" spans="1:21">
      <c r="A807" s="28">
        <v>44496</v>
      </c>
      <c r="B807" s="29">
        <v>1797.900024</v>
      </c>
      <c r="C807" s="29">
        <v>24.18899918</v>
      </c>
      <c r="D807" s="29">
        <v>82.660003660000001</v>
      </c>
      <c r="E807" s="29">
        <v>15598.389649999999</v>
      </c>
      <c r="F807" s="29">
        <v>4551.6801759999998</v>
      </c>
      <c r="G807" s="29">
        <v>35490.691409999999</v>
      </c>
      <c r="H807" s="29">
        <v>11.63018799</v>
      </c>
      <c r="I807" s="29">
        <v>9.5099630360000003</v>
      </c>
      <c r="J807" s="29">
        <v>12.46268463</v>
      </c>
      <c r="L807" s="30">
        <f t="shared" si="53"/>
        <v>2.9006934468309709E-3</v>
      </c>
      <c r="M807" s="30">
        <f t="shared" si="53"/>
        <v>4.2762907132123384E-3</v>
      </c>
      <c r="N807" s="30">
        <f t="shared" si="53"/>
        <v>-2.3508539090749347E-2</v>
      </c>
      <c r="O807" s="30">
        <f t="shared" si="53"/>
        <v>2.5000446303182766E-3</v>
      </c>
      <c r="P807" s="30">
        <f t="shared" si="53"/>
        <v>-5.0515680070537528E-3</v>
      </c>
      <c r="Q807" s="30">
        <f t="shared" si="53"/>
        <v>-7.4443717716524693E-3</v>
      </c>
      <c r="R807" s="30">
        <f t="shared" si="51"/>
        <v>3.3334650471190663E-3</v>
      </c>
      <c r="S807" s="30">
        <f t="shared" si="51"/>
        <v>4.0608813163522939E-3</v>
      </c>
      <c r="T807" s="30">
        <f t="shared" si="51"/>
        <v>3.0910812919957564E-3</v>
      </c>
      <c r="U807" s="63">
        <f t="shared" si="52"/>
        <v>-1.5207292269021591E-3</v>
      </c>
    </row>
    <row r="808" spans="1:21">
      <c r="A808" s="28">
        <v>44497</v>
      </c>
      <c r="B808" s="29">
        <v>1801.599976</v>
      </c>
      <c r="C808" s="29">
        <v>24.117000579999999</v>
      </c>
      <c r="D808" s="29">
        <v>82.809997559999999</v>
      </c>
      <c r="E808" s="29">
        <v>15778.160159999999</v>
      </c>
      <c r="F808" s="29">
        <v>4596.419922</v>
      </c>
      <c r="G808" s="29">
        <v>35730.480470000002</v>
      </c>
      <c r="H808" s="29">
        <v>11.610869409999999</v>
      </c>
      <c r="I808" s="29">
        <v>9.4907321929999995</v>
      </c>
      <c r="J808" s="29">
        <v>12.443483349999999</v>
      </c>
      <c r="L808" s="30">
        <f t="shared" si="53"/>
        <v>2.0579297795260132E-3</v>
      </c>
      <c r="M808" s="30">
        <f t="shared" si="53"/>
        <v>-2.9765018165583967E-3</v>
      </c>
      <c r="N808" s="30">
        <f t="shared" si="53"/>
        <v>1.8145885961602382E-3</v>
      </c>
      <c r="O808" s="30">
        <f t="shared" si="53"/>
        <v>1.1524940332542588E-2</v>
      </c>
      <c r="P808" s="30">
        <f t="shared" si="53"/>
        <v>9.8292815553919777E-3</v>
      </c>
      <c r="Q808" s="30">
        <f t="shared" si="53"/>
        <v>6.7563930279599393E-3</v>
      </c>
      <c r="R808" s="30">
        <f t="shared" si="51"/>
        <v>-1.6610720322500772E-3</v>
      </c>
      <c r="S808" s="30">
        <f t="shared" si="51"/>
        <v>-2.0221785223772937E-3</v>
      </c>
      <c r="T808" s="30">
        <f t="shared" si="51"/>
        <v>-1.5407017484643237E-3</v>
      </c>
      <c r="U808" s="63">
        <f t="shared" si="52"/>
        <v>3.9083010840525586E-3</v>
      </c>
    </row>
    <row r="809" spans="1:21">
      <c r="A809" s="28">
        <v>44498</v>
      </c>
      <c r="B809" s="29">
        <v>1783</v>
      </c>
      <c r="C809" s="29">
        <v>23.94499969</v>
      </c>
      <c r="D809" s="29">
        <v>83.569999690000003</v>
      </c>
      <c r="E809" s="29">
        <v>15850.469730000001</v>
      </c>
      <c r="F809" s="29">
        <v>4605.3798829999996</v>
      </c>
      <c r="G809" s="29">
        <v>35819.558590000001</v>
      </c>
      <c r="H809" s="29">
        <v>11.63698387</v>
      </c>
      <c r="I809" s="29">
        <v>9.5109491350000006</v>
      </c>
      <c r="J809" s="29">
        <v>12.46656799</v>
      </c>
      <c r="L809" s="30">
        <f t="shared" si="53"/>
        <v>-1.0324143121547169E-2</v>
      </c>
      <c r="M809" s="30">
        <f t="shared" si="53"/>
        <v>-7.1319353926059259E-3</v>
      </c>
      <c r="N809" s="30">
        <f t="shared" si="53"/>
        <v>9.1776615432133113E-3</v>
      </c>
      <c r="O809" s="30">
        <f t="shared" si="53"/>
        <v>4.5828898468984747E-3</v>
      </c>
      <c r="P809" s="30">
        <f t="shared" si="53"/>
        <v>1.9493347326935417E-3</v>
      </c>
      <c r="Q809" s="30">
        <f t="shared" si="53"/>
        <v>2.4930568754817362E-3</v>
      </c>
      <c r="R809" s="30">
        <f t="shared" si="51"/>
        <v>2.249139067700634E-3</v>
      </c>
      <c r="S809" s="30">
        <f t="shared" si="51"/>
        <v>2.1301772707180699E-3</v>
      </c>
      <c r="T809" s="30">
        <f t="shared" si="51"/>
        <v>1.8551589897053411E-3</v>
      </c>
      <c r="U809" s="63">
        <f t="shared" si="52"/>
        <v>7.7997074558607514E-4</v>
      </c>
    </row>
    <row r="810" spans="1:21">
      <c r="A810" s="28">
        <v>44501</v>
      </c>
      <c r="B810" s="29">
        <v>1795.099976</v>
      </c>
      <c r="C810" s="29">
        <v>24.06399918</v>
      </c>
      <c r="D810" s="29">
        <v>84.050003050000001</v>
      </c>
      <c r="E810" s="29">
        <v>15905.280269999999</v>
      </c>
      <c r="F810" s="29">
        <v>4613.669922</v>
      </c>
      <c r="G810" s="29">
        <v>35913.839840000001</v>
      </c>
      <c r="H810" s="29">
        <v>11.627312659999999</v>
      </c>
      <c r="I810" s="29">
        <v>9.5013227459999996</v>
      </c>
      <c r="J810" s="29">
        <v>12.43771267</v>
      </c>
      <c r="L810" s="30">
        <f t="shared" si="53"/>
        <v>6.7863017386426971E-3</v>
      </c>
      <c r="M810" s="30">
        <f t="shared" si="53"/>
        <v>4.969701045755226E-3</v>
      </c>
      <c r="N810" s="30">
        <f t="shared" si="53"/>
        <v>5.7437281534109541E-3</v>
      </c>
      <c r="O810" s="30">
        <f t="shared" si="53"/>
        <v>3.4579757529997757E-3</v>
      </c>
      <c r="P810" s="30">
        <f t="shared" si="53"/>
        <v>1.8000771294897078E-3</v>
      </c>
      <c r="Q810" s="30">
        <f t="shared" si="53"/>
        <v>2.6321164668490216E-3</v>
      </c>
      <c r="R810" s="30">
        <f t="shared" si="51"/>
        <v>-8.3107531195714124E-4</v>
      </c>
      <c r="S810" s="30">
        <f t="shared" si="51"/>
        <v>-1.012137575689076E-3</v>
      </c>
      <c r="T810" s="30">
        <f t="shared" si="51"/>
        <v>-2.3146161817065858E-3</v>
      </c>
      <c r="U810" s="63">
        <f t="shared" si="52"/>
        <v>2.2040804755793851E-3</v>
      </c>
    </row>
    <row r="811" spans="1:21">
      <c r="A811" s="28">
        <v>44502</v>
      </c>
      <c r="B811" s="29">
        <v>1788.6999510000001</v>
      </c>
      <c r="C811" s="29">
        <v>23.5</v>
      </c>
      <c r="D811" s="29">
        <v>83.910003660000001</v>
      </c>
      <c r="E811" s="29">
        <v>15972.490229999999</v>
      </c>
      <c r="F811" s="29">
        <v>4630.6499020000001</v>
      </c>
      <c r="G811" s="29">
        <v>36052.628909999999</v>
      </c>
      <c r="H811" s="29">
        <v>11.646657940000001</v>
      </c>
      <c r="I811" s="29">
        <v>9.5109491350000006</v>
      </c>
      <c r="J811" s="29">
        <v>12.456951139999999</v>
      </c>
      <c r="L811" s="30">
        <f t="shared" si="53"/>
        <v>-3.5652749627131941E-3</v>
      </c>
      <c r="M811" s="30">
        <f t="shared" si="53"/>
        <v>-2.3437466722852518E-2</v>
      </c>
      <c r="N811" s="30">
        <f t="shared" si="53"/>
        <v>-1.6656678753088627E-3</v>
      </c>
      <c r="O811" s="30">
        <f t="shared" si="53"/>
        <v>4.2256382068770471E-3</v>
      </c>
      <c r="P811" s="30">
        <f t="shared" si="53"/>
        <v>3.6803629837132146E-3</v>
      </c>
      <c r="Q811" s="30">
        <f t="shared" si="53"/>
        <v>3.8645010006816971E-3</v>
      </c>
      <c r="R811" s="30">
        <f t="shared" si="51"/>
        <v>1.6637791178140127E-3</v>
      </c>
      <c r="S811" s="30">
        <f t="shared" si="51"/>
        <v>1.0131630360681321E-3</v>
      </c>
      <c r="T811" s="30">
        <f t="shared" si="51"/>
        <v>1.5467852096633372E-3</v>
      </c>
      <c r="U811" s="63">
        <f t="shared" si="52"/>
        <v>-1.7931027440657684E-3</v>
      </c>
    </row>
    <row r="812" spans="1:21">
      <c r="A812" s="28">
        <v>44503</v>
      </c>
      <c r="B812" s="29">
        <v>1763.599976</v>
      </c>
      <c r="C812" s="29">
        <v>23.225999829999999</v>
      </c>
      <c r="D812" s="29">
        <v>80.86000061</v>
      </c>
      <c r="E812" s="29">
        <v>16144.5</v>
      </c>
      <c r="F812" s="29">
        <v>4660.5698240000002</v>
      </c>
      <c r="G812" s="29">
        <v>36157.578130000002</v>
      </c>
      <c r="H812" s="29">
        <v>11.617639540000001</v>
      </c>
      <c r="I812" s="29">
        <v>9.491693497</v>
      </c>
      <c r="J812" s="29">
        <v>12.43771267</v>
      </c>
      <c r="L812" s="30">
        <f t="shared" si="53"/>
        <v>-1.403252400491628E-2</v>
      </c>
      <c r="M812" s="30">
        <f t="shared" si="53"/>
        <v>-1.1659581702127664E-2</v>
      </c>
      <c r="N812" s="30">
        <f t="shared" si="53"/>
        <v>-3.6348503360320361E-2</v>
      </c>
      <c r="O812" s="30">
        <f t="shared" si="53"/>
        <v>1.0769126637305781E-2</v>
      </c>
      <c r="P812" s="30">
        <f t="shared" si="53"/>
        <v>6.461279222831573E-3</v>
      </c>
      <c r="Q812" s="30">
        <f t="shared" si="53"/>
        <v>2.9110004782728627E-3</v>
      </c>
      <c r="R812" s="30">
        <f t="shared" si="51"/>
        <v>-2.4915645457687097E-3</v>
      </c>
      <c r="S812" s="30">
        <f t="shared" si="51"/>
        <v>-2.0245758574336525E-3</v>
      </c>
      <c r="T812" s="30">
        <f t="shared" si="51"/>
        <v>-1.5443963602156385E-3</v>
      </c>
      <c r="U812" s="63">
        <f t="shared" si="52"/>
        <v>-2.4652636455974606E-3</v>
      </c>
    </row>
    <row r="813" spans="1:21">
      <c r="A813" s="28">
        <v>44504</v>
      </c>
      <c r="B813" s="29">
        <v>1793</v>
      </c>
      <c r="C813" s="29">
        <v>23.90600014</v>
      </c>
      <c r="D813" s="29">
        <v>78.809997559999999</v>
      </c>
      <c r="E813" s="29">
        <v>16346.240229999999</v>
      </c>
      <c r="F813" s="29">
        <v>4680.0600590000004</v>
      </c>
      <c r="G813" s="29">
        <v>36124.230470000002</v>
      </c>
      <c r="H813" s="29">
        <v>11.656332020000001</v>
      </c>
      <c r="I813" s="29">
        <v>9.5205745700000008</v>
      </c>
      <c r="J813" s="29">
        <v>12.47618675</v>
      </c>
      <c r="L813" s="30">
        <f t="shared" si="53"/>
        <v>1.6670460648724905E-2</v>
      </c>
      <c r="M813" s="30">
        <f t="shared" si="53"/>
        <v>2.927754735973398E-2</v>
      </c>
      <c r="N813" s="30">
        <f t="shared" si="53"/>
        <v>-2.5352498572037807E-2</v>
      </c>
      <c r="O813" s="30">
        <f t="shared" si="53"/>
        <v>1.249591068165623E-2</v>
      </c>
      <c r="P813" s="30">
        <f t="shared" si="53"/>
        <v>4.1819424954505635E-3</v>
      </c>
      <c r="Q813" s="30">
        <f t="shared" si="53"/>
        <v>-9.2228688216067223E-4</v>
      </c>
      <c r="R813" s="30">
        <f t="shared" si="51"/>
        <v>3.330494104829107E-3</v>
      </c>
      <c r="S813" s="30">
        <f t="shared" si="51"/>
        <v>3.0427734533493567E-3</v>
      </c>
      <c r="T813" s="30">
        <f t="shared" si="51"/>
        <v>3.0933404735100645E-3</v>
      </c>
      <c r="U813" s="63">
        <f t="shared" si="52"/>
        <v>6.9731132180611216E-3</v>
      </c>
    </row>
    <row r="814" spans="1:21">
      <c r="A814" s="28">
        <v>44505</v>
      </c>
      <c r="B814" s="29">
        <v>1816.400024</v>
      </c>
      <c r="C814" s="29">
        <v>24.152000430000001</v>
      </c>
      <c r="D814" s="29">
        <v>81.269996640000002</v>
      </c>
      <c r="E814" s="29">
        <v>16359.37988</v>
      </c>
      <c r="F814" s="29">
        <v>4697.5297849999997</v>
      </c>
      <c r="G814" s="29">
        <v>36327.949220000002</v>
      </c>
      <c r="H814" s="29">
        <v>11.704698560000001</v>
      </c>
      <c r="I814" s="29">
        <v>9.5590810780000002</v>
      </c>
      <c r="J814" s="29">
        <v>12.524285320000001</v>
      </c>
      <c r="L814" s="30">
        <f t="shared" si="53"/>
        <v>1.3050766313441153E-2</v>
      </c>
      <c r="M814" s="30">
        <f t="shared" si="53"/>
        <v>1.0290315760033364E-2</v>
      </c>
      <c r="N814" s="30">
        <f t="shared" si="53"/>
        <v>3.121430219721999E-2</v>
      </c>
      <c r="O814" s="30">
        <f t="shared" si="53"/>
        <v>8.0383316378074277E-4</v>
      </c>
      <c r="P814" s="30">
        <f t="shared" si="53"/>
        <v>3.7327995324343277E-3</v>
      </c>
      <c r="Q814" s="30">
        <f t="shared" si="53"/>
        <v>5.6393934860199391E-3</v>
      </c>
      <c r="R814" s="30">
        <f t="shared" si="51"/>
        <v>4.1493790599831382E-3</v>
      </c>
      <c r="S814" s="30">
        <f t="shared" si="51"/>
        <v>4.0445571553355819E-3</v>
      </c>
      <c r="T814" s="30">
        <f t="shared" si="51"/>
        <v>3.8552300445486853E-3</v>
      </c>
      <c r="U814" s="63">
        <f t="shared" si="52"/>
        <v>7.1070220414168241E-3</v>
      </c>
    </row>
    <row r="815" spans="1:21">
      <c r="A815" s="28">
        <v>44508</v>
      </c>
      <c r="B815" s="29">
        <v>1827.400024</v>
      </c>
      <c r="C815" s="29">
        <v>24.53700066</v>
      </c>
      <c r="D815" s="29">
        <v>81.930000309999997</v>
      </c>
      <c r="E815" s="29">
        <v>16336.030269999999</v>
      </c>
      <c r="F815" s="29">
        <v>4701.7001950000003</v>
      </c>
      <c r="G815" s="29">
        <v>36432.21875</v>
      </c>
      <c r="H815" s="29">
        <v>11.685353279999999</v>
      </c>
      <c r="I815" s="29">
        <v>9.5494537350000002</v>
      </c>
      <c r="J815" s="29">
        <v>12.50504684</v>
      </c>
      <c r="L815" s="30">
        <f t="shared" si="53"/>
        <v>6.055934736103108E-3</v>
      </c>
      <c r="M815" s="30">
        <f t="shared" si="53"/>
        <v>1.5940718083201855E-2</v>
      </c>
      <c r="N815" s="30">
        <f t="shared" si="53"/>
        <v>8.1211233823916817E-3</v>
      </c>
      <c r="O815" s="30">
        <f t="shared" si="53"/>
        <v>-1.4272918760537268E-3</v>
      </c>
      <c r="P815" s="30">
        <f t="shared" si="53"/>
        <v>8.8778787807108905E-4</v>
      </c>
      <c r="Q815" s="30">
        <f t="shared" si="53"/>
        <v>2.8702289074604703E-3</v>
      </c>
      <c r="R815" s="30">
        <f t="shared" si="53"/>
        <v>-1.6527790015978816E-3</v>
      </c>
      <c r="S815" s="30">
        <f t="shared" si="53"/>
        <v>-1.0071410548192494E-3</v>
      </c>
      <c r="T815" s="30">
        <f t="shared" si="53"/>
        <v>-1.5360940371805798E-3</v>
      </c>
      <c r="U815" s="63">
        <f t="shared" si="52"/>
        <v>3.2161781014266233E-3</v>
      </c>
    </row>
    <row r="816" spans="1:21">
      <c r="A816" s="28">
        <v>44509</v>
      </c>
      <c r="B816" s="29">
        <v>1830.1999510000001</v>
      </c>
      <c r="C816" s="29">
        <v>24.312999730000001</v>
      </c>
      <c r="D816" s="29">
        <v>84.150001529999997</v>
      </c>
      <c r="E816" s="29">
        <v>16219.940430000001</v>
      </c>
      <c r="F816" s="29">
        <v>4685.25</v>
      </c>
      <c r="G816" s="29">
        <v>36319.980470000002</v>
      </c>
      <c r="H816" s="29">
        <v>11.714370730000001</v>
      </c>
      <c r="I816" s="29">
        <v>9.5687055589999996</v>
      </c>
      <c r="J816" s="29">
        <v>12.53390312</v>
      </c>
      <c r="L816" s="30">
        <f t="shared" si="53"/>
        <v>1.5321916182704509E-3</v>
      </c>
      <c r="M816" s="30">
        <f t="shared" si="53"/>
        <v>-9.1291080398903102E-3</v>
      </c>
      <c r="N816" s="30">
        <f t="shared" si="53"/>
        <v>2.7096316509216845E-2</v>
      </c>
      <c r="O816" s="30">
        <f t="shared" si="53"/>
        <v>-7.1063678311853451E-3</v>
      </c>
      <c r="P816" s="30">
        <f t="shared" si="53"/>
        <v>-3.4987758295380589E-3</v>
      </c>
      <c r="Q816" s="30">
        <f t="shared" si="53"/>
        <v>-3.0807423717502669E-3</v>
      </c>
      <c r="R816" s="30">
        <f t="shared" si="53"/>
        <v>2.4832325822503609E-3</v>
      </c>
      <c r="S816" s="30">
        <f t="shared" si="53"/>
        <v>2.016013118052884E-3</v>
      </c>
      <c r="T816" s="30">
        <f t="shared" si="53"/>
        <v>2.3075707247810495E-3</v>
      </c>
      <c r="U816" s="63">
        <f t="shared" si="52"/>
        <v>-6.607514137972675E-4</v>
      </c>
    </row>
    <row r="817" spans="1:21">
      <c r="A817" s="28">
        <v>44510</v>
      </c>
      <c r="B817" s="29">
        <v>1847.599976</v>
      </c>
      <c r="C817" s="29">
        <v>24.767000199999998</v>
      </c>
      <c r="D817" s="29">
        <v>81.339996339999999</v>
      </c>
      <c r="E817" s="29">
        <v>15985.570309999999</v>
      </c>
      <c r="F817" s="29">
        <v>4646.7099609999996</v>
      </c>
      <c r="G817" s="29">
        <v>36079.941409999999</v>
      </c>
      <c r="H817" s="29">
        <v>11.63698387</v>
      </c>
      <c r="I817" s="29">
        <v>9.5109491350000006</v>
      </c>
      <c r="J817" s="29">
        <v>12.456951139999999</v>
      </c>
      <c r="L817" s="30">
        <f t="shared" si="53"/>
        <v>9.5071716019294872E-3</v>
      </c>
      <c r="M817" s="30">
        <f t="shared" si="53"/>
        <v>1.8673157366090098E-2</v>
      </c>
      <c r="N817" s="30">
        <f t="shared" si="53"/>
        <v>-3.3392812108247183E-2</v>
      </c>
      <c r="O817" s="30">
        <f t="shared" si="53"/>
        <v>-1.4449505595379164E-2</v>
      </c>
      <c r="P817" s="30">
        <f t="shared" si="53"/>
        <v>-8.2258233818900406E-3</v>
      </c>
      <c r="Q817" s="30">
        <f t="shared" si="53"/>
        <v>-6.6090085097449958E-3</v>
      </c>
      <c r="R817" s="30">
        <f t="shared" si="53"/>
        <v>-6.6061474221416061E-3</v>
      </c>
      <c r="S817" s="30">
        <f t="shared" si="53"/>
        <v>-6.0359704501175004E-3</v>
      </c>
      <c r="T817" s="30">
        <f t="shared" si="53"/>
        <v>-6.1395065258810222E-3</v>
      </c>
      <c r="U817" s="63">
        <f t="shared" si="52"/>
        <v>-5.197311654035211E-3</v>
      </c>
    </row>
    <row r="818" spans="1:21">
      <c r="A818" s="28">
        <v>44511</v>
      </c>
      <c r="B818" s="29">
        <v>1863.1999510000001</v>
      </c>
      <c r="C818" s="29">
        <v>25.301000599999998</v>
      </c>
      <c r="D818" s="29">
        <v>81.589996339999999</v>
      </c>
      <c r="E818" s="29">
        <v>16032.469730000001</v>
      </c>
      <c r="F818" s="29">
        <v>4649.2700199999999</v>
      </c>
      <c r="G818" s="29">
        <v>35921.230470000002</v>
      </c>
      <c r="H818" s="29">
        <v>11.617639540000001</v>
      </c>
      <c r="I818" s="29">
        <v>9.5109491350000006</v>
      </c>
      <c r="J818" s="29">
        <v>12.43771267</v>
      </c>
      <c r="L818" s="30">
        <f t="shared" si="53"/>
        <v>8.4433725928994008E-3</v>
      </c>
      <c r="M818" s="30">
        <f t="shared" si="53"/>
        <v>2.1560964012105055E-2</v>
      </c>
      <c r="N818" s="30">
        <f t="shared" si="53"/>
        <v>3.0735187023491761E-3</v>
      </c>
      <c r="O818" s="30">
        <f t="shared" si="53"/>
        <v>2.9338596678445406E-3</v>
      </c>
      <c r="P818" s="30">
        <f t="shared" si="53"/>
        <v>5.5094013215528648E-4</v>
      </c>
      <c r="Q818" s="30">
        <f t="shared" si="53"/>
        <v>-4.3988691166778615E-3</v>
      </c>
      <c r="R818" s="30">
        <f t="shared" si="53"/>
        <v>-1.6623147557907059E-3</v>
      </c>
      <c r="S818" s="30">
        <f t="shared" si="53"/>
        <v>0</v>
      </c>
      <c r="T818" s="30">
        <f t="shared" si="53"/>
        <v>-1.5443963602156385E-3</v>
      </c>
      <c r="U818" s="63">
        <f t="shared" si="52"/>
        <v>4.1468699404536317E-3</v>
      </c>
    </row>
    <row r="819" spans="1:21">
      <c r="A819" s="28">
        <v>44512</v>
      </c>
      <c r="B819" s="29">
        <v>1867.900024</v>
      </c>
      <c r="C819" s="29">
        <v>25.34399986</v>
      </c>
      <c r="D819" s="29">
        <v>80.790000919999997</v>
      </c>
      <c r="E819" s="29">
        <v>16199.889649999999</v>
      </c>
      <c r="F819" s="29">
        <v>4682.8500979999999</v>
      </c>
      <c r="G819" s="29">
        <v>36100.308590000001</v>
      </c>
      <c r="H819" s="29">
        <v>11.617639540000001</v>
      </c>
      <c r="I819" s="29">
        <v>9.491693497</v>
      </c>
      <c r="J819" s="29">
        <v>12.43771267</v>
      </c>
      <c r="L819" s="30">
        <f t="shared" si="53"/>
        <v>2.522581109707156E-3</v>
      </c>
      <c r="M819" s="30">
        <f t="shared" si="53"/>
        <v>1.6995082795263627E-3</v>
      </c>
      <c r="N819" s="30">
        <f t="shared" si="53"/>
        <v>-9.8050674823697559E-3</v>
      </c>
      <c r="O819" s="30">
        <f t="shared" si="53"/>
        <v>1.044255331957511E-2</v>
      </c>
      <c r="P819" s="30">
        <f t="shared" si="53"/>
        <v>7.2226559988013417E-3</v>
      </c>
      <c r="Q819" s="30">
        <f t="shared" si="53"/>
        <v>4.9853002710906757E-3</v>
      </c>
      <c r="R819" s="30">
        <f t="shared" si="53"/>
        <v>0</v>
      </c>
      <c r="S819" s="30">
        <f t="shared" si="53"/>
        <v>-2.0245758574336525E-3</v>
      </c>
      <c r="T819" s="30">
        <f t="shared" si="53"/>
        <v>0</v>
      </c>
      <c r="U819" s="63">
        <f t="shared" si="52"/>
        <v>2.9882240442811051E-3</v>
      </c>
    </row>
    <row r="820" spans="1:21">
      <c r="A820" s="28">
        <v>44515</v>
      </c>
      <c r="B820" s="29">
        <v>1866.099976</v>
      </c>
      <c r="C820" s="29">
        <v>25.10700035</v>
      </c>
      <c r="D820" s="29">
        <v>80.879997250000002</v>
      </c>
      <c r="E820" s="29">
        <v>16189.12012</v>
      </c>
      <c r="F820" s="29">
        <v>4682.7998049999997</v>
      </c>
      <c r="G820" s="29">
        <v>36087.449220000002</v>
      </c>
      <c r="H820" s="29">
        <v>11.56927204</v>
      </c>
      <c r="I820" s="29">
        <v>9.4531898499999993</v>
      </c>
      <c r="J820" s="29">
        <v>12.39923477</v>
      </c>
      <c r="L820" s="30">
        <f t="shared" si="53"/>
        <v>-9.6367470253866383E-4</v>
      </c>
      <c r="M820" s="30">
        <f t="shared" si="53"/>
        <v>-9.3513064752676067E-3</v>
      </c>
      <c r="N820" s="30">
        <f t="shared" si="53"/>
        <v>1.1139538182345365E-3</v>
      </c>
      <c r="O820" s="30">
        <f t="shared" si="53"/>
        <v>-6.6479033084032579E-4</v>
      </c>
      <c r="P820" s="30">
        <f t="shared" si="53"/>
        <v>-1.0739827017269832E-5</v>
      </c>
      <c r="Q820" s="30">
        <f t="shared" si="53"/>
        <v>-3.5621219048420638E-4</v>
      </c>
      <c r="R820" s="30">
        <f t="shared" si="53"/>
        <v>-4.1632811754461763E-3</v>
      </c>
      <c r="S820" s="30">
        <f t="shared" si="53"/>
        <v>-4.0565624050302729E-3</v>
      </c>
      <c r="T820" s="30">
        <f t="shared" si="53"/>
        <v>-3.0936476039368221E-3</v>
      </c>
      <c r="U820" s="63">
        <f t="shared" si="52"/>
        <v>-2.4491964074904965E-3</v>
      </c>
    </row>
    <row r="821" spans="1:21">
      <c r="A821" s="28">
        <v>44516</v>
      </c>
      <c r="B821" s="29">
        <v>1853.599976</v>
      </c>
      <c r="C821" s="29">
        <v>24.944000240000001</v>
      </c>
      <c r="D821" s="29">
        <v>80.760002139999997</v>
      </c>
      <c r="E821" s="29">
        <v>16309.76953</v>
      </c>
      <c r="F821" s="29">
        <v>4700.8999020000001</v>
      </c>
      <c r="G821" s="29">
        <v>36142.21875</v>
      </c>
      <c r="H821" s="29">
        <v>11.55959797</v>
      </c>
      <c r="I821" s="29">
        <v>9.4531898499999993</v>
      </c>
      <c r="J821" s="29">
        <v>12.389615060000001</v>
      </c>
      <c r="L821" s="30">
        <f t="shared" si="53"/>
        <v>-6.6984621192663907E-3</v>
      </c>
      <c r="M821" s="30">
        <f t="shared" si="53"/>
        <v>-6.4922176177051316E-3</v>
      </c>
      <c r="N821" s="30">
        <f t="shared" si="53"/>
        <v>-1.4836191157264755E-3</v>
      </c>
      <c r="O821" s="30">
        <f t="shared" si="53"/>
        <v>7.4524995247240433E-3</v>
      </c>
      <c r="P821" s="30">
        <f t="shared" si="53"/>
        <v>3.8652297244641254E-3</v>
      </c>
      <c r="Q821" s="30">
        <f t="shared" si="53"/>
        <v>1.5176891463319908E-3</v>
      </c>
      <c r="R821" s="30">
        <f t="shared" si="53"/>
        <v>-8.3618657825246245E-4</v>
      </c>
      <c r="S821" s="30">
        <f t="shared" si="53"/>
        <v>0</v>
      </c>
      <c r="T821" s="30">
        <f t="shared" si="53"/>
        <v>-7.7583094267030805E-4</v>
      </c>
      <c r="U821" s="63">
        <f t="shared" si="52"/>
        <v>5.2919289634624533E-4</v>
      </c>
    </row>
    <row r="822" spans="1:21">
      <c r="A822" s="28">
        <v>44517</v>
      </c>
      <c r="B822" s="29">
        <v>1869.6999510000001</v>
      </c>
      <c r="C822" s="29">
        <v>25.166999820000001</v>
      </c>
      <c r="D822" s="29">
        <v>78.36000061</v>
      </c>
      <c r="E822" s="29">
        <v>16308.070309999999</v>
      </c>
      <c r="F822" s="29">
        <v>4688.669922</v>
      </c>
      <c r="G822" s="29">
        <v>35931.050779999998</v>
      </c>
      <c r="H822" s="29">
        <v>11.588619230000001</v>
      </c>
      <c r="I822" s="29">
        <v>9.4628162380000003</v>
      </c>
      <c r="J822" s="29">
        <v>12.41847038</v>
      </c>
      <c r="L822" s="30">
        <f t="shared" si="53"/>
        <v>8.6857872294232585E-3</v>
      </c>
      <c r="M822" s="30">
        <f t="shared" si="53"/>
        <v>8.9400087337394574E-3</v>
      </c>
      <c r="N822" s="30">
        <f t="shared" si="53"/>
        <v>-2.9717700178357065E-2</v>
      </c>
      <c r="O822" s="30">
        <f t="shared" si="53"/>
        <v>-1.0418418217839065E-4</v>
      </c>
      <c r="P822" s="30">
        <f t="shared" si="53"/>
        <v>-2.6016252749386792E-3</v>
      </c>
      <c r="Q822" s="30">
        <f t="shared" si="53"/>
        <v>-5.8426952551163813E-3</v>
      </c>
      <c r="R822" s="30">
        <f t="shared" si="53"/>
        <v>2.5105769314224258E-3</v>
      </c>
      <c r="S822" s="30">
        <f t="shared" si="53"/>
        <v>1.018321662079158E-3</v>
      </c>
      <c r="T822" s="30">
        <f t="shared" si="53"/>
        <v>2.3289924553959729E-3</v>
      </c>
      <c r="U822" s="63">
        <f t="shared" si="52"/>
        <v>-9.4346036957519783E-4</v>
      </c>
    </row>
    <row r="823" spans="1:21">
      <c r="A823" s="28">
        <v>44518</v>
      </c>
      <c r="B823" s="29">
        <v>1861</v>
      </c>
      <c r="C823" s="29">
        <v>24.900999070000001</v>
      </c>
      <c r="D823" s="29">
        <v>79.010002139999997</v>
      </c>
      <c r="E823" s="29">
        <v>16482.970700000002</v>
      </c>
      <c r="F823" s="29">
        <v>4704.5400390000004</v>
      </c>
      <c r="G823" s="29">
        <v>35870.949220000002</v>
      </c>
      <c r="H823" s="29">
        <v>11.598292349999999</v>
      </c>
      <c r="I823" s="29">
        <v>9.4724435810000003</v>
      </c>
      <c r="J823" s="29">
        <v>12.41847038</v>
      </c>
      <c r="L823" s="30">
        <f t="shared" si="53"/>
        <v>-4.6531268267654413E-3</v>
      </c>
      <c r="M823" s="30">
        <f t="shared" si="53"/>
        <v>-1.0569426308359997E-2</v>
      </c>
      <c r="N823" s="30">
        <f t="shared" si="53"/>
        <v>8.2950679548239314E-3</v>
      </c>
      <c r="O823" s="30">
        <f t="shared" si="53"/>
        <v>1.0724775321379054E-2</v>
      </c>
      <c r="P823" s="30">
        <f t="shared" si="53"/>
        <v>3.384780175191171E-3</v>
      </c>
      <c r="Q823" s="30">
        <f t="shared" si="53"/>
        <v>-1.6726914102230817E-3</v>
      </c>
      <c r="R823" s="30">
        <f t="shared" si="53"/>
        <v>8.3470858848810892E-4</v>
      </c>
      <c r="S823" s="30">
        <f t="shared" si="53"/>
        <v>1.0173866593055081E-3</v>
      </c>
      <c r="T823" s="30">
        <f t="shared" si="53"/>
        <v>0</v>
      </c>
      <c r="U823" s="63">
        <f t="shared" si="52"/>
        <v>1.1724590840712988E-3</v>
      </c>
    </row>
    <row r="824" spans="1:21">
      <c r="A824" s="28">
        <v>44519</v>
      </c>
      <c r="B824" s="29">
        <v>1851.1999510000001</v>
      </c>
      <c r="C824" s="29">
        <v>24.780000690000001</v>
      </c>
      <c r="D824" s="29">
        <v>76.099998470000003</v>
      </c>
      <c r="E824" s="29">
        <v>16573.339840000001</v>
      </c>
      <c r="F824" s="29">
        <v>4697.9599609999996</v>
      </c>
      <c r="G824" s="29">
        <v>35601.980470000002</v>
      </c>
      <c r="H824" s="29">
        <v>11.617639540000001</v>
      </c>
      <c r="I824" s="29">
        <v>9.491693497</v>
      </c>
      <c r="J824" s="29">
        <v>12.43771267</v>
      </c>
      <c r="L824" s="30">
        <f t="shared" si="53"/>
        <v>-5.2660123589467478E-3</v>
      </c>
      <c r="M824" s="30">
        <f t="shared" si="53"/>
        <v>-4.8591777245505785E-3</v>
      </c>
      <c r="N824" s="30">
        <f t="shared" si="53"/>
        <v>-3.683082636605528E-2</v>
      </c>
      <c r="O824" s="30">
        <f t="shared" si="53"/>
        <v>5.4825760261769663E-3</v>
      </c>
      <c r="P824" s="30">
        <f t="shared" si="53"/>
        <v>-1.3986655327519193E-3</v>
      </c>
      <c r="Q824" s="30">
        <f t="shared" si="53"/>
        <v>-7.4982334130716533E-3</v>
      </c>
      <c r="R824" s="30">
        <f t="shared" si="53"/>
        <v>1.6681067709076736E-3</v>
      </c>
      <c r="S824" s="30">
        <f t="shared" si="53"/>
        <v>2.0322017054408281E-3</v>
      </c>
      <c r="T824" s="30">
        <f t="shared" si="53"/>
        <v>1.549489543493987E-3</v>
      </c>
      <c r="U824" s="63">
        <f t="shared" si="52"/>
        <v>-3.3538400998488747E-3</v>
      </c>
    </row>
    <row r="825" spans="1:21">
      <c r="A825" s="28">
        <v>44522</v>
      </c>
      <c r="B825" s="29">
        <v>1806</v>
      </c>
      <c r="C825" s="29">
        <v>24.29700089</v>
      </c>
      <c r="D825" s="29">
        <v>76.75</v>
      </c>
      <c r="E825" s="29">
        <v>16380.98047</v>
      </c>
      <c r="F825" s="29">
        <v>4682.9399409999996</v>
      </c>
      <c r="G825" s="29">
        <v>35619.25</v>
      </c>
      <c r="H825" s="29">
        <v>11.55959797</v>
      </c>
      <c r="I825" s="29">
        <v>9.4531898499999993</v>
      </c>
      <c r="J825" s="29">
        <v>12.37999535</v>
      </c>
      <c r="L825" s="30">
        <f t="shared" si="53"/>
        <v>-2.4416568818286466E-2</v>
      </c>
      <c r="M825" s="30">
        <f t="shared" si="53"/>
        <v>-1.9491516809961862E-2</v>
      </c>
      <c r="N825" s="30">
        <f t="shared" si="53"/>
        <v>8.5414131809244953E-3</v>
      </c>
      <c r="O825" s="30">
        <f t="shared" si="53"/>
        <v>-1.1606554373291611E-2</v>
      </c>
      <c r="P825" s="30">
        <f t="shared" si="53"/>
        <v>-3.1971366560566983E-3</v>
      </c>
      <c r="Q825" s="30">
        <f t="shared" si="53"/>
        <v>4.8507217216609E-4</v>
      </c>
      <c r="R825" s="30">
        <f t="shared" si="53"/>
        <v>-4.9959864738582382E-3</v>
      </c>
      <c r="S825" s="30">
        <f t="shared" si="53"/>
        <v>-4.0565624050302729E-3</v>
      </c>
      <c r="T825" s="30">
        <f t="shared" si="53"/>
        <v>-4.6405091942037791E-3</v>
      </c>
      <c r="U825" s="63">
        <f t="shared" si="52"/>
        <v>-7.1378486181924734E-3</v>
      </c>
    </row>
    <row r="826" spans="1:21">
      <c r="A826" s="28">
        <v>44523</v>
      </c>
      <c r="B826" s="29">
        <v>1783.5</v>
      </c>
      <c r="C826" s="29">
        <v>23.434999470000001</v>
      </c>
      <c r="D826" s="29">
        <v>78.5</v>
      </c>
      <c r="E826" s="29">
        <v>16306.719730000001</v>
      </c>
      <c r="F826" s="29">
        <v>4690.7001950000003</v>
      </c>
      <c r="G826" s="29">
        <v>35813.800779999998</v>
      </c>
      <c r="H826" s="29">
        <v>11.52090645</v>
      </c>
      <c r="I826" s="29">
        <v>9.4146862030000005</v>
      </c>
      <c r="J826" s="29">
        <v>12.331898689999999</v>
      </c>
      <c r="L826" s="30">
        <f t="shared" si="53"/>
        <v>-1.2458471760797396E-2</v>
      </c>
      <c r="M826" s="30">
        <f t="shared" si="53"/>
        <v>-3.5477688127129148E-2</v>
      </c>
      <c r="N826" s="30">
        <f t="shared" si="53"/>
        <v>2.2801302931596101E-2</v>
      </c>
      <c r="O826" s="30">
        <f t="shared" si="53"/>
        <v>-4.5333513543954762E-3</v>
      </c>
      <c r="P826" s="30">
        <f t="shared" si="53"/>
        <v>1.6571329331085405E-3</v>
      </c>
      <c r="Q826" s="30">
        <f t="shared" si="53"/>
        <v>5.4619561051958421E-3</v>
      </c>
      <c r="R826" s="30">
        <f t="shared" ref="R826:T869" si="54">(H826/H825)-1</f>
        <v>-3.3471337065885676E-3</v>
      </c>
      <c r="S826" s="30">
        <f t="shared" si="54"/>
        <v>-4.0730851290370351E-3</v>
      </c>
      <c r="T826" s="30">
        <f t="shared" si="54"/>
        <v>-3.8850305384000583E-3</v>
      </c>
      <c r="U826" s="63">
        <f t="shared" si="52"/>
        <v>-5.2214928405996779E-3</v>
      </c>
    </row>
    <row r="827" spans="1:21">
      <c r="A827" s="28">
        <v>44524</v>
      </c>
      <c r="B827" s="29">
        <v>1784.099976</v>
      </c>
      <c r="C827" s="29">
        <v>23.496000290000001</v>
      </c>
      <c r="D827" s="29">
        <v>78.38999939</v>
      </c>
      <c r="E827" s="29">
        <v>16367.809569999999</v>
      </c>
      <c r="F827" s="29">
        <v>4701.4599609999996</v>
      </c>
      <c r="G827" s="29">
        <v>35804.378909999999</v>
      </c>
      <c r="H827" s="29">
        <v>11.540250779999999</v>
      </c>
      <c r="I827" s="29">
        <v>9.4339380259999999</v>
      </c>
      <c r="J827" s="29">
        <v>12.360757830000001</v>
      </c>
      <c r="L827" s="30">
        <f t="shared" ref="L827:Q869" si="55">(B827/B826)-1</f>
        <v>3.3640370058862779E-4</v>
      </c>
      <c r="M827" s="30">
        <f t="shared" si="55"/>
        <v>2.60297936332754E-3</v>
      </c>
      <c r="N827" s="30">
        <f t="shared" si="55"/>
        <v>-1.4012816560509123E-3</v>
      </c>
      <c r="O827" s="30">
        <f t="shared" si="55"/>
        <v>3.7462985205791721E-3</v>
      </c>
      <c r="P827" s="30">
        <f t="shared" si="55"/>
        <v>2.2938507158203336E-3</v>
      </c>
      <c r="Q827" s="30">
        <f t="shared" si="55"/>
        <v>-2.6307931006475105E-4</v>
      </c>
      <c r="R827" s="30">
        <f t="shared" si="54"/>
        <v>1.6790631955871937E-3</v>
      </c>
      <c r="S827" s="30">
        <f t="shared" si="54"/>
        <v>2.0448714471084095E-3</v>
      </c>
      <c r="T827" s="30">
        <f t="shared" si="54"/>
        <v>2.3402024883161232E-3</v>
      </c>
      <c r="U827" s="63">
        <f t="shared" si="52"/>
        <v>2.0020312962509817E-3</v>
      </c>
    </row>
    <row r="828" spans="1:21">
      <c r="A828" s="28">
        <v>44526</v>
      </c>
      <c r="B828" s="29">
        <v>1785.3000489999999</v>
      </c>
      <c r="C828" s="29">
        <v>23.10700035</v>
      </c>
      <c r="D828" s="29">
        <v>68.150001529999997</v>
      </c>
      <c r="E828" s="29">
        <v>16025.58008</v>
      </c>
      <c r="F828" s="29">
        <v>4594.6201170000004</v>
      </c>
      <c r="G828" s="29">
        <v>34899.339840000001</v>
      </c>
      <c r="H828" s="29">
        <v>11.627312659999999</v>
      </c>
      <c r="I828" s="29">
        <v>9.491693497</v>
      </c>
      <c r="J828" s="29">
        <v>12.43771267</v>
      </c>
      <c r="L828" s="30">
        <f t="shared" si="55"/>
        <v>6.7264896370367033E-4</v>
      </c>
      <c r="M828" s="30">
        <f t="shared" si="55"/>
        <v>-1.6556006775568566E-2</v>
      </c>
      <c r="N828" s="30">
        <f t="shared" si="55"/>
        <v>-0.13062888046541166</v>
      </c>
      <c r="O828" s="30">
        <f t="shared" si="55"/>
        <v>-2.0908692060253475E-2</v>
      </c>
      <c r="P828" s="30">
        <f t="shared" si="55"/>
        <v>-2.2724822690455171E-2</v>
      </c>
      <c r="Q828" s="30">
        <f t="shared" si="55"/>
        <v>-2.5277329129907766E-2</v>
      </c>
      <c r="R828" s="30">
        <f t="shared" si="54"/>
        <v>7.5441930734194695E-3</v>
      </c>
      <c r="S828" s="30">
        <f t="shared" si="54"/>
        <v>6.1220956551575334E-3</v>
      </c>
      <c r="T828" s="30">
        <f t="shared" si="54"/>
        <v>6.2257380217600744E-3</v>
      </c>
      <c r="U828" s="63">
        <f t="shared" si="52"/>
        <v>-2.0878109123356609E-2</v>
      </c>
    </row>
    <row r="829" spans="1:21">
      <c r="A829" s="28">
        <v>44529</v>
      </c>
      <c r="B829" s="29">
        <v>1782.3000489999999</v>
      </c>
      <c r="C829" s="29">
        <v>22.79899979</v>
      </c>
      <c r="D829" s="29">
        <v>69.949996949999999</v>
      </c>
      <c r="E829" s="29">
        <v>16399.240229999999</v>
      </c>
      <c r="F829" s="29">
        <v>4655.2700199999999</v>
      </c>
      <c r="G829" s="29">
        <v>35135.941409999999</v>
      </c>
      <c r="H829" s="29">
        <v>11.60796642</v>
      </c>
      <c r="I829" s="29">
        <v>9.4820690160000005</v>
      </c>
      <c r="J829" s="29">
        <v>12.428091050000001</v>
      </c>
      <c r="L829" s="30">
        <f t="shared" si="55"/>
        <v>-1.6803898043247223E-3</v>
      </c>
      <c r="M829" s="30">
        <f t="shared" si="55"/>
        <v>-1.3329318186468986E-2</v>
      </c>
      <c r="N829" s="30">
        <f t="shared" si="55"/>
        <v>2.6412257954354423E-2</v>
      </c>
      <c r="O829" s="30">
        <f t="shared" si="55"/>
        <v>2.3316482032767594E-2</v>
      </c>
      <c r="P829" s="30">
        <f t="shared" si="55"/>
        <v>1.3200199680403646E-2</v>
      </c>
      <c r="Q829" s="30">
        <f t="shared" si="55"/>
        <v>6.7795428533814484E-3</v>
      </c>
      <c r="R829" s="30">
        <f t="shared" si="54"/>
        <v>-1.663861682033696E-3</v>
      </c>
      <c r="S829" s="30">
        <f t="shared" si="54"/>
        <v>-1.0139898641945422E-3</v>
      </c>
      <c r="T829" s="30">
        <f t="shared" si="54"/>
        <v>-7.7358436034680178E-4</v>
      </c>
      <c r="U829" s="63">
        <f t="shared" si="52"/>
        <v>6.6070853956136993E-3</v>
      </c>
    </row>
    <row r="830" spans="1:21">
      <c r="A830" s="28">
        <v>44530</v>
      </c>
      <c r="B830" s="29">
        <v>1773.599976</v>
      </c>
      <c r="C830" s="29">
        <v>22.76499939</v>
      </c>
      <c r="D830" s="29">
        <v>66.180000309999997</v>
      </c>
      <c r="E830" s="29">
        <v>16135.91992</v>
      </c>
      <c r="F830" s="29">
        <v>4567</v>
      </c>
      <c r="G830" s="29">
        <v>34483.71875</v>
      </c>
      <c r="H830" s="29">
        <v>11.66415501</v>
      </c>
      <c r="I830" s="29">
        <v>9.5206146240000002</v>
      </c>
      <c r="J830" s="29">
        <v>12.46086025</v>
      </c>
      <c r="L830" s="30">
        <f t="shared" si="55"/>
        <v>-4.8813739330150208E-3</v>
      </c>
      <c r="M830" s="30">
        <f t="shared" si="55"/>
        <v>-1.491311036149634E-3</v>
      </c>
      <c r="N830" s="30">
        <f t="shared" si="55"/>
        <v>-5.3895594058349761E-2</v>
      </c>
      <c r="O830" s="30">
        <f t="shared" si="55"/>
        <v>-1.6056860336632783E-2</v>
      </c>
      <c r="P830" s="30">
        <f t="shared" si="55"/>
        <v>-1.8961310433288192E-2</v>
      </c>
      <c r="Q830" s="30">
        <f t="shared" si="55"/>
        <v>-1.8562834346438573E-2</v>
      </c>
      <c r="R830" s="30">
        <f t="shared" si="54"/>
        <v>4.8405196885468182E-3</v>
      </c>
      <c r="S830" s="30">
        <f t="shared" si="54"/>
        <v>4.0651051932820703E-3</v>
      </c>
      <c r="T830" s="30">
        <f t="shared" si="54"/>
        <v>2.6367042104988858E-3</v>
      </c>
      <c r="U830" s="63">
        <f t="shared" si="52"/>
        <v>-1.1896177997307383E-2</v>
      </c>
    </row>
    <row r="831" spans="1:21">
      <c r="A831" s="28">
        <v>44531</v>
      </c>
      <c r="B831" s="29">
        <v>1781.599976</v>
      </c>
      <c r="C831" s="29">
        <v>22.29899979</v>
      </c>
      <c r="D831" s="29">
        <v>65.569999690000003</v>
      </c>
      <c r="E831" s="29">
        <v>15877.719730000001</v>
      </c>
      <c r="F831" s="29">
        <v>4513.0400390000004</v>
      </c>
      <c r="G831" s="29">
        <v>34022.039060000003</v>
      </c>
      <c r="H831" s="29">
        <v>11.673843379999999</v>
      </c>
      <c r="I831" s="29">
        <v>9.5302505489999998</v>
      </c>
      <c r="J831" s="29">
        <v>12.47049427</v>
      </c>
      <c r="L831" s="30">
        <f t="shared" si="55"/>
        <v>4.5105999708245914E-3</v>
      </c>
      <c r="M831" s="30">
        <f t="shared" si="55"/>
        <v>-2.047000274485844E-2</v>
      </c>
      <c r="N831" s="30">
        <f t="shared" si="55"/>
        <v>-9.2172955143945412E-3</v>
      </c>
      <c r="O831" s="30">
        <f t="shared" si="55"/>
        <v>-1.6001578545265849E-2</v>
      </c>
      <c r="P831" s="30">
        <f t="shared" si="55"/>
        <v>-1.1815187431574281E-2</v>
      </c>
      <c r="Q831" s="30">
        <f t="shared" si="55"/>
        <v>-1.3388338228457419E-2</v>
      </c>
      <c r="R831" s="30">
        <f t="shared" si="54"/>
        <v>8.3061053215538472E-4</v>
      </c>
      <c r="S831" s="30">
        <f t="shared" si="54"/>
        <v>1.0121116525092511E-3</v>
      </c>
      <c r="T831" s="30">
        <f t="shared" si="54"/>
        <v>7.7314244817094924E-4</v>
      </c>
      <c r="U831" s="63">
        <f t="shared" si="52"/>
        <v>-9.2017951885491837E-3</v>
      </c>
    </row>
    <row r="832" spans="1:21">
      <c r="A832" s="28">
        <v>44532</v>
      </c>
      <c r="B832" s="29">
        <v>1760.6999510000001</v>
      </c>
      <c r="C832" s="29">
        <v>22.280000690000001</v>
      </c>
      <c r="D832" s="29">
        <v>66.5</v>
      </c>
      <c r="E832" s="29">
        <v>15990.759770000001</v>
      </c>
      <c r="F832" s="29">
        <v>4577.1000979999999</v>
      </c>
      <c r="G832" s="29">
        <v>34639.789060000003</v>
      </c>
      <c r="H832" s="29">
        <v>11.65446758</v>
      </c>
      <c r="I832" s="29">
        <v>9.5206146240000002</v>
      </c>
      <c r="J832" s="29">
        <v>12.45121956</v>
      </c>
      <c r="L832" s="30">
        <f t="shared" si="55"/>
        <v>-1.1731042479538045E-2</v>
      </c>
      <c r="M832" s="30">
        <f t="shared" si="55"/>
        <v>-8.520157934850392E-4</v>
      </c>
      <c r="N832" s="30">
        <f t="shared" si="55"/>
        <v>1.4183320335470873E-2</v>
      </c>
      <c r="O832" s="30">
        <f t="shared" si="55"/>
        <v>7.1194127319440526E-3</v>
      </c>
      <c r="P832" s="30">
        <f t="shared" si="55"/>
        <v>1.4194436221796503E-2</v>
      </c>
      <c r="Q832" s="30">
        <f t="shared" si="55"/>
        <v>1.815734791528989E-2</v>
      </c>
      <c r="R832" s="30">
        <f t="shared" si="54"/>
        <v>-1.6597618598510611E-3</v>
      </c>
      <c r="S832" s="30">
        <f t="shared" si="54"/>
        <v>-1.0110883182405939E-3</v>
      </c>
      <c r="T832" s="30">
        <f t="shared" si="54"/>
        <v>-1.545625183948629E-3</v>
      </c>
      <c r="U832" s="63">
        <f t="shared" si="52"/>
        <v>5.6945036380500226E-3</v>
      </c>
    </row>
    <row r="833" spans="1:21">
      <c r="A833" s="28">
        <v>44533</v>
      </c>
      <c r="B833" s="29">
        <v>1782</v>
      </c>
      <c r="C833" s="29">
        <v>22.44499969</v>
      </c>
      <c r="D833" s="29">
        <v>66.260002139999997</v>
      </c>
      <c r="E833" s="29">
        <v>15712.04004</v>
      </c>
      <c r="F833" s="29">
        <v>4538.4301759999998</v>
      </c>
      <c r="G833" s="29">
        <v>34580.078130000002</v>
      </c>
      <c r="H833" s="29">
        <v>11.702906609999999</v>
      </c>
      <c r="I833" s="29">
        <v>9.5495224000000007</v>
      </c>
      <c r="J833" s="29">
        <v>12.49940586</v>
      </c>
      <c r="L833" s="30">
        <f t="shared" si="55"/>
        <v>1.2097489403519512E-2</v>
      </c>
      <c r="M833" s="30">
        <f t="shared" si="55"/>
        <v>7.405699950182365E-3</v>
      </c>
      <c r="N833" s="30">
        <f t="shared" si="55"/>
        <v>-3.6089903759398689E-3</v>
      </c>
      <c r="O833" s="30">
        <f t="shared" si="55"/>
        <v>-1.7430049228986721E-2</v>
      </c>
      <c r="P833" s="30">
        <f t="shared" si="55"/>
        <v>-8.4485637569728933E-3</v>
      </c>
      <c r="Q833" s="30">
        <f t="shared" si="55"/>
        <v>-1.7237671365889495E-3</v>
      </c>
      <c r="R833" s="30">
        <f t="shared" si="54"/>
        <v>4.1562627951468034E-3</v>
      </c>
      <c r="S833" s="30">
        <f t="shared" si="54"/>
        <v>3.0363350625628449E-3</v>
      </c>
      <c r="T833" s="30">
        <f t="shared" si="54"/>
        <v>3.8700064493923936E-3</v>
      </c>
      <c r="U833" s="63">
        <f t="shared" si="52"/>
        <v>-2.2468013877102139E-3</v>
      </c>
    </row>
    <row r="834" spans="1:21">
      <c r="A834" s="28">
        <v>44536</v>
      </c>
      <c r="B834" s="29">
        <v>1777.5</v>
      </c>
      <c r="C834" s="29">
        <v>22.228000640000001</v>
      </c>
      <c r="D834" s="29">
        <v>69.489997860000003</v>
      </c>
      <c r="E834" s="29">
        <v>15846.160159999999</v>
      </c>
      <c r="F834" s="29">
        <v>4591.669922</v>
      </c>
      <c r="G834" s="29">
        <v>35227.03125</v>
      </c>
      <c r="H834" s="29">
        <v>11.66415501</v>
      </c>
      <c r="I834" s="29">
        <v>9.5302505489999998</v>
      </c>
      <c r="J834" s="29">
        <v>12.46086025</v>
      </c>
      <c r="L834" s="30">
        <f t="shared" si="55"/>
        <v>-2.525252525252486E-3</v>
      </c>
      <c r="M834" s="30">
        <f t="shared" si="55"/>
        <v>-9.6680353306789479E-3</v>
      </c>
      <c r="N834" s="30">
        <f t="shared" si="55"/>
        <v>4.8747292720809021E-2</v>
      </c>
      <c r="O834" s="30">
        <f t="shared" si="55"/>
        <v>8.5361365970653136E-3</v>
      </c>
      <c r="P834" s="30">
        <f t="shared" si="55"/>
        <v>1.1730872556229066E-2</v>
      </c>
      <c r="Q834" s="30">
        <f t="shared" si="55"/>
        <v>1.8708839163632085E-2</v>
      </c>
      <c r="R834" s="30">
        <f t="shared" si="54"/>
        <v>-3.3112799487681199E-3</v>
      </c>
      <c r="S834" s="30">
        <f t="shared" si="54"/>
        <v>-2.0180957950316492E-3</v>
      </c>
      <c r="T834" s="30">
        <f t="shared" si="54"/>
        <v>-3.0837953764948356E-3</v>
      </c>
      <c r="U834" s="63">
        <f t="shared" si="52"/>
        <v>6.5508480197109028E-3</v>
      </c>
    </row>
    <row r="835" spans="1:21">
      <c r="A835" s="28">
        <v>44537</v>
      </c>
      <c r="B835" s="29">
        <v>1782.599976</v>
      </c>
      <c r="C835" s="29">
        <v>22.48699951</v>
      </c>
      <c r="D835" s="29">
        <v>72.050003050000001</v>
      </c>
      <c r="E835" s="29">
        <v>16325.660159999999</v>
      </c>
      <c r="F835" s="29">
        <v>4686.75</v>
      </c>
      <c r="G835" s="29">
        <v>35719.429689999997</v>
      </c>
      <c r="H835" s="29">
        <v>11.64478111</v>
      </c>
      <c r="I835" s="29">
        <v>9.5109786990000007</v>
      </c>
      <c r="J835" s="29">
        <v>12.44443321</v>
      </c>
      <c r="L835" s="30">
        <f t="shared" si="55"/>
        <v>2.869184810126546E-3</v>
      </c>
      <c r="M835" s="30">
        <f t="shared" si="55"/>
        <v>1.165191931540277E-2</v>
      </c>
      <c r="N835" s="30">
        <f t="shared" si="55"/>
        <v>3.6839908891026063E-2</v>
      </c>
      <c r="O835" s="30">
        <f t="shared" si="55"/>
        <v>3.0259696680990711E-2</v>
      </c>
      <c r="P835" s="30">
        <f t="shared" si="55"/>
        <v>2.070708034661739E-2</v>
      </c>
      <c r="Q835" s="30">
        <f t="shared" si="55"/>
        <v>1.3977857983703768E-2</v>
      </c>
      <c r="R835" s="30">
        <f t="shared" si="54"/>
        <v>-1.6609775833217322E-3</v>
      </c>
      <c r="S835" s="30">
        <f t="shared" si="54"/>
        <v>-2.0221766364810767E-3</v>
      </c>
      <c r="T835" s="30">
        <f t="shared" si="54"/>
        <v>-1.3182910064335474E-3</v>
      </c>
      <c r="U835" s="63">
        <f t="shared" si="52"/>
        <v>1.458990197707965E-2</v>
      </c>
    </row>
    <row r="836" spans="1:21">
      <c r="A836" s="28">
        <v>44538</v>
      </c>
      <c r="B836" s="29">
        <v>1783.400024</v>
      </c>
      <c r="C836" s="29">
        <v>22.38999939</v>
      </c>
      <c r="D836" s="29">
        <v>72.36000061</v>
      </c>
      <c r="E836" s="29">
        <v>16394.339840000001</v>
      </c>
      <c r="F836" s="29">
        <v>4701.2099609999996</v>
      </c>
      <c r="G836" s="29">
        <v>35754.75</v>
      </c>
      <c r="H836" s="29">
        <v>11.606029510000001</v>
      </c>
      <c r="I836" s="29">
        <v>9.4820690160000005</v>
      </c>
      <c r="J836" s="29">
        <v>12.40578461</v>
      </c>
      <c r="L836" s="30">
        <f t="shared" si="55"/>
        <v>4.4880960999194031E-4</v>
      </c>
      <c r="M836" s="30">
        <f t="shared" si="55"/>
        <v>-4.3136088457184085E-3</v>
      </c>
      <c r="N836" s="30">
        <f t="shared" si="55"/>
        <v>4.3025336138413639E-3</v>
      </c>
      <c r="O836" s="30">
        <f t="shared" si="55"/>
        <v>4.2068546892992664E-3</v>
      </c>
      <c r="P836" s="30">
        <f t="shared" si="55"/>
        <v>3.0852853256519985E-3</v>
      </c>
      <c r="Q836" s="30">
        <f t="shared" si="55"/>
        <v>9.8882625804885826E-4</v>
      </c>
      <c r="R836" s="30">
        <f t="shared" si="54"/>
        <v>-3.3278083661634206E-3</v>
      </c>
      <c r="S836" s="30">
        <f t="shared" si="54"/>
        <v>-3.0396117912702136E-3</v>
      </c>
      <c r="T836" s="30">
        <f t="shared" si="54"/>
        <v>-3.1056938751491403E-3</v>
      </c>
      <c r="U836" s="63">
        <f t="shared" ref="U836:U899" si="56">SUMPRODUCT($L$2:$T$2,L836:T836)</f>
        <v>3.5563409180756282E-4</v>
      </c>
    </row>
    <row r="837" spans="1:21">
      <c r="A837" s="28">
        <v>44539</v>
      </c>
      <c r="B837" s="29">
        <v>1774.599976</v>
      </c>
      <c r="C837" s="29">
        <v>21.974000929999999</v>
      </c>
      <c r="D837" s="29">
        <v>70.940002440000001</v>
      </c>
      <c r="E837" s="29">
        <v>16149.570309999999</v>
      </c>
      <c r="F837" s="29">
        <v>4667.4501950000003</v>
      </c>
      <c r="G837" s="29">
        <v>35754.691409999999</v>
      </c>
      <c r="H837" s="29">
        <v>11.615715979999999</v>
      </c>
      <c r="I837" s="29">
        <v>9.4917039869999993</v>
      </c>
      <c r="J837" s="29">
        <v>12.425111770000001</v>
      </c>
      <c r="L837" s="30">
        <f t="shared" si="55"/>
        <v>-4.9344218243657645E-3</v>
      </c>
      <c r="M837" s="30">
        <f t="shared" si="55"/>
        <v>-1.8579654816149649E-2</v>
      </c>
      <c r="N837" s="30">
        <f t="shared" si="55"/>
        <v>-1.9624076258005996E-2</v>
      </c>
      <c r="O837" s="30">
        <f t="shared" si="55"/>
        <v>-1.4930124200719375E-2</v>
      </c>
      <c r="P837" s="30">
        <f t="shared" si="55"/>
        <v>-7.1810802495658743E-3</v>
      </c>
      <c r="Q837" s="30">
        <f t="shared" si="55"/>
        <v>-1.6386633944209805E-6</v>
      </c>
      <c r="R837" s="30">
        <f t="shared" si="54"/>
        <v>8.3460670090951261E-4</v>
      </c>
      <c r="S837" s="30">
        <f t="shared" si="54"/>
        <v>1.0161253818909977E-3</v>
      </c>
      <c r="T837" s="30">
        <f t="shared" si="54"/>
        <v>1.5579151668023705E-3</v>
      </c>
      <c r="U837" s="63">
        <f t="shared" si="56"/>
        <v>-8.2209234823921954E-3</v>
      </c>
    </row>
    <row r="838" spans="1:21">
      <c r="A838" s="28">
        <v>44540</v>
      </c>
      <c r="B838" s="29">
        <v>1782.900024</v>
      </c>
      <c r="C838" s="29">
        <v>22.159999849999998</v>
      </c>
      <c r="D838" s="29">
        <v>71.66999817</v>
      </c>
      <c r="E838" s="29">
        <v>16331.98047</v>
      </c>
      <c r="F838" s="29">
        <v>4712.0200199999999</v>
      </c>
      <c r="G838" s="29">
        <v>35970.988279999998</v>
      </c>
      <c r="H838" s="29">
        <v>11.615715979999999</v>
      </c>
      <c r="I838" s="29">
        <v>9.4917039869999993</v>
      </c>
      <c r="J838" s="29">
        <v>12.425111770000001</v>
      </c>
      <c r="L838" s="30">
        <f t="shared" si="55"/>
        <v>4.6771374463268067E-3</v>
      </c>
      <c r="M838" s="30">
        <f t="shared" si="55"/>
        <v>8.464499505234091E-3</v>
      </c>
      <c r="N838" s="30">
        <f t="shared" si="55"/>
        <v>1.0290325696244773E-2</v>
      </c>
      <c r="O838" s="30">
        <f t="shared" si="55"/>
        <v>1.1295047267421809E-2</v>
      </c>
      <c r="P838" s="30">
        <f t="shared" si="55"/>
        <v>9.5490735065035803E-3</v>
      </c>
      <c r="Q838" s="30">
        <f t="shared" si="55"/>
        <v>6.049468236761335E-3</v>
      </c>
      <c r="R838" s="30">
        <f t="shared" si="54"/>
        <v>0</v>
      </c>
      <c r="S838" s="30">
        <f t="shared" si="54"/>
        <v>0</v>
      </c>
      <c r="T838" s="30">
        <f t="shared" si="54"/>
        <v>0</v>
      </c>
      <c r="U838" s="63">
        <f t="shared" si="56"/>
        <v>6.7672063268383207E-3</v>
      </c>
    </row>
    <row r="839" spans="1:21">
      <c r="A839" s="28">
        <v>44543</v>
      </c>
      <c r="B839" s="29">
        <v>1786.3000489999999</v>
      </c>
      <c r="C839" s="29">
        <v>22.290000920000001</v>
      </c>
      <c r="D839" s="29">
        <v>71.290000919999997</v>
      </c>
      <c r="E839" s="29">
        <v>16082.549800000001</v>
      </c>
      <c r="F839" s="29">
        <v>4668.9702150000003</v>
      </c>
      <c r="G839" s="29">
        <v>35650.949220000002</v>
      </c>
      <c r="H839" s="29">
        <v>11.65446758</v>
      </c>
      <c r="I839" s="29">
        <v>9.5206146240000002</v>
      </c>
      <c r="J839" s="29">
        <v>12.463757510000001</v>
      </c>
      <c r="L839" s="30">
        <f t="shared" si="55"/>
        <v>1.907019437002333E-3</v>
      </c>
      <c r="M839" s="30">
        <f t="shared" si="55"/>
        <v>5.866474317688386E-3</v>
      </c>
      <c r="N839" s="30">
        <f t="shared" si="55"/>
        <v>-5.3020407381434431E-3</v>
      </c>
      <c r="O839" s="30">
        <f t="shared" si="55"/>
        <v>-1.5272530508971371E-2</v>
      </c>
      <c r="P839" s="30">
        <f t="shared" si="55"/>
        <v>-9.1361676769785571E-3</v>
      </c>
      <c r="Q839" s="30">
        <f t="shared" si="55"/>
        <v>-8.8971439291241072E-3</v>
      </c>
      <c r="R839" s="30">
        <f t="shared" si="54"/>
        <v>3.3361352900436181E-3</v>
      </c>
      <c r="S839" s="30">
        <f t="shared" si="54"/>
        <v>3.0458848105248126E-3</v>
      </c>
      <c r="T839" s="30">
        <f t="shared" si="54"/>
        <v>3.1102931478901308E-3</v>
      </c>
      <c r="U839" s="63">
        <f t="shared" si="56"/>
        <v>-3.4352601387416517E-3</v>
      </c>
    </row>
    <row r="840" spans="1:21">
      <c r="A840" s="28">
        <v>44544</v>
      </c>
      <c r="B840" s="29">
        <v>1770.400024</v>
      </c>
      <c r="C840" s="29">
        <v>21.88699913</v>
      </c>
      <c r="D840" s="29">
        <v>70.730003359999998</v>
      </c>
      <c r="E840" s="29">
        <v>15914.900390000001</v>
      </c>
      <c r="F840" s="29">
        <v>4634.0898440000001</v>
      </c>
      <c r="G840" s="29">
        <v>35544.179689999997</v>
      </c>
      <c r="H840" s="29">
        <v>11.635092739999999</v>
      </c>
      <c r="I840" s="29">
        <v>9.5109786990000007</v>
      </c>
      <c r="J840" s="29">
        <v>12.44443321</v>
      </c>
      <c r="L840" s="30">
        <f t="shared" si="55"/>
        <v>-8.901094196857362E-3</v>
      </c>
      <c r="M840" s="30">
        <f t="shared" si="55"/>
        <v>-1.8079935996700769E-2</v>
      </c>
      <c r="N840" s="30">
        <f t="shared" si="55"/>
        <v>-7.8552048362071636E-3</v>
      </c>
      <c r="O840" s="30">
        <f t="shared" si="55"/>
        <v>-1.0424305354863606E-2</v>
      </c>
      <c r="P840" s="30">
        <f t="shared" si="55"/>
        <v>-7.4706775571067308E-3</v>
      </c>
      <c r="Q840" s="30">
        <f t="shared" si="55"/>
        <v>-2.9948579865611835E-3</v>
      </c>
      <c r="R840" s="30">
        <f t="shared" si="54"/>
        <v>-1.6624388773666121E-3</v>
      </c>
      <c r="S840" s="30">
        <f t="shared" si="54"/>
        <v>-1.01211165250914E-3</v>
      </c>
      <c r="T840" s="30">
        <f t="shared" si="54"/>
        <v>-1.5504393425895824E-3</v>
      </c>
      <c r="U840" s="63">
        <f t="shared" si="56"/>
        <v>-7.7858491285016885E-3</v>
      </c>
    </row>
    <row r="841" spans="1:21">
      <c r="A841" s="28">
        <v>44545</v>
      </c>
      <c r="B841" s="29">
        <v>1762.599976</v>
      </c>
      <c r="C841" s="29">
        <v>21.507999420000001</v>
      </c>
      <c r="D841" s="29">
        <v>70.870002749999998</v>
      </c>
      <c r="E841" s="29">
        <v>16289.589840000001</v>
      </c>
      <c r="F841" s="29">
        <v>4709.8500979999999</v>
      </c>
      <c r="G841" s="29">
        <v>35927.429689999997</v>
      </c>
      <c r="H841" s="29">
        <v>11.615715979999999</v>
      </c>
      <c r="I841" s="29">
        <v>9.4917039869999993</v>
      </c>
      <c r="J841" s="29">
        <v>12.41544914</v>
      </c>
      <c r="L841" s="30">
        <f t="shared" si="55"/>
        <v>-4.4058110564056951E-3</v>
      </c>
      <c r="M841" s="30">
        <f t="shared" si="55"/>
        <v>-1.7316202543294912E-2</v>
      </c>
      <c r="N841" s="30">
        <f t="shared" si="55"/>
        <v>1.9793494040631909E-3</v>
      </c>
      <c r="O841" s="30">
        <f t="shared" si="55"/>
        <v>2.3543311036708259E-2</v>
      </c>
      <c r="P841" s="30">
        <f t="shared" si="55"/>
        <v>1.6348464650095318E-2</v>
      </c>
      <c r="Q841" s="30">
        <f t="shared" si="55"/>
        <v>1.0782356024039208E-2</v>
      </c>
      <c r="R841" s="30">
        <f t="shared" si="54"/>
        <v>-1.6653722005485205E-3</v>
      </c>
      <c r="S841" s="30">
        <f t="shared" si="54"/>
        <v>-2.0265750360715096E-3</v>
      </c>
      <c r="T841" s="30">
        <f t="shared" si="54"/>
        <v>-2.3290791561891844E-3</v>
      </c>
      <c r="U841" s="63">
        <f t="shared" si="56"/>
        <v>4.8349577856862114E-3</v>
      </c>
    </row>
    <row r="842" spans="1:21">
      <c r="A842" s="28">
        <v>44546</v>
      </c>
      <c r="B842" s="29">
        <v>1796.599976</v>
      </c>
      <c r="C842" s="29">
        <v>22.454999919999999</v>
      </c>
      <c r="D842" s="29">
        <v>72.379997250000002</v>
      </c>
      <c r="E842" s="29">
        <v>15863.940430000001</v>
      </c>
      <c r="F842" s="29">
        <v>4668.669922</v>
      </c>
      <c r="G842" s="29">
        <v>35897.640630000002</v>
      </c>
      <c r="H842" s="29">
        <v>11.635092739999999</v>
      </c>
      <c r="I842" s="29">
        <v>9.5109786990000007</v>
      </c>
      <c r="J842" s="29">
        <v>12.44443321</v>
      </c>
      <c r="L842" s="30">
        <f t="shared" si="55"/>
        <v>1.9289685954245073E-2</v>
      </c>
      <c r="M842" s="30">
        <f t="shared" si="55"/>
        <v>4.4030152758856467E-2</v>
      </c>
      <c r="N842" s="30">
        <f t="shared" si="55"/>
        <v>2.1306539317158535E-2</v>
      </c>
      <c r="O842" s="30">
        <f t="shared" si="55"/>
        <v>-2.6130149020375804E-2</v>
      </c>
      <c r="P842" s="30">
        <f t="shared" si="55"/>
        <v>-8.743415425787493E-3</v>
      </c>
      <c r="Q842" s="30">
        <f t="shared" si="55"/>
        <v>-8.2914531479238995E-4</v>
      </c>
      <c r="R842" s="30">
        <f t="shared" si="54"/>
        <v>1.668150291670667E-3</v>
      </c>
      <c r="S842" s="30">
        <f t="shared" si="54"/>
        <v>2.0306903825066946E-3</v>
      </c>
      <c r="T842" s="30">
        <f t="shared" si="54"/>
        <v>2.3345164297454701E-3</v>
      </c>
      <c r="U842" s="63">
        <f t="shared" si="56"/>
        <v>4.1539949853976977E-3</v>
      </c>
    </row>
    <row r="843" spans="1:21">
      <c r="A843" s="28">
        <v>44547</v>
      </c>
      <c r="B843" s="29">
        <v>1803.8000489999999</v>
      </c>
      <c r="C843" s="29">
        <v>22.506999969999999</v>
      </c>
      <c r="D843" s="29">
        <v>70.86000061</v>
      </c>
      <c r="E843" s="29">
        <v>15801.45996</v>
      </c>
      <c r="F843" s="29">
        <v>4620.6401370000003</v>
      </c>
      <c r="G843" s="29">
        <v>35365.441409999999</v>
      </c>
      <c r="H843" s="29">
        <v>11.65446758</v>
      </c>
      <c r="I843" s="29">
        <v>9.5206146240000002</v>
      </c>
      <c r="J843" s="29">
        <v>12.463757510000001</v>
      </c>
      <c r="L843" s="30">
        <f t="shared" si="55"/>
        <v>4.0076105400104201E-3</v>
      </c>
      <c r="M843" s="30">
        <f t="shared" si="55"/>
        <v>2.3157448312296491E-3</v>
      </c>
      <c r="N843" s="30">
        <f t="shared" si="55"/>
        <v>-2.1000230695642941E-2</v>
      </c>
      <c r="O843" s="30">
        <f t="shared" si="55"/>
        <v>-3.9385214711121774E-3</v>
      </c>
      <c r="P843" s="30">
        <f t="shared" si="55"/>
        <v>-1.0287680603349281E-2</v>
      </c>
      <c r="Q843" s="30">
        <f t="shared" si="55"/>
        <v>-1.482546514645422E-2</v>
      </c>
      <c r="R843" s="30">
        <f t="shared" si="54"/>
        <v>1.6652071825258297E-3</v>
      </c>
      <c r="S843" s="30">
        <f t="shared" si="54"/>
        <v>1.0131370603334577E-3</v>
      </c>
      <c r="T843" s="30">
        <f t="shared" si="54"/>
        <v>1.5528469375747367E-3</v>
      </c>
      <c r="U843" s="63">
        <f t="shared" si="56"/>
        <v>-4.7398936650008697E-3</v>
      </c>
    </row>
    <row r="844" spans="1:21">
      <c r="A844" s="28">
        <v>44550</v>
      </c>
      <c r="B844" s="29">
        <v>1793.6999510000001</v>
      </c>
      <c r="C844" s="29">
        <v>22.274999619999999</v>
      </c>
      <c r="D844" s="29">
        <v>68.230003359999998</v>
      </c>
      <c r="E844" s="29">
        <v>15627.639649999999</v>
      </c>
      <c r="F844" s="29">
        <v>4568.0200199999999</v>
      </c>
      <c r="G844" s="29">
        <v>34932.160159999999</v>
      </c>
      <c r="H844" s="29">
        <v>11.635092739999999</v>
      </c>
      <c r="I844" s="29">
        <v>9.5109786990000007</v>
      </c>
      <c r="J844" s="29">
        <v>12.44443321</v>
      </c>
      <c r="L844" s="30">
        <f t="shared" si="55"/>
        <v>-5.5993445646036477E-3</v>
      </c>
      <c r="M844" s="30">
        <f t="shared" si="55"/>
        <v>-1.0307919772037044E-2</v>
      </c>
      <c r="N844" s="30">
        <f t="shared" si="55"/>
        <v>-3.7115399765165202E-2</v>
      </c>
      <c r="O844" s="30">
        <f t="shared" si="55"/>
        <v>-1.1000268990334572E-2</v>
      </c>
      <c r="P844" s="30">
        <f t="shared" si="55"/>
        <v>-1.1388057810138075E-2</v>
      </c>
      <c r="Q844" s="30">
        <f t="shared" si="55"/>
        <v>-1.2251543674426935E-2</v>
      </c>
      <c r="R844" s="30">
        <f t="shared" si="54"/>
        <v>-1.6624388773666121E-3</v>
      </c>
      <c r="S844" s="30">
        <f t="shared" si="54"/>
        <v>-1.01211165250914E-3</v>
      </c>
      <c r="T844" s="30">
        <f t="shared" si="54"/>
        <v>-1.5504393425895824E-3</v>
      </c>
      <c r="U844" s="63">
        <f t="shared" si="56"/>
        <v>-1.0179187099813294E-2</v>
      </c>
    </row>
    <row r="845" spans="1:21">
      <c r="A845" s="28">
        <v>44551</v>
      </c>
      <c r="B845" s="29">
        <v>1787.900024</v>
      </c>
      <c r="C845" s="29">
        <v>22.502000809999998</v>
      </c>
      <c r="D845" s="29">
        <v>71.120002749999998</v>
      </c>
      <c r="E845" s="29">
        <v>15986.280269999999</v>
      </c>
      <c r="F845" s="29">
        <v>4649.2299800000001</v>
      </c>
      <c r="G845" s="29">
        <v>35492.699220000002</v>
      </c>
      <c r="H845" s="29">
        <v>11.606029510000001</v>
      </c>
      <c r="I845" s="29">
        <v>9.4917039869999993</v>
      </c>
      <c r="J845" s="29">
        <v>12.41544914</v>
      </c>
      <c r="L845" s="30">
        <f t="shared" si="55"/>
        <v>-3.2334990011938514E-3</v>
      </c>
      <c r="M845" s="30">
        <f t="shared" si="55"/>
        <v>1.0190850454434131E-2</v>
      </c>
      <c r="N845" s="30">
        <f t="shared" si="55"/>
        <v>4.2356723548020003E-2</v>
      </c>
      <c r="O845" s="30">
        <f t="shared" si="55"/>
        <v>2.2949122710287151E-2</v>
      </c>
      <c r="P845" s="30">
        <f t="shared" si="55"/>
        <v>1.7777934344517243E-2</v>
      </c>
      <c r="Q845" s="30">
        <f t="shared" si="55"/>
        <v>1.6046504351078239E-2</v>
      </c>
      <c r="R845" s="30">
        <f t="shared" si="54"/>
        <v>-2.4978941422686418E-3</v>
      </c>
      <c r="S845" s="30">
        <f t="shared" si="54"/>
        <v>-2.0265750360715096E-3</v>
      </c>
      <c r="T845" s="30">
        <f t="shared" si="54"/>
        <v>-2.3290791561891844E-3</v>
      </c>
      <c r="U845" s="63">
        <f t="shared" si="56"/>
        <v>1.2615567905776197E-2</v>
      </c>
    </row>
    <row r="846" spans="1:21">
      <c r="A846" s="28">
        <v>44552</v>
      </c>
      <c r="B846" s="29">
        <v>1801.599976</v>
      </c>
      <c r="C846" s="29">
        <v>22.791999820000001</v>
      </c>
      <c r="D846" s="29">
        <v>72.760002139999997</v>
      </c>
      <c r="E846" s="29">
        <v>16180.139649999999</v>
      </c>
      <c r="F846" s="29">
        <v>4696.5600590000004</v>
      </c>
      <c r="G846" s="29">
        <v>35753.890630000002</v>
      </c>
      <c r="H846" s="29">
        <v>11.625404359999999</v>
      </c>
      <c r="I846" s="29">
        <v>9.5023698809999999</v>
      </c>
      <c r="J846" s="29">
        <v>12.43477249</v>
      </c>
      <c r="L846" s="30">
        <f t="shared" si="55"/>
        <v>7.6625940019563465E-3</v>
      </c>
      <c r="M846" s="30">
        <f t="shared" si="55"/>
        <v>1.2887698851700602E-2</v>
      </c>
      <c r="N846" s="30">
        <f t="shared" si="55"/>
        <v>2.3059608079106786E-2</v>
      </c>
      <c r="O846" s="30">
        <f t="shared" si="55"/>
        <v>1.2126609613106742E-2</v>
      </c>
      <c r="P846" s="30">
        <f t="shared" si="55"/>
        <v>1.0180197409808578E-2</v>
      </c>
      <c r="Q846" s="30">
        <f t="shared" si="55"/>
        <v>7.3590179315756732E-3</v>
      </c>
      <c r="R846" s="30">
        <f t="shared" si="54"/>
        <v>1.669377971450503E-3</v>
      </c>
      <c r="S846" s="30">
        <f t="shared" si="54"/>
        <v>1.1237069776521835E-3</v>
      </c>
      <c r="T846" s="30">
        <f t="shared" si="54"/>
        <v>1.5563955666930696E-3</v>
      </c>
      <c r="U846" s="63">
        <f t="shared" si="56"/>
        <v>9.2562951322763959E-3</v>
      </c>
    </row>
    <row r="847" spans="1:21">
      <c r="A847" s="28">
        <v>44553</v>
      </c>
      <c r="B847" s="29">
        <v>1811.1999510000001</v>
      </c>
      <c r="C847" s="29">
        <v>22.930999759999999</v>
      </c>
      <c r="D847" s="29">
        <v>73.790000919999997</v>
      </c>
      <c r="E847" s="29">
        <v>16308.20996</v>
      </c>
      <c r="F847" s="29">
        <v>4725.7900390000004</v>
      </c>
      <c r="G847" s="29">
        <v>35950.558590000001</v>
      </c>
      <c r="H847" s="29">
        <v>11.59633923</v>
      </c>
      <c r="I847" s="29">
        <v>9.4829788209999997</v>
      </c>
      <c r="J847" s="29">
        <v>12.41544914</v>
      </c>
      <c r="L847" s="30">
        <f t="shared" si="55"/>
        <v>5.3285829972724574E-3</v>
      </c>
      <c r="M847" s="30">
        <f t="shared" si="55"/>
        <v>6.0986285142923258E-3</v>
      </c>
      <c r="N847" s="30">
        <f t="shared" si="55"/>
        <v>1.4156112557805356E-2</v>
      </c>
      <c r="O847" s="30">
        <f t="shared" si="55"/>
        <v>7.9152784073777127E-3</v>
      </c>
      <c r="P847" s="30">
        <f t="shared" si="55"/>
        <v>6.2236998213163197E-3</v>
      </c>
      <c r="Q847" s="30">
        <f t="shared" si="55"/>
        <v>5.5006030542303908E-3</v>
      </c>
      <c r="R847" s="30">
        <f t="shared" si="54"/>
        <v>-2.5001392725748639E-3</v>
      </c>
      <c r="S847" s="30">
        <f t="shared" si="54"/>
        <v>-2.0406551463306721E-3</v>
      </c>
      <c r="T847" s="30">
        <f t="shared" si="54"/>
        <v>-1.5539769638358569E-3</v>
      </c>
      <c r="U847" s="63">
        <f t="shared" si="56"/>
        <v>4.7894013932579587E-3</v>
      </c>
    </row>
    <row r="848" spans="1:21">
      <c r="A848" s="28">
        <v>44557</v>
      </c>
      <c r="B848" s="29">
        <v>1808.099976</v>
      </c>
      <c r="C848" s="29">
        <v>22.97900009</v>
      </c>
      <c r="D848" s="29">
        <v>75.569999690000003</v>
      </c>
      <c r="E848" s="29">
        <v>16567.5</v>
      </c>
      <c r="F848" s="29">
        <v>4791.1899409999996</v>
      </c>
      <c r="G848" s="29">
        <v>36302.378909999999</v>
      </c>
      <c r="H848" s="29">
        <v>11.606029510000001</v>
      </c>
      <c r="I848" s="29">
        <v>9.4926776890000006</v>
      </c>
      <c r="J848" s="29">
        <v>12.425111770000001</v>
      </c>
      <c r="L848" s="30">
        <f t="shared" si="55"/>
        <v>-1.7115586814633321E-3</v>
      </c>
      <c r="M848" s="30">
        <f t="shared" si="55"/>
        <v>2.0932506433379849E-3</v>
      </c>
      <c r="N848" s="30">
        <f t="shared" si="55"/>
        <v>2.41224928554995E-2</v>
      </c>
      <c r="O848" s="30">
        <f t="shared" si="55"/>
        <v>1.5899356252830676E-2</v>
      </c>
      <c r="P848" s="30">
        <f t="shared" si="55"/>
        <v>1.3838935174919076E-2</v>
      </c>
      <c r="Q848" s="30">
        <f t="shared" si="55"/>
        <v>9.7862268014345943E-3</v>
      </c>
      <c r="R848" s="30">
        <f t="shared" si="54"/>
        <v>8.3563267750319525E-4</v>
      </c>
      <c r="S848" s="30">
        <f t="shared" si="54"/>
        <v>1.022765966588679E-3</v>
      </c>
      <c r="T848" s="30">
        <f t="shared" si="54"/>
        <v>7.7827470364089102E-4</v>
      </c>
      <c r="U848" s="63">
        <f t="shared" si="56"/>
        <v>8.7031635367348821E-3</v>
      </c>
    </row>
    <row r="849" spans="1:21">
      <c r="A849" s="28">
        <v>44558</v>
      </c>
      <c r="B849" s="29">
        <v>1810.1999510000001</v>
      </c>
      <c r="C849" s="29">
        <v>23.111000059999999</v>
      </c>
      <c r="D849" s="29">
        <v>75.980003359999998</v>
      </c>
      <c r="E849" s="29">
        <v>16488.660159999999</v>
      </c>
      <c r="F849" s="29">
        <v>4786.3500979999999</v>
      </c>
      <c r="G849" s="29">
        <v>36398.210939999997</v>
      </c>
      <c r="H849" s="29">
        <v>11.606029510000001</v>
      </c>
      <c r="I849" s="29">
        <v>9.4926776890000006</v>
      </c>
      <c r="J849" s="29">
        <v>12.43477249</v>
      </c>
      <c r="L849" s="30">
        <f t="shared" si="55"/>
        <v>1.1614263745778342E-3</v>
      </c>
      <c r="M849" s="30">
        <f t="shared" si="55"/>
        <v>5.7443739711477981E-3</v>
      </c>
      <c r="N849" s="30">
        <f t="shared" si="55"/>
        <v>5.4254819595327408E-3</v>
      </c>
      <c r="O849" s="30">
        <f t="shared" si="55"/>
        <v>-4.7587046929229437E-3</v>
      </c>
      <c r="P849" s="30">
        <f t="shared" si="55"/>
        <v>-1.0101546921743587E-3</v>
      </c>
      <c r="Q849" s="30">
        <f t="shared" si="55"/>
        <v>2.6398278260932884E-3</v>
      </c>
      <c r="R849" s="30">
        <f t="shared" si="54"/>
        <v>0</v>
      </c>
      <c r="S849" s="30">
        <f t="shared" si="54"/>
        <v>0</v>
      </c>
      <c r="T849" s="30">
        <f t="shared" si="54"/>
        <v>7.7751574221851527E-4</v>
      </c>
      <c r="U849" s="63">
        <f t="shared" si="56"/>
        <v>6.3177554397884222E-4</v>
      </c>
    </row>
    <row r="850" spans="1:21">
      <c r="A850" s="28">
        <v>44559</v>
      </c>
      <c r="B850" s="29">
        <v>1805.099976</v>
      </c>
      <c r="C850" s="29">
        <v>22.847999569999999</v>
      </c>
      <c r="D850" s="29">
        <v>76.559997559999999</v>
      </c>
      <c r="E850" s="29">
        <v>16491.009770000001</v>
      </c>
      <c r="F850" s="29">
        <v>4793.0600590000004</v>
      </c>
      <c r="G850" s="29">
        <v>36488.628909999999</v>
      </c>
      <c r="H850" s="29">
        <v>11.57696438</v>
      </c>
      <c r="I850" s="29">
        <v>9.4635877609999994</v>
      </c>
      <c r="J850" s="29">
        <v>12.39612389</v>
      </c>
      <c r="L850" s="30">
        <f t="shared" si="55"/>
        <v>-2.8173545122364141E-3</v>
      </c>
      <c r="M850" s="30">
        <f t="shared" si="55"/>
        <v>-1.137988357566555E-2</v>
      </c>
      <c r="N850" s="30">
        <f t="shared" si="55"/>
        <v>7.6335111128114086E-3</v>
      </c>
      <c r="O850" s="30">
        <f t="shared" si="55"/>
        <v>1.4249854003911544E-4</v>
      </c>
      <c r="P850" s="30">
        <f t="shared" si="55"/>
        <v>1.4018951523844247E-3</v>
      </c>
      <c r="Q850" s="30">
        <f t="shared" si="55"/>
        <v>2.4841322599358229E-3</v>
      </c>
      <c r="R850" s="30">
        <f t="shared" si="54"/>
        <v>-2.5043129500021966E-3</v>
      </c>
      <c r="S850" s="30">
        <f t="shared" si="54"/>
        <v>-3.0644596765052601E-3</v>
      </c>
      <c r="T850" s="30">
        <f t="shared" si="54"/>
        <v>-3.1081067249988381E-3</v>
      </c>
      <c r="U850" s="63">
        <f t="shared" si="56"/>
        <v>-1.571305396259545E-3</v>
      </c>
    </row>
    <row r="851" spans="1:21">
      <c r="A851" s="28">
        <v>44560</v>
      </c>
      <c r="B851" s="29">
        <v>1812.6999510000001</v>
      </c>
      <c r="C851" s="29">
        <v>23.027999879999999</v>
      </c>
      <c r="D851" s="29">
        <v>76.989997860000003</v>
      </c>
      <c r="E851" s="29">
        <v>16429.099610000001</v>
      </c>
      <c r="F851" s="29">
        <v>4778.7299800000001</v>
      </c>
      <c r="G851" s="29">
        <v>36398.078130000002</v>
      </c>
      <c r="H851" s="29">
        <v>11.59633923</v>
      </c>
      <c r="I851" s="29">
        <v>9.4829788209999997</v>
      </c>
      <c r="J851" s="29">
        <v>12.425111770000001</v>
      </c>
      <c r="L851" s="30">
        <f t="shared" si="55"/>
        <v>4.2102792648865961E-3</v>
      </c>
      <c r="M851" s="30">
        <f t="shared" si="55"/>
        <v>7.8781649766985762E-3</v>
      </c>
      <c r="N851" s="30">
        <f t="shared" si="55"/>
        <v>5.616514024350705E-3</v>
      </c>
      <c r="O851" s="30">
        <f t="shared" si="55"/>
        <v>-3.7541764187554172E-3</v>
      </c>
      <c r="P851" s="30">
        <f t="shared" si="55"/>
        <v>-2.9897557768115979E-3</v>
      </c>
      <c r="Q851" s="30">
        <f t="shared" si="55"/>
        <v>-2.4816164022863907E-3</v>
      </c>
      <c r="R851" s="30">
        <f t="shared" si="54"/>
        <v>1.6735691122511387E-3</v>
      </c>
      <c r="S851" s="30">
        <f t="shared" si="54"/>
        <v>2.0490178238650181E-3</v>
      </c>
      <c r="T851" s="30">
        <f t="shared" si="54"/>
        <v>2.338463237156363E-3</v>
      </c>
      <c r="U851" s="63">
        <f t="shared" si="56"/>
        <v>9.7483108013082711E-4</v>
      </c>
    </row>
    <row r="852" spans="1:21">
      <c r="A852" s="28">
        <v>44561</v>
      </c>
      <c r="B852" s="29">
        <v>1827.5</v>
      </c>
      <c r="C852" s="29">
        <v>23.32799911</v>
      </c>
      <c r="D852" s="29">
        <v>75.209999080000003</v>
      </c>
      <c r="E852" s="29">
        <v>16320.08008</v>
      </c>
      <c r="F852" s="29">
        <v>4766.1801759999998</v>
      </c>
      <c r="G852" s="29">
        <v>36338.300779999998</v>
      </c>
      <c r="H852" s="29">
        <v>11.6264267</v>
      </c>
      <c r="I852" s="29">
        <v>9.4926862720000003</v>
      </c>
      <c r="J852" s="29">
        <v>12.425111770000001</v>
      </c>
      <c r="L852" s="30">
        <f t="shared" si="55"/>
        <v>8.1646435704019193E-3</v>
      </c>
      <c r="M852" s="30">
        <f t="shared" si="55"/>
        <v>1.3027585181661916E-2</v>
      </c>
      <c r="N852" s="30">
        <f t="shared" si="55"/>
        <v>-2.3119870495863393E-2</v>
      </c>
      <c r="O852" s="30">
        <f t="shared" si="55"/>
        <v>-6.6357580505290725E-3</v>
      </c>
      <c r="P852" s="30">
        <f t="shared" si="55"/>
        <v>-2.6261797700485312E-3</v>
      </c>
      <c r="Q852" s="30">
        <f t="shared" si="55"/>
        <v>-1.6423216024347154E-3</v>
      </c>
      <c r="R852" s="30">
        <f t="shared" si="54"/>
        <v>2.5945662163937566E-3</v>
      </c>
      <c r="S852" s="30">
        <f t="shared" si="54"/>
        <v>1.0236710619351275E-3</v>
      </c>
      <c r="T852" s="30">
        <f t="shared" si="54"/>
        <v>0</v>
      </c>
      <c r="U852" s="63">
        <f t="shared" si="56"/>
        <v>-7.2704826402174836E-4</v>
      </c>
    </row>
    <row r="853" spans="1:21">
      <c r="A853" s="28">
        <v>44564</v>
      </c>
      <c r="B853" s="29">
        <v>1799.400024</v>
      </c>
      <c r="C853" s="29">
        <v>22.790000920000001</v>
      </c>
      <c r="D853" s="29">
        <v>76.08000183</v>
      </c>
      <c r="E853" s="29">
        <v>16501.769530000001</v>
      </c>
      <c r="F853" s="29">
        <v>4796.5600590000004</v>
      </c>
      <c r="G853" s="29">
        <v>36585.058590000001</v>
      </c>
      <c r="H853" s="29">
        <v>11.53908348</v>
      </c>
      <c r="I853" s="29">
        <v>9.4344491959999992</v>
      </c>
      <c r="J853" s="29">
        <v>12.33815384</v>
      </c>
      <c r="L853" s="30">
        <f t="shared" si="55"/>
        <v>-1.5376183857729098E-2</v>
      </c>
      <c r="M853" s="30">
        <f t="shared" si="55"/>
        <v>-2.3062337556819301E-2</v>
      </c>
      <c r="N853" s="30">
        <f t="shared" si="55"/>
        <v>1.1567647395854808E-2</v>
      </c>
      <c r="O853" s="30">
        <f t="shared" si="55"/>
        <v>1.1132877357793003E-2</v>
      </c>
      <c r="P853" s="30">
        <f t="shared" si="55"/>
        <v>6.3740525700177741E-3</v>
      </c>
      <c r="Q853" s="30">
        <f t="shared" si="55"/>
        <v>6.7905709596585151E-3</v>
      </c>
      <c r="R853" s="30">
        <f t="shared" si="54"/>
        <v>-7.5124732863967036E-3</v>
      </c>
      <c r="S853" s="30">
        <f t="shared" si="54"/>
        <v>-6.1349416099191201E-3</v>
      </c>
      <c r="T853" s="30">
        <f t="shared" si="54"/>
        <v>-6.998563200852459E-3</v>
      </c>
      <c r="U853" s="63">
        <f t="shared" si="56"/>
        <v>-1.7695006448993581E-3</v>
      </c>
    </row>
    <row r="854" spans="1:21">
      <c r="A854" s="28">
        <v>44565</v>
      </c>
      <c r="B854" s="29">
        <v>1814</v>
      </c>
      <c r="C854" s="29">
        <v>23.038000109999999</v>
      </c>
      <c r="D854" s="29">
        <v>76.989997860000003</v>
      </c>
      <c r="E854" s="29">
        <v>16279.73047</v>
      </c>
      <c r="F854" s="29">
        <v>4793.5400390000004</v>
      </c>
      <c r="G854" s="29">
        <v>36799.648439999997</v>
      </c>
      <c r="H854" s="29">
        <v>11.53908348</v>
      </c>
      <c r="I854" s="29">
        <v>9.4247426989999994</v>
      </c>
      <c r="J854" s="29">
        <v>12.33815384</v>
      </c>
      <c r="L854" s="30">
        <f t="shared" si="55"/>
        <v>8.113802270350412E-3</v>
      </c>
      <c r="M854" s="30">
        <f t="shared" si="55"/>
        <v>1.0881929793270073E-2</v>
      </c>
      <c r="N854" s="30">
        <f t="shared" si="55"/>
        <v>1.1961041116079096E-2</v>
      </c>
      <c r="O854" s="30">
        <f t="shared" si="55"/>
        <v>-1.3455469705617729E-2</v>
      </c>
      <c r="P854" s="30">
        <f t="shared" si="55"/>
        <v>-6.2962205473349186E-4</v>
      </c>
      <c r="Q854" s="30">
        <f t="shared" si="55"/>
        <v>5.8655051616796072E-3</v>
      </c>
      <c r="R854" s="30">
        <f t="shared" si="54"/>
        <v>0</v>
      </c>
      <c r="S854" s="30">
        <f t="shared" si="54"/>
        <v>-1.0288355788820036E-3</v>
      </c>
      <c r="T854" s="30">
        <f t="shared" si="54"/>
        <v>0</v>
      </c>
      <c r="U854" s="63">
        <f t="shared" si="56"/>
        <v>1.2915525619950846E-3</v>
      </c>
    </row>
    <row r="855" spans="1:21">
      <c r="A855" s="28">
        <v>44566</v>
      </c>
      <c r="B855" s="29">
        <v>1824.599976</v>
      </c>
      <c r="C855" s="29">
        <v>23.149999619999999</v>
      </c>
      <c r="D855" s="29">
        <v>77.849998470000003</v>
      </c>
      <c r="E855" s="29">
        <v>15771.780269999999</v>
      </c>
      <c r="F855" s="29">
        <v>4700.580078</v>
      </c>
      <c r="G855" s="29">
        <v>36407.109380000002</v>
      </c>
      <c r="H855" s="29">
        <v>11.50026226</v>
      </c>
      <c r="I855" s="29">
        <v>9.4053306580000005</v>
      </c>
      <c r="J855" s="29">
        <v>12.299505229999999</v>
      </c>
      <c r="L855" s="30">
        <f t="shared" si="55"/>
        <v>5.8434266813671698E-3</v>
      </c>
      <c r="M855" s="30">
        <f t="shared" si="55"/>
        <v>4.8615118267747448E-3</v>
      </c>
      <c r="N855" s="30">
        <f t="shared" si="55"/>
        <v>1.1170290088380552E-2</v>
      </c>
      <c r="O855" s="30">
        <f t="shared" si="55"/>
        <v>-3.1201388802845509E-2</v>
      </c>
      <c r="P855" s="30">
        <f t="shared" si="55"/>
        <v>-1.9392757803978422E-2</v>
      </c>
      <c r="Q855" s="30">
        <f t="shared" si="55"/>
        <v>-1.0666924186518045E-2</v>
      </c>
      <c r="R855" s="30">
        <f t="shared" si="54"/>
        <v>-3.3643243908658693E-3</v>
      </c>
      <c r="S855" s="30">
        <f t="shared" si="54"/>
        <v>-2.0596892265354327E-3</v>
      </c>
      <c r="T855" s="30">
        <f t="shared" si="54"/>
        <v>-3.1324467583394577E-3</v>
      </c>
      <c r="U855" s="63">
        <f t="shared" si="56"/>
        <v>-8.7201534146270458E-3</v>
      </c>
    </row>
    <row r="856" spans="1:21">
      <c r="A856" s="28">
        <v>44567</v>
      </c>
      <c r="B856" s="29">
        <v>1788.6999510000001</v>
      </c>
      <c r="C856" s="29">
        <v>22.17399979</v>
      </c>
      <c r="D856" s="29">
        <v>79.459999080000003</v>
      </c>
      <c r="E856" s="29">
        <v>15765.360350000001</v>
      </c>
      <c r="F856" s="29">
        <v>4696.0498049999997</v>
      </c>
      <c r="G856" s="29">
        <v>36236.46875</v>
      </c>
      <c r="H856" s="29">
        <v>11.490557669999999</v>
      </c>
      <c r="I856" s="29">
        <v>9.3956232069999999</v>
      </c>
      <c r="J856" s="29">
        <v>12.28984356</v>
      </c>
      <c r="L856" s="30">
        <f t="shared" si="55"/>
        <v>-1.9675559285439737E-2</v>
      </c>
      <c r="M856" s="30">
        <f t="shared" si="55"/>
        <v>-4.2159820562450601E-2</v>
      </c>
      <c r="N856" s="30">
        <f t="shared" si="55"/>
        <v>2.0680804645364592E-2</v>
      </c>
      <c r="O856" s="30">
        <f t="shared" si="55"/>
        <v>-4.0705106779925782E-4</v>
      </c>
      <c r="P856" s="30">
        <f t="shared" si="55"/>
        <v>-9.6376892315974683E-4</v>
      </c>
      <c r="Q856" s="30">
        <f t="shared" si="55"/>
        <v>-4.687013962546116E-3</v>
      </c>
      <c r="R856" s="30">
        <f t="shared" si="54"/>
        <v>-8.4385814693588301E-4</v>
      </c>
      <c r="S856" s="30">
        <f t="shared" si="54"/>
        <v>-1.03212224566962E-3</v>
      </c>
      <c r="T856" s="30">
        <f t="shared" si="54"/>
        <v>-7.8553322424990135E-4</v>
      </c>
      <c r="U856" s="63">
        <f t="shared" si="56"/>
        <v>-6.6253077364283458E-3</v>
      </c>
    </row>
    <row r="857" spans="1:21">
      <c r="A857" s="28">
        <v>44568</v>
      </c>
      <c r="B857" s="29">
        <v>1797</v>
      </c>
      <c r="C857" s="29">
        <v>22.393999099999998</v>
      </c>
      <c r="D857" s="29">
        <v>78.900001529999997</v>
      </c>
      <c r="E857" s="29">
        <v>15592.190430000001</v>
      </c>
      <c r="F857" s="29">
        <v>4677.0297849999997</v>
      </c>
      <c r="G857" s="29">
        <v>36231.660159999999</v>
      </c>
      <c r="H857" s="29">
        <v>11.461445810000001</v>
      </c>
      <c r="I857" s="29">
        <v>9.3665018080000007</v>
      </c>
      <c r="J857" s="29">
        <v>12.25119686</v>
      </c>
      <c r="L857" s="30">
        <f t="shared" si="55"/>
        <v>4.6402690374982569E-3</v>
      </c>
      <c r="M857" s="30">
        <f t="shared" si="55"/>
        <v>9.921498695928177E-3</v>
      </c>
      <c r="N857" s="30">
        <f t="shared" si="55"/>
        <v>-7.0475403534324688E-3</v>
      </c>
      <c r="O857" s="30">
        <f t="shared" si="55"/>
        <v>-1.0984203098155065E-2</v>
      </c>
      <c r="P857" s="30">
        <f t="shared" si="55"/>
        <v>-4.0502168396401306E-3</v>
      </c>
      <c r="Q857" s="30">
        <f t="shared" si="55"/>
        <v>-1.327002924367271E-4</v>
      </c>
      <c r="R857" s="30">
        <f t="shared" si="54"/>
        <v>-2.5335463113339562E-3</v>
      </c>
      <c r="S857" s="30">
        <f t="shared" si="54"/>
        <v>-3.0994643312540759E-3</v>
      </c>
      <c r="T857" s="30">
        <f t="shared" si="54"/>
        <v>-3.1446047145614608E-3</v>
      </c>
      <c r="U857" s="63">
        <f t="shared" si="56"/>
        <v>-2.1026478110330693E-3</v>
      </c>
    </row>
    <row r="858" spans="1:21">
      <c r="A858" s="28">
        <v>44571</v>
      </c>
      <c r="B858" s="29">
        <v>1798.400024</v>
      </c>
      <c r="C858" s="29">
        <v>22.445999149999999</v>
      </c>
      <c r="D858" s="29">
        <v>78.230003359999998</v>
      </c>
      <c r="E858" s="29">
        <v>15614.429690000001</v>
      </c>
      <c r="F858" s="29">
        <v>4670.2900390000004</v>
      </c>
      <c r="G858" s="29">
        <v>36068.871090000001</v>
      </c>
      <c r="H858" s="29">
        <v>11.442032810000001</v>
      </c>
      <c r="I858" s="29">
        <v>9.3567991260000003</v>
      </c>
      <c r="J858" s="29">
        <v>12.2318716</v>
      </c>
      <c r="L858" s="30">
        <f t="shared" si="55"/>
        <v>7.7908959376737918E-4</v>
      </c>
      <c r="M858" s="30">
        <f t="shared" si="55"/>
        <v>2.3220528753169489E-3</v>
      </c>
      <c r="N858" s="30">
        <f t="shared" si="55"/>
        <v>-8.4917383651158529E-3</v>
      </c>
      <c r="O858" s="30">
        <f t="shared" si="55"/>
        <v>1.4263076185376811E-3</v>
      </c>
      <c r="P858" s="30">
        <f t="shared" si="55"/>
        <v>-1.4410312334581787E-3</v>
      </c>
      <c r="Q858" s="30">
        <f t="shared" si="55"/>
        <v>-4.4930060969085028E-3</v>
      </c>
      <c r="R858" s="30">
        <f t="shared" si="54"/>
        <v>-1.6937653697286503E-3</v>
      </c>
      <c r="S858" s="30">
        <f t="shared" si="54"/>
        <v>-1.0358917554164071E-3</v>
      </c>
      <c r="T858" s="30">
        <f t="shared" si="54"/>
        <v>-1.5774181266401399E-3</v>
      </c>
      <c r="U858" s="63">
        <f t="shared" si="56"/>
        <v>-1.005201739689618E-3</v>
      </c>
    </row>
    <row r="859" spans="1:21">
      <c r="A859" s="28">
        <v>44572</v>
      </c>
      <c r="B859" s="29">
        <v>1818.599976</v>
      </c>
      <c r="C859" s="29">
        <v>22.805999759999999</v>
      </c>
      <c r="D859" s="29">
        <v>81.22000122</v>
      </c>
      <c r="E859" s="29">
        <v>15844.12012</v>
      </c>
      <c r="F859" s="29">
        <v>4713.0698240000002</v>
      </c>
      <c r="G859" s="29">
        <v>36252.019529999998</v>
      </c>
      <c r="H859" s="29">
        <v>11.461445810000001</v>
      </c>
      <c r="I859" s="29">
        <v>9.3665018080000007</v>
      </c>
      <c r="J859" s="29">
        <v>12.260858539999999</v>
      </c>
      <c r="L859" s="30">
        <f t="shared" si="55"/>
        <v>1.1232179565406897E-2</v>
      </c>
      <c r="M859" s="30">
        <f t="shared" si="55"/>
        <v>1.6038520165407855E-2</v>
      </c>
      <c r="N859" s="30">
        <f t="shared" si="55"/>
        <v>3.8220602474482668E-2</v>
      </c>
      <c r="O859" s="30">
        <f t="shared" si="55"/>
        <v>1.4710138926630201E-2</v>
      </c>
      <c r="P859" s="30">
        <f t="shared" si="55"/>
        <v>9.1599846353782599E-3</v>
      </c>
      <c r="Q859" s="30">
        <f t="shared" si="55"/>
        <v>5.0777425094066242E-3</v>
      </c>
      <c r="R859" s="30">
        <f t="shared" si="54"/>
        <v>1.6966390782444662E-3</v>
      </c>
      <c r="S859" s="30">
        <f t="shared" si="54"/>
        <v>1.0369659398841158E-3</v>
      </c>
      <c r="T859" s="30">
        <f t="shared" si="54"/>
        <v>2.3697877927364441E-3</v>
      </c>
      <c r="U859" s="63">
        <f t="shared" si="56"/>
        <v>1.1067377277621741E-2</v>
      </c>
    </row>
    <row r="860" spans="1:21">
      <c r="A860" s="28">
        <v>44573</v>
      </c>
      <c r="B860" s="29">
        <v>1827.1999510000001</v>
      </c>
      <c r="C860" s="29">
        <v>23.200000760000002</v>
      </c>
      <c r="D860" s="29">
        <v>82.63999939</v>
      </c>
      <c r="E860" s="29">
        <v>15905.099609999999</v>
      </c>
      <c r="F860" s="29">
        <v>4726.3500979999999</v>
      </c>
      <c r="G860" s="29">
        <v>36290.320310000003</v>
      </c>
      <c r="H860" s="29">
        <v>11.461445810000001</v>
      </c>
      <c r="I860" s="29">
        <v>9.3665018080000007</v>
      </c>
      <c r="J860" s="29">
        <v>12.25119686</v>
      </c>
      <c r="L860" s="30">
        <f t="shared" si="55"/>
        <v>4.7288986657283427E-3</v>
      </c>
      <c r="M860" s="30">
        <f t="shared" si="55"/>
        <v>1.7276199427619598E-2</v>
      </c>
      <c r="N860" s="30">
        <f t="shared" si="55"/>
        <v>1.7483355684194901E-2</v>
      </c>
      <c r="O860" s="30">
        <f t="shared" si="55"/>
        <v>3.848714194171432E-3</v>
      </c>
      <c r="P860" s="30">
        <f t="shared" si="55"/>
        <v>2.8177545625089895E-3</v>
      </c>
      <c r="Q860" s="30">
        <f t="shared" si="55"/>
        <v>1.0565143817244937E-3</v>
      </c>
      <c r="R860" s="30">
        <f t="shared" si="54"/>
        <v>0</v>
      </c>
      <c r="S860" s="30">
        <f t="shared" si="54"/>
        <v>0</v>
      </c>
      <c r="T860" s="30">
        <f t="shared" si="54"/>
        <v>-7.8801007029638548E-4</v>
      </c>
      <c r="U860" s="63">
        <f t="shared" si="56"/>
        <v>5.4774962215676168E-3</v>
      </c>
    </row>
    <row r="861" spans="1:21">
      <c r="A861" s="28">
        <v>44574</v>
      </c>
      <c r="B861" s="29">
        <v>1821.1999510000001</v>
      </c>
      <c r="C861" s="29">
        <v>23.155000690000001</v>
      </c>
      <c r="D861" s="29">
        <v>82.120002749999998</v>
      </c>
      <c r="E861" s="29">
        <v>15495.62012</v>
      </c>
      <c r="F861" s="29">
        <v>4659.0297849999997</v>
      </c>
      <c r="G861" s="29">
        <v>36113.621090000001</v>
      </c>
      <c r="H861" s="29">
        <v>11.471148489999999</v>
      </c>
      <c r="I861" s="29">
        <v>9.3859186169999997</v>
      </c>
      <c r="J861" s="29">
        <v>12.28018284</v>
      </c>
      <c r="L861" s="30">
        <f t="shared" si="55"/>
        <v>-3.283712872647726E-3</v>
      </c>
      <c r="M861" s="30">
        <f t="shared" si="55"/>
        <v>-1.9396581261146295E-3</v>
      </c>
      <c r="N861" s="30">
        <f t="shared" si="55"/>
        <v>-6.2923117599020806E-3</v>
      </c>
      <c r="O861" s="30">
        <f t="shared" si="55"/>
        <v>-2.57451697908605E-2</v>
      </c>
      <c r="P861" s="30">
        <f t="shared" si="55"/>
        <v>-1.4243615391184683E-2</v>
      </c>
      <c r="Q861" s="30">
        <f t="shared" si="55"/>
        <v>-4.8690454779841685E-3</v>
      </c>
      <c r="R861" s="30">
        <f t="shared" si="54"/>
        <v>8.4654939357942105E-4</v>
      </c>
      <c r="S861" s="30">
        <f t="shared" si="54"/>
        <v>2.0730054184598945E-3</v>
      </c>
      <c r="T861" s="30">
        <f t="shared" si="54"/>
        <v>2.3659712868249194E-3</v>
      </c>
      <c r="U861" s="63">
        <f t="shared" si="56"/>
        <v>-7.9624823652792442E-3</v>
      </c>
    </row>
    <row r="862" spans="1:21">
      <c r="A862" s="28">
        <v>44575</v>
      </c>
      <c r="B862" s="29">
        <v>1816.5</v>
      </c>
      <c r="C862" s="29">
        <v>22.9109993</v>
      </c>
      <c r="D862" s="29">
        <v>83.819999690000003</v>
      </c>
      <c r="E862" s="29">
        <v>15611.589840000001</v>
      </c>
      <c r="F862" s="29">
        <v>4662.8500979999999</v>
      </c>
      <c r="G862" s="29">
        <v>35911.808590000001</v>
      </c>
      <c r="H862" s="29">
        <v>11.412917139999999</v>
      </c>
      <c r="I862" s="29">
        <v>9.3373870849999996</v>
      </c>
      <c r="J862" s="29">
        <v>12.212549210000001</v>
      </c>
      <c r="L862" s="30">
        <f t="shared" si="55"/>
        <v>-2.580689175518236E-3</v>
      </c>
      <c r="M862" s="30">
        <f t="shared" si="55"/>
        <v>-1.0537740562684528E-2</v>
      </c>
      <c r="N862" s="30">
        <f t="shared" si="55"/>
        <v>2.0701374611193701E-2</v>
      </c>
      <c r="O862" s="30">
        <f t="shared" si="55"/>
        <v>7.484032204062574E-3</v>
      </c>
      <c r="P862" s="30">
        <f t="shared" si="55"/>
        <v>8.1998037709474225E-4</v>
      </c>
      <c r="Q862" s="30">
        <f t="shared" si="55"/>
        <v>-5.5882654219873151E-3</v>
      </c>
      <c r="R862" s="30">
        <f t="shared" si="54"/>
        <v>-5.0763312889519074E-3</v>
      </c>
      <c r="S862" s="30">
        <f t="shared" si="54"/>
        <v>-5.1706747075452864E-3</v>
      </c>
      <c r="T862" s="30">
        <f t="shared" si="54"/>
        <v>-5.5075425896508046E-3</v>
      </c>
      <c r="U862" s="63">
        <f t="shared" si="56"/>
        <v>-5.9519423702887413E-4</v>
      </c>
    </row>
    <row r="863" spans="1:21">
      <c r="A863" s="28">
        <v>44579</v>
      </c>
      <c r="B863" s="29">
        <v>1812.3000489999999</v>
      </c>
      <c r="C863" s="29">
        <v>23.48699951</v>
      </c>
      <c r="D863" s="29">
        <v>85.430000309999997</v>
      </c>
      <c r="E863" s="29">
        <v>15210.759770000001</v>
      </c>
      <c r="F863" s="29">
        <v>4577.1098629999997</v>
      </c>
      <c r="G863" s="29">
        <v>35368.46875</v>
      </c>
      <c r="H863" s="29">
        <v>11.344984050000001</v>
      </c>
      <c r="I863" s="29">
        <v>9.2694454190000002</v>
      </c>
      <c r="J863" s="29">
        <v>12.135253909999999</v>
      </c>
      <c r="L863" s="30">
        <f t="shared" si="55"/>
        <v>-2.3121117533718705E-3</v>
      </c>
      <c r="M863" s="30">
        <f t="shared" si="55"/>
        <v>2.5140772013379609E-2</v>
      </c>
      <c r="N863" s="30">
        <f t="shared" si="55"/>
        <v>1.9207833762281412E-2</v>
      </c>
      <c r="O863" s="30">
        <f t="shared" si="55"/>
        <v>-2.5675160192397128E-2</v>
      </c>
      <c r="P863" s="30">
        <f t="shared" si="55"/>
        <v>-1.8387945826690011E-2</v>
      </c>
      <c r="Q863" s="30">
        <f t="shared" si="55"/>
        <v>-1.5129837825859305E-2</v>
      </c>
      <c r="R863" s="30">
        <f t="shared" si="54"/>
        <v>-5.9522985374095283E-3</v>
      </c>
      <c r="S863" s="30">
        <f t="shared" si="54"/>
        <v>-7.2763038933176816E-3</v>
      </c>
      <c r="T863" s="30">
        <f t="shared" si="54"/>
        <v>-6.3291699931664613E-3</v>
      </c>
      <c r="U863" s="63">
        <f t="shared" si="56"/>
        <v>-5.7360279302555318E-3</v>
      </c>
    </row>
    <row r="864" spans="1:21">
      <c r="A864" s="28">
        <v>44580</v>
      </c>
      <c r="B864" s="29">
        <v>1843.099976</v>
      </c>
      <c r="C864" s="29">
        <v>24.225999829999999</v>
      </c>
      <c r="D864" s="29">
        <v>86.959999080000003</v>
      </c>
      <c r="E864" s="29">
        <v>15047.839840000001</v>
      </c>
      <c r="F864" s="29">
        <v>4532.7597660000001</v>
      </c>
      <c r="G864" s="29">
        <v>35028.648439999997</v>
      </c>
      <c r="H864" s="29">
        <v>11.374099729999999</v>
      </c>
      <c r="I864" s="29">
        <v>9.2985610960000002</v>
      </c>
      <c r="J864" s="29">
        <v>12.16424179</v>
      </c>
      <c r="L864" s="30">
        <f t="shared" si="55"/>
        <v>1.6994938016469785E-2</v>
      </c>
      <c r="M864" s="30">
        <f t="shared" si="55"/>
        <v>3.1464228527162685E-2</v>
      </c>
      <c r="N864" s="30">
        <f t="shared" si="55"/>
        <v>1.7909385045629111E-2</v>
      </c>
      <c r="O864" s="30">
        <f t="shared" si="55"/>
        <v>-1.0710834466094554E-2</v>
      </c>
      <c r="P864" s="30">
        <f t="shared" si="55"/>
        <v>-9.6895417255575822E-3</v>
      </c>
      <c r="Q864" s="30">
        <f t="shared" si="55"/>
        <v>-9.608001760042395E-3</v>
      </c>
      <c r="R864" s="30">
        <f t="shared" si="54"/>
        <v>2.5663923256020738E-3</v>
      </c>
      <c r="S864" s="30">
        <f t="shared" si="54"/>
        <v>3.1410376439910959E-3</v>
      </c>
      <c r="T864" s="30">
        <f t="shared" si="54"/>
        <v>2.3887328781899697E-3</v>
      </c>
      <c r="U864" s="63">
        <f t="shared" si="56"/>
        <v>3.2810141211989025E-3</v>
      </c>
    </row>
    <row r="865" spans="1:21">
      <c r="A865" s="28">
        <v>44581</v>
      </c>
      <c r="B865" s="29">
        <v>1842.5</v>
      </c>
      <c r="C865" s="29">
        <v>24.711000439999999</v>
      </c>
      <c r="D865" s="29">
        <v>86.900001529999997</v>
      </c>
      <c r="E865" s="29">
        <v>14846.45996</v>
      </c>
      <c r="F865" s="29">
        <v>4482.7299800000001</v>
      </c>
      <c r="G865" s="29">
        <v>34715.390630000002</v>
      </c>
      <c r="H865" s="29">
        <v>11.383803370000001</v>
      </c>
      <c r="I865" s="29">
        <v>9.3082685470000008</v>
      </c>
      <c r="J865" s="29">
        <v>12.173901559999999</v>
      </c>
      <c r="L865" s="30">
        <f t="shared" si="55"/>
        <v>-3.2552547762609851E-4</v>
      </c>
      <c r="M865" s="30">
        <f t="shared" si="55"/>
        <v>2.0019838743637886E-2</v>
      </c>
      <c r="N865" s="30">
        <f t="shared" si="55"/>
        <v>-6.8994423453028197E-4</v>
      </c>
      <c r="O865" s="30">
        <f t="shared" si="55"/>
        <v>-1.3382643764236146E-2</v>
      </c>
      <c r="P865" s="30">
        <f t="shared" si="55"/>
        <v>-1.1037378679380039E-2</v>
      </c>
      <c r="Q865" s="30">
        <f t="shared" si="55"/>
        <v>-8.9429031364589573E-3</v>
      </c>
      <c r="R865" s="30">
        <f t="shared" si="54"/>
        <v>8.5313477377102487E-4</v>
      </c>
      <c r="S865" s="30">
        <f t="shared" si="54"/>
        <v>1.0439734599556605E-3</v>
      </c>
      <c r="T865" s="30">
        <f t="shared" si="54"/>
        <v>7.9411196906176151E-4</v>
      </c>
      <c r="U865" s="63">
        <f t="shared" si="56"/>
        <v>-2.0212708874663777E-3</v>
      </c>
    </row>
    <row r="866" spans="1:21">
      <c r="A866" s="28">
        <v>44582</v>
      </c>
      <c r="B866" s="29">
        <v>1831.8000489999999</v>
      </c>
      <c r="C866" s="29">
        <v>24.31399918</v>
      </c>
      <c r="D866" s="29">
        <v>85.13999939</v>
      </c>
      <c r="E866" s="29">
        <v>14438.400390000001</v>
      </c>
      <c r="F866" s="29">
        <v>4397.9399409999996</v>
      </c>
      <c r="G866" s="29">
        <v>34265.371090000001</v>
      </c>
      <c r="H866" s="29">
        <v>11.412917139999999</v>
      </c>
      <c r="I866" s="29">
        <v>9.3276796340000008</v>
      </c>
      <c r="J866" s="29">
        <v>12.202887540000001</v>
      </c>
      <c r="L866" s="30">
        <f t="shared" si="55"/>
        <v>-5.8073004070556822E-3</v>
      </c>
      <c r="M866" s="30">
        <f t="shared" si="55"/>
        <v>-1.6065770423336234E-2</v>
      </c>
      <c r="N866" s="30">
        <f t="shared" si="55"/>
        <v>-2.0253188826382273E-2</v>
      </c>
      <c r="O866" s="30">
        <f t="shared" si="55"/>
        <v>-2.7485311050540751E-2</v>
      </c>
      <c r="P866" s="30">
        <f t="shared" si="55"/>
        <v>-1.8914821855944175E-2</v>
      </c>
      <c r="Q866" s="30">
        <f t="shared" si="55"/>
        <v>-1.296311324266386E-2</v>
      </c>
      <c r="R866" s="30">
        <f t="shared" si="54"/>
        <v>2.557473021426393E-3</v>
      </c>
      <c r="S866" s="30">
        <f t="shared" si="54"/>
        <v>2.0853595813214998E-3</v>
      </c>
      <c r="T866" s="30">
        <f t="shared" si="54"/>
        <v>2.3809934602430083E-3</v>
      </c>
      <c r="U866" s="63">
        <f t="shared" si="56"/>
        <v>-1.3112544067688239E-2</v>
      </c>
    </row>
    <row r="867" spans="1:21">
      <c r="A867" s="28">
        <v>44585</v>
      </c>
      <c r="B867" s="29">
        <v>1841.6999510000001</v>
      </c>
      <c r="C867" s="29">
        <v>23.795000080000001</v>
      </c>
      <c r="D867" s="29">
        <v>83.309997559999999</v>
      </c>
      <c r="E867" s="29">
        <v>14509.58008</v>
      </c>
      <c r="F867" s="29">
        <v>4410.1298829999996</v>
      </c>
      <c r="G867" s="29">
        <v>34364.5</v>
      </c>
      <c r="H867" s="29">
        <v>11.4032135</v>
      </c>
      <c r="I867" s="29">
        <v>9.317974091</v>
      </c>
      <c r="J867" s="29">
        <v>12.183563230000001</v>
      </c>
      <c r="L867" s="30">
        <f t="shared" si="55"/>
        <v>5.4044665002628278E-3</v>
      </c>
      <c r="M867" s="30">
        <f t="shared" si="55"/>
        <v>-2.1345690445976118E-2</v>
      </c>
      <c r="N867" s="30">
        <f t="shared" si="55"/>
        <v>-2.1494031514110445E-2</v>
      </c>
      <c r="O867" s="30">
        <f t="shared" si="55"/>
        <v>4.9298875275198828E-3</v>
      </c>
      <c r="P867" s="30">
        <f t="shared" si="55"/>
        <v>2.771739078644142E-3</v>
      </c>
      <c r="Q867" s="30">
        <f t="shared" si="55"/>
        <v>2.8929764029004268E-3</v>
      </c>
      <c r="R867" s="30">
        <f t="shared" si="54"/>
        <v>-8.5023310701082266E-4</v>
      </c>
      <c r="S867" s="30">
        <f t="shared" si="54"/>
        <v>-1.0405098996564277E-3</v>
      </c>
      <c r="T867" s="30">
        <f t="shared" si="54"/>
        <v>-1.5835850274500407E-3</v>
      </c>
      <c r="U867" s="63">
        <f t="shared" si="56"/>
        <v>-3.3747508651699775E-3</v>
      </c>
    </row>
    <row r="868" spans="1:21">
      <c r="A868" s="28">
        <v>44586</v>
      </c>
      <c r="B868" s="29">
        <v>1852.6999510000001</v>
      </c>
      <c r="C868" s="29">
        <v>23.89599991</v>
      </c>
      <c r="D868" s="29">
        <v>85.599998470000003</v>
      </c>
      <c r="E868" s="29">
        <v>14149.12012</v>
      </c>
      <c r="F868" s="29">
        <v>4356.4501950000003</v>
      </c>
      <c r="G868" s="29">
        <v>34297.730470000002</v>
      </c>
      <c r="H868" s="29">
        <v>11.383803370000001</v>
      </c>
      <c r="I868" s="29">
        <v>9.3082685470000008</v>
      </c>
      <c r="J868" s="29">
        <v>12.173901559999999</v>
      </c>
      <c r="L868" s="30">
        <f t="shared" si="55"/>
        <v>5.97274273370485E-3</v>
      </c>
      <c r="M868" s="30">
        <f t="shared" si="55"/>
        <v>4.2445820407830404E-3</v>
      </c>
      <c r="N868" s="30">
        <f t="shared" si="55"/>
        <v>2.7487708283159495E-2</v>
      </c>
      <c r="O868" s="30">
        <f t="shared" si="55"/>
        <v>-2.4842894006068317E-2</v>
      </c>
      <c r="P868" s="30">
        <f t="shared" si="55"/>
        <v>-1.2171906366504448E-2</v>
      </c>
      <c r="Q868" s="30">
        <f t="shared" si="55"/>
        <v>-1.9429798192901471E-3</v>
      </c>
      <c r="R868" s="30">
        <f t="shared" si="54"/>
        <v>-1.7021631665493642E-3</v>
      </c>
      <c r="S868" s="30">
        <f t="shared" si="54"/>
        <v>-1.041593795519713E-3</v>
      </c>
      <c r="T868" s="30">
        <f t="shared" si="54"/>
        <v>-7.9300856552466659E-4</v>
      </c>
      <c r="U868" s="63">
        <f t="shared" si="56"/>
        <v>-3.9262577856380015E-3</v>
      </c>
    </row>
    <row r="869" spans="1:21">
      <c r="A869" s="28">
        <v>44587</v>
      </c>
      <c r="B869" s="29">
        <v>1829.900024</v>
      </c>
      <c r="C869" s="29">
        <v>23.806999210000001</v>
      </c>
      <c r="D869" s="29">
        <v>87.349998470000003</v>
      </c>
      <c r="E869" s="29">
        <v>14172.759770000001</v>
      </c>
      <c r="F869" s="29">
        <v>4349.9301759999998</v>
      </c>
      <c r="G869" s="29">
        <v>34168.089840000001</v>
      </c>
      <c r="H869" s="29">
        <v>11.33528233</v>
      </c>
      <c r="I869" s="29">
        <v>9.2597360609999999</v>
      </c>
      <c r="J869" s="29">
        <v>12.115930560000001</v>
      </c>
      <c r="L869" s="30">
        <f t="shared" si="55"/>
        <v>-1.2306324608954422E-2</v>
      </c>
      <c r="M869" s="30">
        <f t="shared" si="55"/>
        <v>-3.7245020227320014E-3</v>
      </c>
      <c r="N869" s="30">
        <f t="shared" si="55"/>
        <v>2.0443925599056056E-2</v>
      </c>
      <c r="O869" s="30">
        <f t="shared" ref="O869:T931" si="57">(E869/E868)-1</f>
        <v>1.6707505342743456E-3</v>
      </c>
      <c r="P869" s="30">
        <f t="shared" si="57"/>
        <v>-1.4966357259136309E-3</v>
      </c>
      <c r="Q869" s="30">
        <f t="shared" si="57"/>
        <v>-3.7798603063079472E-3</v>
      </c>
      <c r="R869" s="30">
        <f t="shared" si="54"/>
        <v>-4.2622872534735512E-3</v>
      </c>
      <c r="S869" s="30">
        <f t="shared" si="54"/>
        <v>-5.2139112397699972E-3</v>
      </c>
      <c r="T869" s="30">
        <f t="shared" si="54"/>
        <v>-4.7619080632682609E-3</v>
      </c>
      <c r="U869" s="63">
        <f t="shared" si="56"/>
        <v>-1.3674921770156332E-3</v>
      </c>
    </row>
    <row r="870" spans="1:21">
      <c r="A870" s="28">
        <v>44588</v>
      </c>
      <c r="B870" s="29">
        <v>1793.3000489999999</v>
      </c>
      <c r="C870" s="29">
        <v>22.673000340000002</v>
      </c>
      <c r="D870" s="29">
        <v>86.61000061</v>
      </c>
      <c r="E870" s="29">
        <v>14003.110350000001</v>
      </c>
      <c r="F870" s="29">
        <v>4326.5097660000001</v>
      </c>
      <c r="G870" s="29">
        <v>34160.78125</v>
      </c>
      <c r="H870" s="29">
        <v>11.354688640000001</v>
      </c>
      <c r="I870" s="29">
        <v>9.2791490549999995</v>
      </c>
      <c r="J870" s="29">
        <v>12.135253909999999</v>
      </c>
      <c r="L870" s="30">
        <f t="shared" ref="L870:Q923" si="58">(B870/B869)-1</f>
        <v>-2.0001079031626956E-2</v>
      </c>
      <c r="M870" s="30">
        <f t="shared" si="58"/>
        <v>-4.763300321880426E-2</v>
      </c>
      <c r="N870" s="30">
        <f t="shared" si="58"/>
        <v>-8.4716413618959319E-3</v>
      </c>
      <c r="O870" s="30">
        <f t="shared" si="57"/>
        <v>-1.1970104817489613E-2</v>
      </c>
      <c r="P870" s="30">
        <f t="shared" si="57"/>
        <v>-5.3840887215196309E-3</v>
      </c>
      <c r="Q870" s="30">
        <f t="shared" si="57"/>
        <v>-2.1390104141683075E-4</v>
      </c>
      <c r="R870" s="30">
        <f t="shared" si="57"/>
        <v>1.7120270527926085E-3</v>
      </c>
      <c r="S870" s="30">
        <f t="shared" si="57"/>
        <v>2.0964953938333863E-3</v>
      </c>
      <c r="T870" s="30">
        <f t="shared" si="57"/>
        <v>1.5948713063602682E-3</v>
      </c>
      <c r="U870" s="63">
        <f t="shared" si="56"/>
        <v>-1.1545313707529346E-2</v>
      </c>
    </row>
    <row r="871" spans="1:21">
      <c r="A871" s="28">
        <v>44589</v>
      </c>
      <c r="B871" s="29">
        <v>1784.900024</v>
      </c>
      <c r="C871" s="29">
        <v>22.30200005</v>
      </c>
      <c r="D871" s="29">
        <v>86.819999690000003</v>
      </c>
      <c r="E871" s="29">
        <v>14454.610350000001</v>
      </c>
      <c r="F871" s="29">
        <v>4431.8500979999999</v>
      </c>
      <c r="G871" s="29">
        <v>34725.46875</v>
      </c>
      <c r="H871" s="29">
        <v>11.364397050000001</v>
      </c>
      <c r="I871" s="29">
        <v>9.2791490549999995</v>
      </c>
      <c r="J871" s="29">
        <v>12.144917489999999</v>
      </c>
      <c r="L871" s="30">
        <f t="shared" si="58"/>
        <v>-4.684115747771278E-3</v>
      </c>
      <c r="M871" s="30">
        <f t="shared" si="58"/>
        <v>-1.6363087568321388E-2</v>
      </c>
      <c r="N871" s="30">
        <f t="shared" si="58"/>
        <v>2.4246516397756768E-3</v>
      </c>
      <c r="O871" s="30">
        <f t="shared" si="57"/>
        <v>3.2242836678066933E-2</v>
      </c>
      <c r="P871" s="30">
        <f t="shared" si="57"/>
        <v>2.434764687874269E-2</v>
      </c>
      <c r="Q871" s="30">
        <f t="shared" si="57"/>
        <v>1.6530286467028699E-2</v>
      </c>
      <c r="R871" s="30">
        <f t="shared" si="57"/>
        <v>8.5501331721227203E-4</v>
      </c>
      <c r="S871" s="30">
        <f t="shared" si="57"/>
        <v>0</v>
      </c>
      <c r="T871" s="30">
        <f t="shared" si="57"/>
        <v>7.9632285172359651E-4</v>
      </c>
      <c r="U871" s="63">
        <f t="shared" si="56"/>
        <v>9.3129521039699015E-3</v>
      </c>
    </row>
    <row r="872" spans="1:21">
      <c r="A872" s="28">
        <v>44592</v>
      </c>
      <c r="B872" s="29">
        <v>1795</v>
      </c>
      <c r="C872" s="29">
        <v>22.395000459999999</v>
      </c>
      <c r="D872" s="29">
        <v>88.150001529999997</v>
      </c>
      <c r="E872" s="29">
        <v>14930.049800000001</v>
      </c>
      <c r="F872" s="29">
        <v>4515.5498049999997</v>
      </c>
      <c r="G872" s="29">
        <v>35131.859380000002</v>
      </c>
      <c r="H872" s="29">
        <v>11.38481331</v>
      </c>
      <c r="I872" s="29">
        <v>9.2898378370000003</v>
      </c>
      <c r="J872" s="29">
        <v>12.1391077</v>
      </c>
      <c r="L872" s="30">
        <f t="shared" si="58"/>
        <v>5.6585667904052173E-3</v>
      </c>
      <c r="M872" s="30">
        <f t="shared" si="58"/>
        <v>4.170047968410806E-3</v>
      </c>
      <c r="N872" s="30">
        <f t="shared" si="58"/>
        <v>1.5319072157900404E-2</v>
      </c>
      <c r="O872" s="30">
        <f t="shared" si="57"/>
        <v>3.2891889749210756E-2</v>
      </c>
      <c r="P872" s="30">
        <f t="shared" si="57"/>
        <v>1.8885951724263439E-2</v>
      </c>
      <c r="Q872" s="30">
        <f t="shared" si="57"/>
        <v>1.1702955917621827E-2</v>
      </c>
      <c r="R872" s="30">
        <f t="shared" si="57"/>
        <v>1.796510620860392E-3</v>
      </c>
      <c r="S872" s="30">
        <f t="shared" si="57"/>
        <v>1.151914031841228E-3</v>
      </c>
      <c r="T872" s="30">
        <f t="shared" si="57"/>
        <v>-4.7837212601753443E-4</v>
      </c>
      <c r="U872" s="63">
        <f t="shared" si="56"/>
        <v>1.2262525805370196E-2</v>
      </c>
    </row>
    <row r="873" spans="1:21">
      <c r="A873" s="28">
        <v>44593</v>
      </c>
      <c r="B873" s="29">
        <v>1800.3000489999999</v>
      </c>
      <c r="C873" s="29">
        <v>22.596000669999999</v>
      </c>
      <c r="D873" s="29">
        <v>88.199996949999999</v>
      </c>
      <c r="E873" s="29">
        <v>15019.679690000001</v>
      </c>
      <c r="F873" s="29">
        <v>4546.5400390000004</v>
      </c>
      <c r="G873" s="29">
        <v>35405.238279999998</v>
      </c>
      <c r="H873" s="29">
        <v>11.37508774</v>
      </c>
      <c r="I873" s="29">
        <v>9.2898378370000003</v>
      </c>
      <c r="J873" s="29">
        <v>12.1391077</v>
      </c>
      <c r="L873" s="30">
        <f t="shared" si="58"/>
        <v>2.9526735376044222E-3</v>
      </c>
      <c r="M873" s="30">
        <f t="shared" si="58"/>
        <v>8.975226875257647E-3</v>
      </c>
      <c r="N873" s="30">
        <f t="shared" si="58"/>
        <v>5.6716300773951289E-4</v>
      </c>
      <c r="O873" s="30">
        <f t="shared" si="57"/>
        <v>6.0033215696306819E-3</v>
      </c>
      <c r="P873" s="30">
        <f t="shared" si="57"/>
        <v>6.8630034742802604E-3</v>
      </c>
      <c r="Q873" s="30">
        <f t="shared" si="57"/>
        <v>7.7815095706441628E-3</v>
      </c>
      <c r="R873" s="30">
        <f t="shared" si="57"/>
        <v>-8.5425818897333361E-4</v>
      </c>
      <c r="S873" s="30">
        <f t="shared" si="57"/>
        <v>0</v>
      </c>
      <c r="T873" s="30">
        <f t="shared" si="57"/>
        <v>0</v>
      </c>
      <c r="U873" s="63">
        <f t="shared" si="56"/>
        <v>4.5794486094606762E-3</v>
      </c>
    </row>
    <row r="874" spans="1:21">
      <c r="A874" s="28">
        <v>44594</v>
      </c>
      <c r="B874" s="29">
        <v>1809.1999510000001</v>
      </c>
      <c r="C874" s="29">
        <v>22.711000439999999</v>
      </c>
      <c r="D874" s="29">
        <v>88.260002139999997</v>
      </c>
      <c r="E874" s="29">
        <v>15139.740229999999</v>
      </c>
      <c r="F874" s="29">
        <v>4589.3798829999996</v>
      </c>
      <c r="G874" s="29">
        <v>35629.328130000002</v>
      </c>
      <c r="H874" s="29">
        <v>11.39453316</v>
      </c>
      <c r="I874" s="29">
        <v>9.2995538710000005</v>
      </c>
      <c r="J874" s="29">
        <v>12.158467290000001</v>
      </c>
      <c r="L874" s="30">
        <f t="shared" si="58"/>
        <v>4.9435659377690122E-3</v>
      </c>
      <c r="M874" s="30">
        <f t="shared" si="58"/>
        <v>5.0893860236373989E-3</v>
      </c>
      <c r="N874" s="30">
        <f t="shared" si="58"/>
        <v>6.8033097590713965E-4</v>
      </c>
      <c r="O874" s="30">
        <f t="shared" si="57"/>
        <v>7.9935486293980507E-3</v>
      </c>
      <c r="P874" s="30">
        <f t="shared" si="57"/>
        <v>9.4225155024525442E-3</v>
      </c>
      <c r="Q874" s="30">
        <f t="shared" si="57"/>
        <v>6.3292851816956208E-3</v>
      </c>
      <c r="R874" s="30">
        <f t="shared" si="57"/>
        <v>1.7094742866572421E-3</v>
      </c>
      <c r="S874" s="30">
        <f t="shared" si="57"/>
        <v>1.0458776752058085E-3</v>
      </c>
      <c r="T874" s="30">
        <f t="shared" si="57"/>
        <v>1.5948116186497163E-3</v>
      </c>
      <c r="U874" s="63">
        <f t="shared" si="56"/>
        <v>5.4862249753511744E-3</v>
      </c>
    </row>
    <row r="875" spans="1:21">
      <c r="A875" s="28">
        <v>44595</v>
      </c>
      <c r="B875" s="29">
        <v>1803</v>
      </c>
      <c r="C875" s="29">
        <v>22.375</v>
      </c>
      <c r="D875" s="29">
        <v>90.269996640000002</v>
      </c>
      <c r="E875" s="29">
        <v>14501.110350000001</v>
      </c>
      <c r="F875" s="29">
        <v>4477.4399409999996</v>
      </c>
      <c r="G875" s="29">
        <v>35111.160159999999</v>
      </c>
      <c r="H875" s="29">
        <v>11.355644229999999</v>
      </c>
      <c r="I875" s="29">
        <v>9.2801227570000009</v>
      </c>
      <c r="J875" s="29">
        <v>12.119749069999999</v>
      </c>
      <c r="L875" s="30">
        <f t="shared" si="58"/>
        <v>-3.4269020384248838E-3</v>
      </c>
      <c r="M875" s="30">
        <f t="shared" si="58"/>
        <v>-1.4794612015779585E-2</v>
      </c>
      <c r="N875" s="30">
        <f t="shared" si="58"/>
        <v>2.2773560517387104E-2</v>
      </c>
      <c r="O875" s="30">
        <f t="shared" si="57"/>
        <v>-4.218235387781144E-2</v>
      </c>
      <c r="P875" s="30">
        <f t="shared" si="57"/>
        <v>-2.4391082205822312E-2</v>
      </c>
      <c r="Q875" s="30">
        <f t="shared" si="57"/>
        <v>-1.4543298939271976E-2</v>
      </c>
      <c r="R875" s="30">
        <f t="shared" si="57"/>
        <v>-3.4129463185484932E-3</v>
      </c>
      <c r="S875" s="30">
        <f t="shared" si="57"/>
        <v>-2.089467330319339E-3</v>
      </c>
      <c r="T875" s="30">
        <f t="shared" si="57"/>
        <v>-3.1844655314281489E-3</v>
      </c>
      <c r="U875" s="63">
        <f t="shared" si="56"/>
        <v>-1.4270345775142992E-2</v>
      </c>
    </row>
    <row r="876" spans="1:21">
      <c r="A876" s="28">
        <v>44596</v>
      </c>
      <c r="B876" s="29">
        <v>1806.599976</v>
      </c>
      <c r="C876" s="29">
        <v>22.475000380000001</v>
      </c>
      <c r="D876" s="29">
        <v>92.309997559999999</v>
      </c>
      <c r="E876" s="29">
        <v>14694.349609999999</v>
      </c>
      <c r="F876" s="29">
        <v>4500.5297849999997</v>
      </c>
      <c r="G876" s="29">
        <v>35089.738279999998</v>
      </c>
      <c r="H876" s="29">
        <v>11.277868270000001</v>
      </c>
      <c r="I876" s="29">
        <v>9.2120971679999997</v>
      </c>
      <c r="J876" s="29">
        <v>12.03262615</v>
      </c>
      <c r="L876" s="30">
        <f t="shared" si="58"/>
        <v>1.9966589018303171E-3</v>
      </c>
      <c r="M876" s="30">
        <f t="shared" si="58"/>
        <v>4.4692907262571246E-3</v>
      </c>
      <c r="N876" s="30">
        <f t="shared" si="58"/>
        <v>2.2598881089312517E-2</v>
      </c>
      <c r="O876" s="30">
        <f t="shared" si="57"/>
        <v>1.3325825080698017E-2</v>
      </c>
      <c r="P876" s="30">
        <f t="shared" si="57"/>
        <v>5.1569299207268049E-3</v>
      </c>
      <c r="Q876" s="30">
        <f t="shared" si="57"/>
        <v>-6.1011598313420734E-4</v>
      </c>
      <c r="R876" s="30">
        <f t="shared" si="57"/>
        <v>-6.8491015062381866E-3</v>
      </c>
      <c r="S876" s="30">
        <f t="shared" si="57"/>
        <v>-7.3302466768221386E-3</v>
      </c>
      <c r="T876" s="30">
        <f t="shared" si="57"/>
        <v>-7.1885085653838887E-3</v>
      </c>
      <c r="U876" s="63">
        <f t="shared" si="56"/>
        <v>3.7295613224735281E-3</v>
      </c>
    </row>
    <row r="877" spans="1:21">
      <c r="A877" s="28">
        <v>44599</v>
      </c>
      <c r="B877" s="29">
        <v>1820.599976</v>
      </c>
      <c r="C877" s="29">
        <v>23.07600021</v>
      </c>
      <c r="D877" s="29">
        <v>91.319999690000003</v>
      </c>
      <c r="E877" s="29">
        <v>14571.25</v>
      </c>
      <c r="F877" s="29">
        <v>4483.8701170000004</v>
      </c>
      <c r="G877" s="29">
        <v>35091.128909999999</v>
      </c>
      <c r="H877" s="29">
        <v>11.277868270000001</v>
      </c>
      <c r="I877" s="29">
        <v>9.2120971679999997</v>
      </c>
      <c r="J877" s="29">
        <v>12.03262615</v>
      </c>
      <c r="L877" s="30">
        <f t="shared" si="58"/>
        <v>7.749363548092969E-3</v>
      </c>
      <c r="M877" s="30">
        <f t="shared" si="58"/>
        <v>2.6740815120733785E-2</v>
      </c>
      <c r="N877" s="30">
        <f t="shared" si="58"/>
        <v>-1.0724709090762508E-2</v>
      </c>
      <c r="O877" s="30">
        <f t="shared" si="57"/>
        <v>-8.3773432147160598E-3</v>
      </c>
      <c r="P877" s="30">
        <f t="shared" si="57"/>
        <v>-3.7017126418149582E-3</v>
      </c>
      <c r="Q877" s="30">
        <f t="shared" si="57"/>
        <v>3.9630674612212147E-5</v>
      </c>
      <c r="R877" s="30">
        <f t="shared" si="57"/>
        <v>0</v>
      </c>
      <c r="S877" s="30">
        <f t="shared" si="57"/>
        <v>0</v>
      </c>
      <c r="T877" s="30">
        <f t="shared" si="57"/>
        <v>0</v>
      </c>
      <c r="U877" s="63">
        <f t="shared" si="56"/>
        <v>1.5512326815082986E-3</v>
      </c>
    </row>
    <row r="878" spans="1:21">
      <c r="A878" s="28">
        <v>44600</v>
      </c>
      <c r="B878" s="29">
        <v>1826.599976</v>
      </c>
      <c r="C878" s="29">
        <v>23.19499969</v>
      </c>
      <c r="D878" s="29">
        <v>89.36000061</v>
      </c>
      <c r="E878" s="29">
        <v>14747.030269999999</v>
      </c>
      <c r="F878" s="29">
        <v>4521.5400390000004</v>
      </c>
      <c r="G878" s="29">
        <v>35462.78125</v>
      </c>
      <c r="H878" s="29">
        <v>11.24869919</v>
      </c>
      <c r="I878" s="29">
        <v>9.1926641460000003</v>
      </c>
      <c r="J878" s="29">
        <v>12.00358486</v>
      </c>
      <c r="L878" s="30">
        <f t="shared" si="58"/>
        <v>3.2956168730609026E-3</v>
      </c>
      <c r="M878" s="30">
        <f t="shared" si="58"/>
        <v>5.1568503604204619E-3</v>
      </c>
      <c r="N878" s="30">
        <f t="shared" si="58"/>
        <v>-2.1462977295811703E-2</v>
      </c>
      <c r="O878" s="30">
        <f t="shared" si="57"/>
        <v>1.2063499699751068E-2</v>
      </c>
      <c r="P878" s="30">
        <f t="shared" si="57"/>
        <v>8.4012072198924592E-3</v>
      </c>
      <c r="Q878" s="30">
        <f t="shared" si="57"/>
        <v>1.0591062514779592E-2</v>
      </c>
      <c r="R878" s="30">
        <f t="shared" si="57"/>
        <v>-2.5864001335778042E-3</v>
      </c>
      <c r="S878" s="30">
        <f t="shared" si="57"/>
        <v>-2.1095111835667257E-3</v>
      </c>
      <c r="T878" s="30">
        <f t="shared" si="57"/>
        <v>-2.4135454420314284E-3</v>
      </c>
      <c r="U878" s="63">
        <f t="shared" si="56"/>
        <v>3.0291096238430496E-3</v>
      </c>
    </row>
    <row r="879" spans="1:21">
      <c r="A879" s="28">
        <v>44601</v>
      </c>
      <c r="B879" s="29">
        <v>1835.1999510000001</v>
      </c>
      <c r="C879" s="29">
        <v>23.336000439999999</v>
      </c>
      <c r="D879" s="29">
        <v>89.660003660000001</v>
      </c>
      <c r="E879" s="29">
        <v>15056.95996</v>
      </c>
      <c r="F879" s="29">
        <v>4587.1801759999998</v>
      </c>
      <c r="G879" s="29">
        <v>35768.058590000001</v>
      </c>
      <c r="H879" s="29">
        <v>11.2584219</v>
      </c>
      <c r="I879" s="29">
        <v>9.1926641460000003</v>
      </c>
      <c r="J879" s="29">
        <v>12.0132637</v>
      </c>
      <c r="L879" s="30">
        <f t="shared" si="58"/>
        <v>4.7081874044654359E-3</v>
      </c>
      <c r="M879" s="30">
        <f t="shared" si="58"/>
        <v>6.0789287296600936E-3</v>
      </c>
      <c r="N879" s="30">
        <f t="shared" si="58"/>
        <v>3.3572409126241265E-3</v>
      </c>
      <c r="O879" s="30">
        <f t="shared" si="57"/>
        <v>2.1016413767759978E-2</v>
      </c>
      <c r="P879" s="30">
        <f t="shared" si="57"/>
        <v>1.4517207949908295E-2</v>
      </c>
      <c r="Q879" s="30">
        <f t="shared" si="57"/>
        <v>8.6083868562902843E-3</v>
      </c>
      <c r="R879" s="30">
        <f t="shared" si="57"/>
        <v>8.6434083050623833E-4</v>
      </c>
      <c r="S879" s="30">
        <f t="shared" si="57"/>
        <v>0</v>
      </c>
      <c r="T879" s="30">
        <f t="shared" si="57"/>
        <v>8.0632911858291578E-4</v>
      </c>
      <c r="U879" s="63">
        <f t="shared" si="56"/>
        <v>8.731406726223882E-3</v>
      </c>
    </row>
    <row r="880" spans="1:21">
      <c r="A880" s="28">
        <v>44602</v>
      </c>
      <c r="B880" s="29">
        <v>1836.1999510000001</v>
      </c>
      <c r="C880" s="29">
        <v>23.518999099999998</v>
      </c>
      <c r="D880" s="29">
        <v>89.879997250000002</v>
      </c>
      <c r="E880" s="29">
        <v>14705.639649999999</v>
      </c>
      <c r="F880" s="29">
        <v>4504.080078</v>
      </c>
      <c r="G880" s="29">
        <v>35241.589840000001</v>
      </c>
      <c r="H880" s="29">
        <v>11.16119862</v>
      </c>
      <c r="I880" s="29">
        <v>9.1149244310000004</v>
      </c>
      <c r="J880" s="29">
        <v>11.906781199999999</v>
      </c>
      <c r="L880" s="30">
        <f t="shared" si="58"/>
        <v>5.448997529970967E-4</v>
      </c>
      <c r="M880" s="30">
        <f t="shared" si="58"/>
        <v>7.8419033488841272E-3</v>
      </c>
      <c r="N880" s="30">
        <f t="shared" si="58"/>
        <v>2.4536424383188038E-3</v>
      </c>
      <c r="O880" s="30">
        <f t="shared" si="57"/>
        <v>-2.3332751825953624E-2</v>
      </c>
      <c r="P880" s="30">
        <f t="shared" si="57"/>
        <v>-1.8115725742532951E-2</v>
      </c>
      <c r="Q880" s="30">
        <f t="shared" si="57"/>
        <v>-1.4718963532093676E-2</v>
      </c>
      <c r="R880" s="30">
        <f t="shared" si="57"/>
        <v>-8.6356046045849011E-3</v>
      </c>
      <c r="S880" s="30">
        <f t="shared" si="57"/>
        <v>-8.4567121963035063E-3</v>
      </c>
      <c r="T880" s="30">
        <f t="shared" si="57"/>
        <v>-8.8637444960106837E-3</v>
      </c>
      <c r="U880" s="63">
        <f t="shared" si="56"/>
        <v>-9.6037043293742304E-3</v>
      </c>
    </row>
    <row r="881" spans="1:21">
      <c r="A881" s="28">
        <v>44603</v>
      </c>
      <c r="B881" s="29">
        <v>1840.8000489999999</v>
      </c>
      <c r="C881" s="29">
        <v>23.365999219999999</v>
      </c>
      <c r="D881" s="29">
        <v>93.099998470000003</v>
      </c>
      <c r="E881" s="29">
        <v>14253.839840000001</v>
      </c>
      <c r="F881" s="29">
        <v>4418.6401370000003</v>
      </c>
      <c r="G881" s="29">
        <v>34738.058590000001</v>
      </c>
      <c r="H881" s="29">
        <v>11.22925472</v>
      </c>
      <c r="I881" s="29">
        <v>9.1635093689999998</v>
      </c>
      <c r="J881" s="29">
        <v>11.984222409999999</v>
      </c>
      <c r="L881" s="30">
        <f t="shared" si="58"/>
        <v>2.5052271662977521E-3</v>
      </c>
      <c r="M881" s="30">
        <f t="shared" si="58"/>
        <v>-6.505373776726775E-3</v>
      </c>
      <c r="N881" s="30">
        <f t="shared" si="58"/>
        <v>3.5825559841124788E-2</v>
      </c>
      <c r="O881" s="30">
        <f t="shared" si="57"/>
        <v>-3.0722894124499911E-2</v>
      </c>
      <c r="P881" s="30">
        <f t="shared" si="57"/>
        <v>-1.8969454254893825E-2</v>
      </c>
      <c r="Q881" s="30">
        <f t="shared" si="57"/>
        <v>-1.4287983382306968E-2</v>
      </c>
      <c r="R881" s="30">
        <f t="shared" si="57"/>
        <v>6.0975619480554411E-3</v>
      </c>
      <c r="S881" s="30">
        <f t="shared" si="57"/>
        <v>5.3302622932078769E-3</v>
      </c>
      <c r="T881" s="30">
        <f t="shared" si="57"/>
        <v>6.5039584333672629E-3</v>
      </c>
      <c r="U881" s="63">
        <f t="shared" si="56"/>
        <v>-6.425218813556865E-3</v>
      </c>
    </row>
    <row r="882" spans="1:21">
      <c r="A882" s="28">
        <v>44606</v>
      </c>
      <c r="B882" s="29">
        <v>1868</v>
      </c>
      <c r="C882" s="29">
        <v>23.844999309999999</v>
      </c>
      <c r="D882" s="29">
        <v>95.459999080000003</v>
      </c>
      <c r="E882" s="29">
        <v>14268.589840000001</v>
      </c>
      <c r="F882" s="29">
        <v>4401.669922</v>
      </c>
      <c r="G882" s="29">
        <v>34566.171880000002</v>
      </c>
      <c r="H882" s="29">
        <v>11.16119862</v>
      </c>
      <c r="I882" s="29">
        <v>9.1149244310000004</v>
      </c>
      <c r="J882" s="29">
        <v>11.91646385</v>
      </c>
      <c r="L882" s="30">
        <f t="shared" si="58"/>
        <v>1.4776157255523836E-2</v>
      </c>
      <c r="M882" s="30">
        <f t="shared" si="58"/>
        <v>2.0499876144393747E-2</v>
      </c>
      <c r="N882" s="30">
        <f t="shared" si="58"/>
        <v>2.5349093971902326E-2</v>
      </c>
      <c r="O882" s="30">
        <f t="shared" si="57"/>
        <v>1.0348088771565678E-3</v>
      </c>
      <c r="P882" s="30">
        <f t="shared" si="57"/>
        <v>-3.8405967614104641E-3</v>
      </c>
      <c r="Q882" s="30">
        <f t="shared" si="57"/>
        <v>-4.9480804908734743E-3</v>
      </c>
      <c r="R882" s="30">
        <f t="shared" si="57"/>
        <v>-6.0606070213001795E-3</v>
      </c>
      <c r="S882" s="30">
        <f t="shared" si="57"/>
        <v>-5.3020012359414892E-3</v>
      </c>
      <c r="T882" s="30">
        <f t="shared" si="57"/>
        <v>-5.6539805155367828E-3</v>
      </c>
      <c r="U882" s="63">
        <f t="shared" si="56"/>
        <v>3.1737417970404921E-3</v>
      </c>
    </row>
    <row r="883" spans="1:21">
      <c r="A883" s="28">
        <v>44607</v>
      </c>
      <c r="B883" s="29">
        <v>1854.8000489999999</v>
      </c>
      <c r="C883" s="29">
        <v>23.33799934</v>
      </c>
      <c r="D883" s="29">
        <v>92.069999690000003</v>
      </c>
      <c r="E883" s="29">
        <v>14620.820309999999</v>
      </c>
      <c r="F883" s="29">
        <v>4471.0698240000002</v>
      </c>
      <c r="G883" s="29">
        <v>34988.839840000001</v>
      </c>
      <c r="H883" s="29">
        <v>11.141754150000001</v>
      </c>
      <c r="I883" s="29">
        <v>9.0954904560000003</v>
      </c>
      <c r="J883" s="29">
        <v>11.88741875</v>
      </c>
      <c r="L883" s="30">
        <f t="shared" si="58"/>
        <v>-7.0663549250535862E-3</v>
      </c>
      <c r="M883" s="30">
        <f t="shared" si="58"/>
        <v>-2.126231850161453E-2</v>
      </c>
      <c r="N883" s="30">
        <f t="shared" si="58"/>
        <v>-3.5512250394628797E-2</v>
      </c>
      <c r="O883" s="30">
        <f t="shared" si="57"/>
        <v>2.4685723953783434E-2</v>
      </c>
      <c r="P883" s="30">
        <f t="shared" si="57"/>
        <v>1.5766721092177471E-2</v>
      </c>
      <c r="Q883" s="30">
        <f t="shared" si="57"/>
        <v>1.2227792000437221E-2</v>
      </c>
      <c r="R883" s="30">
        <f t="shared" si="57"/>
        <v>-1.7421489090926334E-3</v>
      </c>
      <c r="S883" s="30">
        <f t="shared" si="57"/>
        <v>-2.1321048953412136E-3</v>
      </c>
      <c r="T883" s="30">
        <f t="shared" si="57"/>
        <v>-2.4373925323492029E-3</v>
      </c>
      <c r="U883" s="63">
        <f t="shared" si="56"/>
        <v>1.2086139007645687E-3</v>
      </c>
    </row>
    <row r="884" spans="1:21">
      <c r="A884" s="28">
        <v>44608</v>
      </c>
      <c r="B884" s="29">
        <v>1870.1999510000001</v>
      </c>
      <c r="C884" s="29">
        <v>23.600999829999999</v>
      </c>
      <c r="D884" s="29">
        <v>93.660003660000001</v>
      </c>
      <c r="E884" s="29">
        <v>14603.639649999999</v>
      </c>
      <c r="F884" s="29">
        <v>4475.0097660000001</v>
      </c>
      <c r="G884" s="29">
        <v>34934.269529999998</v>
      </c>
      <c r="H884" s="29">
        <v>11.151476860000001</v>
      </c>
      <c r="I884" s="29">
        <v>9.1052083970000002</v>
      </c>
      <c r="J884" s="29">
        <v>11.88741875</v>
      </c>
      <c r="L884" s="30">
        <f t="shared" si="58"/>
        <v>8.3027289158756901E-3</v>
      </c>
      <c r="M884" s="30">
        <f t="shared" si="58"/>
        <v>1.1269196050975649E-2</v>
      </c>
      <c r="N884" s="30">
        <f t="shared" si="58"/>
        <v>1.7269512059884251E-2</v>
      </c>
      <c r="O884" s="30">
        <f t="shared" si="57"/>
        <v>-1.1750818104404592E-3</v>
      </c>
      <c r="P884" s="30">
        <f t="shared" si="57"/>
        <v>8.8120788873635725E-4</v>
      </c>
      <c r="Q884" s="30">
        <f t="shared" si="57"/>
        <v>-1.5596490266480689E-3</v>
      </c>
      <c r="R884" s="30">
        <f t="shared" si="57"/>
        <v>8.7263727677933112E-4</v>
      </c>
      <c r="S884" s="30">
        <f t="shared" si="57"/>
        <v>1.0684350719745161E-3</v>
      </c>
      <c r="T884" s="30">
        <f t="shared" si="57"/>
        <v>0</v>
      </c>
      <c r="U884" s="63">
        <f t="shared" si="56"/>
        <v>3.7443218543300001E-3</v>
      </c>
    </row>
    <row r="885" spans="1:21">
      <c r="A885" s="28">
        <v>44609</v>
      </c>
      <c r="B885" s="29">
        <v>1900.6999510000001</v>
      </c>
      <c r="C885" s="29">
        <v>23.874000550000002</v>
      </c>
      <c r="D885" s="29">
        <v>91.760002139999997</v>
      </c>
      <c r="E885" s="29">
        <v>14171.740229999999</v>
      </c>
      <c r="F885" s="29">
        <v>4380.2597660000001</v>
      </c>
      <c r="G885" s="29">
        <v>34312.03125</v>
      </c>
      <c r="H885" s="29">
        <v>11.170920369999999</v>
      </c>
      <c r="I885" s="29">
        <v>9.1149244310000004</v>
      </c>
      <c r="J885" s="29">
        <v>11.91646385</v>
      </c>
      <c r="L885" s="30">
        <f t="shared" si="58"/>
        <v>1.6308416639456924E-2</v>
      </c>
      <c r="M885" s="30">
        <f t="shared" si="58"/>
        <v>1.156733706056734E-2</v>
      </c>
      <c r="N885" s="30">
        <f t="shared" si="58"/>
        <v>-2.0286156798555055E-2</v>
      </c>
      <c r="O885" s="30">
        <f t="shared" si="57"/>
        <v>-2.9574779325645673E-2</v>
      </c>
      <c r="P885" s="30">
        <f t="shared" si="57"/>
        <v>-2.1173138150420767E-2</v>
      </c>
      <c r="Q885" s="30">
        <f t="shared" si="57"/>
        <v>-1.7811687159098755E-2</v>
      </c>
      <c r="R885" s="30">
        <f t="shared" si="57"/>
        <v>1.7435816120232595E-3</v>
      </c>
      <c r="S885" s="30">
        <f t="shared" si="57"/>
        <v>1.0670852962795241E-3</v>
      </c>
      <c r="T885" s="30">
        <f t="shared" si="57"/>
        <v>2.4433479303485051E-3</v>
      </c>
      <c r="U885" s="63">
        <f t="shared" si="56"/>
        <v>-8.9279784139627612E-3</v>
      </c>
    </row>
    <row r="886" spans="1:21">
      <c r="A886" s="28">
        <v>44610</v>
      </c>
      <c r="B886" s="29">
        <v>1898.599976</v>
      </c>
      <c r="C886" s="29">
        <v>23.990999219999999</v>
      </c>
      <c r="D886" s="29">
        <v>91.069999690000003</v>
      </c>
      <c r="E886" s="29">
        <v>14009.54004</v>
      </c>
      <c r="F886" s="29">
        <v>4348.8701170000004</v>
      </c>
      <c r="G886" s="29">
        <v>34079.179689999997</v>
      </c>
      <c r="H886" s="29">
        <v>11.19036388</v>
      </c>
      <c r="I886" s="29">
        <v>9.1343574519999997</v>
      </c>
      <c r="J886" s="29">
        <v>11.93582249</v>
      </c>
      <c r="L886" s="30">
        <f t="shared" si="58"/>
        <v>-1.1048429810792681E-3</v>
      </c>
      <c r="M886" s="30">
        <f t="shared" si="58"/>
        <v>4.9006730042986391E-3</v>
      </c>
      <c r="N886" s="30">
        <f t="shared" si="58"/>
        <v>-7.5196429153003841E-3</v>
      </c>
      <c r="O886" s="30">
        <f t="shared" si="57"/>
        <v>-1.1445326217357499E-2</v>
      </c>
      <c r="P886" s="30">
        <f t="shared" si="57"/>
        <v>-7.166161523946446E-3</v>
      </c>
      <c r="Q886" s="30">
        <f t="shared" si="57"/>
        <v>-6.7862948218783137E-3</v>
      </c>
      <c r="R886" s="30">
        <f t="shared" si="57"/>
        <v>1.7405468265816459E-3</v>
      </c>
      <c r="S886" s="30">
        <f t="shared" si="57"/>
        <v>2.1320002318294673E-3</v>
      </c>
      <c r="T886" s="30">
        <f t="shared" si="57"/>
        <v>1.6245289075416114E-3</v>
      </c>
      <c r="U886" s="63">
        <f t="shared" si="56"/>
        <v>-3.1275830777786145E-3</v>
      </c>
    </row>
    <row r="887" spans="1:21">
      <c r="A887" s="28">
        <v>44614</v>
      </c>
      <c r="B887" s="29">
        <v>1906.099976</v>
      </c>
      <c r="C887" s="29">
        <v>24.31100082</v>
      </c>
      <c r="D887" s="29">
        <v>92.349998470000003</v>
      </c>
      <c r="E887" s="29">
        <v>13870.530269999999</v>
      </c>
      <c r="F887" s="29">
        <v>4304.7597660000001</v>
      </c>
      <c r="G887" s="29">
        <v>33596.609380000002</v>
      </c>
      <c r="H887" s="29">
        <v>11.180641169999999</v>
      </c>
      <c r="I887" s="29">
        <v>9.1149244310000004</v>
      </c>
      <c r="J887" s="29">
        <v>11.92614079</v>
      </c>
      <c r="L887" s="30">
        <f t="shared" si="58"/>
        <v>3.9502792029952882E-3</v>
      </c>
      <c r="M887" s="30">
        <f t="shared" si="58"/>
        <v>1.3338402334373445E-2</v>
      </c>
      <c r="N887" s="30">
        <f t="shared" si="58"/>
        <v>1.405510908484775E-2</v>
      </c>
      <c r="O887" s="30">
        <f t="shared" si="57"/>
        <v>-9.9225077770648262E-3</v>
      </c>
      <c r="P887" s="30">
        <f t="shared" si="57"/>
        <v>-1.0142945135926285E-2</v>
      </c>
      <c r="Q887" s="30">
        <f t="shared" si="57"/>
        <v>-1.4160267776093138E-2</v>
      </c>
      <c r="R887" s="30">
        <f t="shared" si="57"/>
        <v>-8.6884663486030966E-4</v>
      </c>
      <c r="S887" s="30">
        <f t="shared" si="57"/>
        <v>-2.1274644770710172E-3</v>
      </c>
      <c r="T887" s="30">
        <f t="shared" si="57"/>
        <v>-8.1114644659896484E-4</v>
      </c>
      <c r="U887" s="63">
        <f t="shared" si="56"/>
        <v>-1.7655536903128542E-3</v>
      </c>
    </row>
    <row r="888" spans="1:21">
      <c r="A888" s="28">
        <v>44615</v>
      </c>
      <c r="B888" s="29">
        <v>1909.1999510000001</v>
      </c>
      <c r="C888" s="29">
        <v>24.55500031</v>
      </c>
      <c r="D888" s="29">
        <v>92.099998470000003</v>
      </c>
      <c r="E888" s="29">
        <v>13509.429690000001</v>
      </c>
      <c r="F888" s="29">
        <v>4225.5</v>
      </c>
      <c r="G888" s="29">
        <v>33131.761720000002</v>
      </c>
      <c r="H888" s="29">
        <v>11.13203049</v>
      </c>
      <c r="I888" s="29">
        <v>9.0760555269999994</v>
      </c>
      <c r="J888" s="29">
        <v>11.86806107</v>
      </c>
      <c r="L888" s="30">
        <f t="shared" si="58"/>
        <v>1.6263443885591311E-3</v>
      </c>
      <c r="M888" s="30">
        <f t="shared" si="58"/>
        <v>1.003658762576598E-2</v>
      </c>
      <c r="N888" s="30">
        <f t="shared" si="58"/>
        <v>-2.7070926274158635E-3</v>
      </c>
      <c r="O888" s="30">
        <f t="shared" si="57"/>
        <v>-2.6033653578551919E-2</v>
      </c>
      <c r="P888" s="30">
        <f t="shared" si="57"/>
        <v>-1.8412122930996588E-2</v>
      </c>
      <c r="Q888" s="30">
        <f t="shared" si="57"/>
        <v>-1.3836148009528704E-2</v>
      </c>
      <c r="R888" s="30">
        <f t="shared" si="57"/>
        <v>-4.3477542352787779E-3</v>
      </c>
      <c r="S888" s="30">
        <f t="shared" si="57"/>
        <v>-4.2643144541941735E-3</v>
      </c>
      <c r="T888" s="30">
        <f t="shared" si="57"/>
        <v>-4.8699508938130354E-3</v>
      </c>
      <c r="U888" s="63">
        <f t="shared" si="56"/>
        <v>-8.8948348185616203E-3</v>
      </c>
    </row>
    <row r="889" spans="1:21">
      <c r="A889" s="28">
        <v>44616</v>
      </c>
      <c r="B889" s="29">
        <v>1925.099976</v>
      </c>
      <c r="C889" s="29">
        <v>24.68600082</v>
      </c>
      <c r="D889" s="29">
        <v>92.809997559999999</v>
      </c>
      <c r="E889" s="29">
        <v>13974.66992</v>
      </c>
      <c r="F889" s="29">
        <v>4288.7001950000003</v>
      </c>
      <c r="G889" s="29">
        <v>33223.828130000002</v>
      </c>
      <c r="H889" s="29">
        <v>11.141754150000001</v>
      </c>
      <c r="I889" s="29">
        <v>9.0663375849999994</v>
      </c>
      <c r="J889" s="29">
        <v>11.86806107</v>
      </c>
      <c r="L889" s="30">
        <f t="shared" si="58"/>
        <v>8.3281088456301777E-3</v>
      </c>
      <c r="M889" s="30">
        <f t="shared" si="58"/>
        <v>5.3349830318125679E-3</v>
      </c>
      <c r="N889" s="30">
        <f t="shared" si="58"/>
        <v>7.7090021910397599E-3</v>
      </c>
      <c r="O889" s="30">
        <f t="shared" si="57"/>
        <v>3.44381843405559E-2</v>
      </c>
      <c r="P889" s="30">
        <f t="shared" si="57"/>
        <v>1.4956855993373708E-2</v>
      </c>
      <c r="Q889" s="30">
        <f t="shared" si="57"/>
        <v>2.7787960923437716E-3</v>
      </c>
      <c r="R889" s="30">
        <f t="shared" si="57"/>
        <v>8.7348485154925548E-4</v>
      </c>
      <c r="S889" s="30">
        <f t="shared" si="57"/>
        <v>-1.0707230658836275E-3</v>
      </c>
      <c r="T889" s="30">
        <f t="shared" si="57"/>
        <v>0</v>
      </c>
      <c r="U889" s="63">
        <f t="shared" si="56"/>
        <v>1.0453365767435109E-2</v>
      </c>
    </row>
    <row r="890" spans="1:21">
      <c r="A890" s="28">
        <v>44617</v>
      </c>
      <c r="B890" s="29">
        <v>1886.5</v>
      </c>
      <c r="C890" s="29">
        <v>23.99699974</v>
      </c>
      <c r="D890" s="29">
        <v>91.589996339999999</v>
      </c>
      <c r="E890" s="29">
        <v>14189.160159999999</v>
      </c>
      <c r="F890" s="29">
        <v>4384.6499020000001</v>
      </c>
      <c r="G890" s="29">
        <v>34058.75</v>
      </c>
      <c r="H890" s="29">
        <v>11.151476860000001</v>
      </c>
      <c r="I890" s="29">
        <v>9.0760555269999994</v>
      </c>
      <c r="J890" s="29">
        <v>11.88741875</v>
      </c>
      <c r="L890" s="30">
        <f t="shared" si="58"/>
        <v>-2.0050894229505678E-2</v>
      </c>
      <c r="M890" s="30">
        <f t="shared" si="58"/>
        <v>-2.7910599413161652E-2</v>
      </c>
      <c r="N890" s="30">
        <f t="shared" si="58"/>
        <v>-1.3145148713222365E-2</v>
      </c>
      <c r="O890" s="30">
        <f t="shared" si="57"/>
        <v>1.5348501340488152E-2</v>
      </c>
      <c r="P890" s="30">
        <f t="shared" si="57"/>
        <v>2.2372677649946882E-2</v>
      </c>
      <c r="Q890" s="30">
        <f t="shared" si="57"/>
        <v>2.5130212771781402E-2</v>
      </c>
      <c r="R890" s="30">
        <f t="shared" si="57"/>
        <v>8.7263727677933112E-4</v>
      </c>
      <c r="S890" s="30">
        <f t="shared" si="57"/>
        <v>1.0718707426113916E-3</v>
      </c>
      <c r="T890" s="30">
        <f t="shared" si="57"/>
        <v>1.6310735077806893E-3</v>
      </c>
      <c r="U890" s="63">
        <f t="shared" si="56"/>
        <v>3.4250534723463209E-3</v>
      </c>
    </row>
    <row r="891" spans="1:21">
      <c r="A891" s="28">
        <v>44620</v>
      </c>
      <c r="B891" s="29">
        <v>1899.400024</v>
      </c>
      <c r="C891" s="29">
        <v>24.361000059999999</v>
      </c>
      <c r="D891" s="29">
        <v>95.72000122</v>
      </c>
      <c r="E891" s="29">
        <v>14237.809569999999</v>
      </c>
      <c r="F891" s="29">
        <v>4373.9399409999996</v>
      </c>
      <c r="G891" s="29">
        <v>33892.601560000003</v>
      </c>
      <c r="H891" s="29">
        <v>11.25566006</v>
      </c>
      <c r="I891" s="29">
        <v>9.1538753509999999</v>
      </c>
      <c r="J891" s="29">
        <v>11.975663190000001</v>
      </c>
      <c r="L891" s="30">
        <f t="shared" si="58"/>
        <v>6.8380726212562415E-3</v>
      </c>
      <c r="M891" s="30">
        <f t="shared" si="58"/>
        <v>1.5168576236355813E-2</v>
      </c>
      <c r="N891" s="30">
        <f t="shared" si="58"/>
        <v>4.5092314063084116E-2</v>
      </c>
      <c r="O891" s="30">
        <f t="shared" si="57"/>
        <v>3.4286321002383602E-3</v>
      </c>
      <c r="P891" s="30">
        <f t="shared" si="57"/>
        <v>-2.4426034550935061E-3</v>
      </c>
      <c r="Q891" s="30">
        <f t="shared" si="57"/>
        <v>-4.8782894263588172E-3</v>
      </c>
      <c r="R891" s="30">
        <f t="shared" si="57"/>
        <v>9.3425472973629464E-3</v>
      </c>
      <c r="S891" s="30">
        <f t="shared" si="57"/>
        <v>8.5741899406077682E-3</v>
      </c>
      <c r="T891" s="30">
        <f t="shared" si="57"/>
        <v>7.4233474781899567E-3</v>
      </c>
      <c r="U891" s="63">
        <f t="shared" si="56"/>
        <v>7.759372087920764E-3</v>
      </c>
    </row>
    <row r="892" spans="1:21">
      <c r="A892" s="28">
        <v>44621</v>
      </c>
      <c r="B892" s="29">
        <v>1942.400024</v>
      </c>
      <c r="C892" s="29">
        <v>25.5340004</v>
      </c>
      <c r="D892" s="29">
        <v>103.4100037</v>
      </c>
      <c r="E892" s="29">
        <v>14005.990229999999</v>
      </c>
      <c r="F892" s="29">
        <v>4306.2597660000001</v>
      </c>
      <c r="G892" s="29">
        <v>33294.949220000002</v>
      </c>
      <c r="H892" s="29">
        <v>11.323816300000001</v>
      </c>
      <c r="I892" s="29">
        <v>9.1927881239999998</v>
      </c>
      <c r="J892" s="29">
        <v>12.043540950000001</v>
      </c>
      <c r="L892" s="30">
        <f t="shared" si="58"/>
        <v>2.2638727733321318E-2</v>
      </c>
      <c r="M892" s="30">
        <f t="shared" si="58"/>
        <v>4.8150746566682612E-2</v>
      </c>
      <c r="N892" s="30">
        <f t="shared" si="58"/>
        <v>8.0338512139438212E-2</v>
      </c>
      <c r="O892" s="30">
        <f t="shared" si="58"/>
        <v>-1.6281952561611579E-2</v>
      </c>
      <c r="P892" s="30">
        <f t="shared" si="58"/>
        <v>-1.5473503503234176E-2</v>
      </c>
      <c r="Q892" s="30">
        <f t="shared" si="58"/>
        <v>-1.763371097205324E-2</v>
      </c>
      <c r="R892" s="30">
        <f t="shared" si="57"/>
        <v>6.0552859305169626E-3</v>
      </c>
      <c r="S892" s="30">
        <f t="shared" si="57"/>
        <v>4.2509616427919283E-3</v>
      </c>
      <c r="T892" s="30">
        <f t="shared" si="57"/>
        <v>5.6679750359611702E-3</v>
      </c>
      <c r="U892" s="63">
        <f t="shared" si="56"/>
        <v>8.7842451283634253E-3</v>
      </c>
    </row>
    <row r="893" spans="1:21">
      <c r="A893" s="28">
        <v>44622</v>
      </c>
      <c r="B893" s="29">
        <v>1920.900024</v>
      </c>
      <c r="C893" s="29">
        <v>25.18300056</v>
      </c>
      <c r="D893" s="29">
        <v>110.5999985</v>
      </c>
      <c r="E893" s="29">
        <v>14243.690430000001</v>
      </c>
      <c r="F893" s="29">
        <v>4386.5400390000004</v>
      </c>
      <c r="G893" s="29">
        <v>33891.351560000003</v>
      </c>
      <c r="H893" s="29">
        <v>11.18750191</v>
      </c>
      <c r="I893" s="29">
        <v>9.0857830049999997</v>
      </c>
      <c r="J893" s="29">
        <v>11.90778255</v>
      </c>
      <c r="L893" s="30">
        <f t="shared" si="58"/>
        <v>-1.1068780752856888E-2</v>
      </c>
      <c r="M893" s="30">
        <f t="shared" si="58"/>
        <v>-1.3746370897683602E-2</v>
      </c>
      <c r="N893" s="30">
        <f t="shared" si="58"/>
        <v>6.9529006312181396E-2</v>
      </c>
      <c r="O893" s="30">
        <f t="shared" si="58"/>
        <v>1.6971324133217003E-2</v>
      </c>
      <c r="P893" s="30">
        <f t="shared" si="58"/>
        <v>1.8642691654101373E-2</v>
      </c>
      <c r="Q893" s="30">
        <f t="shared" si="58"/>
        <v>1.7912697089855989E-2</v>
      </c>
      <c r="R893" s="30">
        <f t="shared" si="57"/>
        <v>-1.2037848936140128E-2</v>
      </c>
      <c r="S893" s="30">
        <f t="shared" si="57"/>
        <v>-1.1640115877427526E-2</v>
      </c>
      <c r="T893" s="30">
        <f t="shared" si="57"/>
        <v>-1.1272299447779965E-2</v>
      </c>
      <c r="U893" s="63">
        <f t="shared" si="56"/>
        <v>7.7898370436123585E-3</v>
      </c>
    </row>
    <row r="894" spans="1:21">
      <c r="A894" s="28">
        <v>44623</v>
      </c>
      <c r="B894" s="29">
        <v>1934.400024</v>
      </c>
      <c r="C894" s="29">
        <v>25.204999919999999</v>
      </c>
      <c r="D894" s="29">
        <v>107.66999819999999</v>
      </c>
      <c r="E894" s="29">
        <v>14035.20996</v>
      </c>
      <c r="F894" s="29">
        <v>4363.4902339999999</v>
      </c>
      <c r="G894" s="29">
        <v>33794.660159999999</v>
      </c>
      <c r="H894" s="29">
        <v>11.216711999999999</v>
      </c>
      <c r="I894" s="29">
        <v>9.1149673460000002</v>
      </c>
      <c r="J894" s="29">
        <v>11.9368763</v>
      </c>
      <c r="L894" s="30">
        <f t="shared" si="58"/>
        <v>7.0279555579828568E-3</v>
      </c>
      <c r="M894" s="30">
        <f t="shared" si="58"/>
        <v>8.7357977646806972E-4</v>
      </c>
      <c r="N894" s="30">
        <f t="shared" si="58"/>
        <v>-2.6491865639582279E-2</v>
      </c>
      <c r="O894" s="30">
        <f t="shared" si="58"/>
        <v>-1.4636689208079146E-2</v>
      </c>
      <c r="P894" s="30">
        <f t="shared" si="58"/>
        <v>-5.2546665014039373E-3</v>
      </c>
      <c r="Q894" s="30">
        <f t="shared" si="58"/>
        <v>-2.852981529191112E-3</v>
      </c>
      <c r="R894" s="30">
        <f t="shared" si="57"/>
        <v>2.6109573196040348E-3</v>
      </c>
      <c r="S894" s="30">
        <f t="shared" si="57"/>
        <v>3.2120887086934946E-3</v>
      </c>
      <c r="T894" s="30">
        <f t="shared" si="57"/>
        <v>2.4432550626312111E-3</v>
      </c>
      <c r="U894" s="63">
        <f t="shared" si="56"/>
        <v>-4.1359635808473549E-3</v>
      </c>
    </row>
    <row r="895" spans="1:21">
      <c r="A895" s="28">
        <v>44624</v>
      </c>
      <c r="B895" s="29">
        <v>1965.099976</v>
      </c>
      <c r="C895" s="29">
        <v>25.781999590000002</v>
      </c>
      <c r="D895" s="29">
        <v>115.6800003</v>
      </c>
      <c r="E895" s="29">
        <v>13837.83008</v>
      </c>
      <c r="F895" s="29">
        <v>4328.8701170000004</v>
      </c>
      <c r="G895" s="29">
        <v>33614.800779999998</v>
      </c>
      <c r="H895" s="29">
        <v>11.27513218</v>
      </c>
      <c r="I895" s="29">
        <v>9.1538753509999999</v>
      </c>
      <c r="J895" s="29">
        <v>11.995057109999999</v>
      </c>
      <c r="L895" s="30">
        <f t="shared" si="58"/>
        <v>1.5870529166205127E-2</v>
      </c>
      <c r="M895" s="30">
        <f t="shared" si="58"/>
        <v>2.2892270257146796E-2</v>
      </c>
      <c r="N895" s="30">
        <f t="shared" si="58"/>
        <v>7.4394002358216804E-2</v>
      </c>
      <c r="O895" s="30">
        <f t="shared" si="58"/>
        <v>-1.4063193964502729E-2</v>
      </c>
      <c r="P895" s="30">
        <f t="shared" si="58"/>
        <v>-7.9340425080459687E-3</v>
      </c>
      <c r="Q895" s="30">
        <f t="shared" si="58"/>
        <v>-5.3221242394053681E-3</v>
      </c>
      <c r="R895" s="30">
        <f t="shared" si="57"/>
        <v>5.2083159485596386E-3</v>
      </c>
      <c r="S895" s="30">
        <f t="shared" si="57"/>
        <v>4.2685841345415643E-3</v>
      </c>
      <c r="T895" s="30">
        <f t="shared" si="57"/>
        <v>4.8740397854336592E-3</v>
      </c>
      <c r="U895" s="63">
        <f t="shared" si="56"/>
        <v>6.964982428525078E-3</v>
      </c>
    </row>
    <row r="896" spans="1:21">
      <c r="A896" s="28">
        <v>44627</v>
      </c>
      <c r="B896" s="29">
        <v>1993.900024</v>
      </c>
      <c r="C896" s="29">
        <v>25.71299934</v>
      </c>
      <c r="D896" s="29">
        <v>119.4000015</v>
      </c>
      <c r="E896" s="29">
        <v>13319.37988</v>
      </c>
      <c r="F896" s="29">
        <v>4201.0898440000001</v>
      </c>
      <c r="G896" s="29">
        <v>32817.378909999999</v>
      </c>
      <c r="H896" s="29">
        <v>11.226448059999999</v>
      </c>
      <c r="I896" s="29">
        <v>9.1052389139999992</v>
      </c>
      <c r="J896" s="29">
        <v>11.92717648</v>
      </c>
      <c r="L896" s="30">
        <f t="shared" si="58"/>
        <v>1.4655767315525203E-2</v>
      </c>
      <c r="M896" s="30">
        <f t="shared" si="58"/>
        <v>-2.6762955200249072E-3</v>
      </c>
      <c r="N896" s="30">
        <f t="shared" si="58"/>
        <v>3.2157686638595306E-2</v>
      </c>
      <c r="O896" s="30">
        <f t="shared" si="58"/>
        <v>-3.7466148738834582E-2</v>
      </c>
      <c r="P896" s="30">
        <f t="shared" si="58"/>
        <v>-2.9518158213662216E-2</v>
      </c>
      <c r="Q896" s="30">
        <f t="shared" si="58"/>
        <v>-2.3722344071556822E-2</v>
      </c>
      <c r="R896" s="30">
        <f t="shared" si="57"/>
        <v>-4.3178314207577007E-3</v>
      </c>
      <c r="S896" s="30">
        <f t="shared" si="57"/>
        <v>-5.3132072630514005E-3</v>
      </c>
      <c r="T896" s="30">
        <f t="shared" si="57"/>
        <v>-5.6590501718752906E-3</v>
      </c>
      <c r="U896" s="63">
        <f t="shared" si="56"/>
        <v>-1.2718604294590504E-2</v>
      </c>
    </row>
    <row r="897" spans="1:21">
      <c r="A897" s="28">
        <v>44628</v>
      </c>
      <c r="B897" s="29">
        <v>2040.099976</v>
      </c>
      <c r="C897" s="29">
        <v>26.88800049</v>
      </c>
      <c r="D897" s="29">
        <v>123.6999969</v>
      </c>
      <c r="E897" s="29">
        <v>13267.610350000001</v>
      </c>
      <c r="F897" s="29">
        <v>4170.7001950000003</v>
      </c>
      <c r="G897" s="29">
        <v>32632.640630000002</v>
      </c>
      <c r="H897" s="29">
        <v>11.158291820000001</v>
      </c>
      <c r="I897" s="29">
        <v>9.0468721389999995</v>
      </c>
      <c r="J897" s="29">
        <v>11.868996620000001</v>
      </c>
      <c r="L897" s="30">
        <f t="shared" si="58"/>
        <v>2.3170646192840483E-2</v>
      </c>
      <c r="M897" s="30">
        <f t="shared" si="58"/>
        <v>4.5696775178309501E-2</v>
      </c>
      <c r="N897" s="30">
        <f t="shared" si="58"/>
        <v>3.6013361356616036E-2</v>
      </c>
      <c r="O897" s="30">
        <f t="shared" si="58"/>
        <v>-3.8867823026607073E-3</v>
      </c>
      <c r="P897" s="30">
        <f t="shared" si="58"/>
        <v>-7.2337536516631218E-3</v>
      </c>
      <c r="Q897" s="30">
        <f t="shared" si="58"/>
        <v>-5.629281988260959E-3</v>
      </c>
      <c r="R897" s="30">
        <f t="shared" si="57"/>
        <v>-6.0710422063805503E-3</v>
      </c>
      <c r="S897" s="30">
        <f t="shared" si="57"/>
        <v>-6.4102409119937143E-3</v>
      </c>
      <c r="T897" s="30">
        <f t="shared" si="57"/>
        <v>-4.8779239661254081E-3</v>
      </c>
      <c r="U897" s="63">
        <f t="shared" si="56"/>
        <v>6.5568792284804792E-3</v>
      </c>
    </row>
    <row r="898" spans="1:21">
      <c r="A898" s="28">
        <v>44629</v>
      </c>
      <c r="B898" s="29">
        <v>1985.900024</v>
      </c>
      <c r="C898" s="29">
        <v>25.756999969999999</v>
      </c>
      <c r="D898" s="29">
        <v>108.6999969</v>
      </c>
      <c r="E898" s="29">
        <v>13742.200199999999</v>
      </c>
      <c r="F898" s="29">
        <v>4277.8798829999996</v>
      </c>
      <c r="G898" s="29">
        <v>33286.25</v>
      </c>
      <c r="H898" s="29">
        <v>11.129081729999999</v>
      </c>
      <c r="I898" s="29">
        <v>9.0274133679999995</v>
      </c>
      <c r="J898" s="29">
        <v>11.83020878</v>
      </c>
      <c r="L898" s="30">
        <f t="shared" si="58"/>
        <v>-2.6567301915403796E-2</v>
      </c>
      <c r="M898" s="30">
        <f t="shared" si="58"/>
        <v>-4.2063392568764457E-2</v>
      </c>
      <c r="N898" s="30">
        <f t="shared" si="58"/>
        <v>-0.12126111864114364</v>
      </c>
      <c r="O898" s="30">
        <f t="shared" si="58"/>
        <v>3.577055984312949E-2</v>
      </c>
      <c r="P898" s="30">
        <f t="shared" si="58"/>
        <v>2.5698248013245051E-2</v>
      </c>
      <c r="Q898" s="30">
        <f t="shared" si="58"/>
        <v>2.0029312902098306E-2</v>
      </c>
      <c r="R898" s="30">
        <f t="shared" si="57"/>
        <v>-2.6177922634758044E-3</v>
      </c>
      <c r="S898" s="30">
        <f t="shared" si="57"/>
        <v>-2.1508838304584721E-3</v>
      </c>
      <c r="T898" s="30">
        <f t="shared" si="57"/>
        <v>-3.2679965494842866E-3</v>
      </c>
      <c r="U898" s="63">
        <f t="shared" si="56"/>
        <v>-5.0505179283069678E-3</v>
      </c>
    </row>
    <row r="899" spans="1:21">
      <c r="A899" s="28">
        <v>44630</v>
      </c>
      <c r="B899" s="29">
        <v>1998.099976</v>
      </c>
      <c r="C899" s="29">
        <v>26.201999659999998</v>
      </c>
      <c r="D899" s="29">
        <v>106.0199966</v>
      </c>
      <c r="E899" s="29">
        <v>13591</v>
      </c>
      <c r="F899" s="29">
        <v>4259.5200199999999</v>
      </c>
      <c r="G899" s="29">
        <v>33174.070310000003</v>
      </c>
      <c r="H899" s="29">
        <v>11.080399509999999</v>
      </c>
      <c r="I899" s="29">
        <v>8.9885053629999998</v>
      </c>
      <c r="J899" s="29">
        <v>11.781723980000001</v>
      </c>
      <c r="L899" s="30">
        <f t="shared" si="58"/>
        <v>6.1432860932377764E-3</v>
      </c>
      <c r="M899" s="30">
        <f t="shared" si="58"/>
        <v>1.7276844761358268E-2</v>
      </c>
      <c r="N899" s="30">
        <f t="shared" si="58"/>
        <v>-2.4655017262470658E-2</v>
      </c>
      <c r="O899" s="30">
        <f t="shared" si="58"/>
        <v>-1.1002619507755385E-2</v>
      </c>
      <c r="P899" s="30">
        <f t="shared" si="58"/>
        <v>-4.2918135857344941E-3</v>
      </c>
      <c r="Q899" s="30">
        <f t="shared" si="58"/>
        <v>-3.3701510383415956E-3</v>
      </c>
      <c r="R899" s="30">
        <f t="shared" si="57"/>
        <v>-4.3743249605913137E-3</v>
      </c>
      <c r="S899" s="30">
        <f t="shared" si="57"/>
        <v>-4.3099837587939893E-3</v>
      </c>
      <c r="T899" s="30">
        <f t="shared" si="57"/>
        <v>-4.0983892086474683E-3</v>
      </c>
      <c r="U899" s="63">
        <f t="shared" si="56"/>
        <v>-2.7169211017857198E-3</v>
      </c>
    </row>
    <row r="900" spans="1:21">
      <c r="A900" s="28">
        <v>44631</v>
      </c>
      <c r="B900" s="29">
        <v>1982.6999510000001</v>
      </c>
      <c r="C900" s="29">
        <v>26.106000900000002</v>
      </c>
      <c r="D900" s="29">
        <v>109.33000180000001</v>
      </c>
      <c r="E900" s="29">
        <v>13301.83008</v>
      </c>
      <c r="F900" s="29">
        <v>4204.3100590000004</v>
      </c>
      <c r="G900" s="29">
        <v>32944.191409999999</v>
      </c>
      <c r="H900" s="29">
        <v>11.070662499999999</v>
      </c>
      <c r="I900" s="29">
        <v>8.9787750240000008</v>
      </c>
      <c r="J900" s="29">
        <v>11.77202797</v>
      </c>
      <c r="L900" s="30">
        <f t="shared" si="58"/>
        <v>-7.7073345603202448E-3</v>
      </c>
      <c r="M900" s="30">
        <f t="shared" si="58"/>
        <v>-3.663795177684448E-3</v>
      </c>
      <c r="N900" s="30">
        <f t="shared" si="58"/>
        <v>3.1220574477928364E-2</v>
      </c>
      <c r="O900" s="30">
        <f t="shared" si="58"/>
        <v>-2.1276574203517029E-2</v>
      </c>
      <c r="P900" s="30">
        <f t="shared" si="58"/>
        <v>-1.2961545136721653E-2</v>
      </c>
      <c r="Q900" s="30">
        <f t="shared" si="58"/>
        <v>-6.9294752754747169E-3</v>
      </c>
      <c r="R900" s="30">
        <f t="shared" si="57"/>
        <v>-8.7875983092600141E-4</v>
      </c>
      <c r="S900" s="30">
        <f t="shared" si="57"/>
        <v>-1.0825313672340187E-3</v>
      </c>
      <c r="T900" s="30">
        <f t="shared" si="57"/>
        <v>-8.2297039180856402E-4</v>
      </c>
      <c r="U900" s="63">
        <f t="shared" ref="U900:U963" si="59">SUMPRODUCT($L$2:$T$2,L900:T900)</f>
        <v>-5.5499224140131411E-3</v>
      </c>
    </row>
    <row r="901" spans="1:21">
      <c r="A901" s="28">
        <v>44634</v>
      </c>
      <c r="B901" s="29">
        <v>1959.599976</v>
      </c>
      <c r="C901" s="29">
        <v>25.243999479999999</v>
      </c>
      <c r="D901" s="29">
        <v>103.01000209999999</v>
      </c>
      <c r="E901" s="29">
        <v>13046.639649999999</v>
      </c>
      <c r="F901" s="29">
        <v>4173.1098629999997</v>
      </c>
      <c r="G901" s="29">
        <v>32945.238279999998</v>
      </c>
      <c r="H901" s="29">
        <v>10.9635582</v>
      </c>
      <c r="I901" s="29">
        <v>8.9009571080000001</v>
      </c>
      <c r="J901" s="29">
        <v>11.6653614</v>
      </c>
      <c r="L901" s="30">
        <f t="shared" si="58"/>
        <v>-1.1650766919295785E-2</v>
      </c>
      <c r="M901" s="30">
        <f t="shared" si="58"/>
        <v>-3.3019282551239093E-2</v>
      </c>
      <c r="N901" s="30">
        <f t="shared" si="58"/>
        <v>-5.7806636750645457E-2</v>
      </c>
      <c r="O901" s="30">
        <f t="shared" si="58"/>
        <v>-1.9184610573524941E-2</v>
      </c>
      <c r="P901" s="30">
        <f t="shared" si="58"/>
        <v>-7.4210026287694353E-3</v>
      </c>
      <c r="Q901" s="30">
        <f t="shared" si="58"/>
        <v>3.1777073747907281E-5</v>
      </c>
      <c r="R901" s="30">
        <f t="shared" si="57"/>
        <v>-9.6746061945253148E-3</v>
      </c>
      <c r="S901" s="30">
        <f t="shared" si="57"/>
        <v>-8.6668744669508024E-3</v>
      </c>
      <c r="T901" s="30">
        <f t="shared" si="57"/>
        <v>-9.0610190760530562E-3</v>
      </c>
      <c r="U901" s="63">
        <f t="shared" si="59"/>
        <v>-1.6904969595555389E-2</v>
      </c>
    </row>
    <row r="902" spans="1:21">
      <c r="A902" s="28">
        <v>44635</v>
      </c>
      <c r="B902" s="29">
        <v>1928.5</v>
      </c>
      <c r="C902" s="29">
        <v>25.122999190000002</v>
      </c>
      <c r="D902" s="29">
        <v>96.440002440000001</v>
      </c>
      <c r="E902" s="29">
        <v>13458.559569999999</v>
      </c>
      <c r="F902" s="29">
        <v>4262.4501950000003</v>
      </c>
      <c r="G902" s="29">
        <v>33544.339840000001</v>
      </c>
      <c r="H902" s="29">
        <v>10.9635582</v>
      </c>
      <c r="I902" s="29">
        <v>8.9009571080000001</v>
      </c>
      <c r="J902" s="29">
        <v>11.655664440000001</v>
      </c>
      <c r="L902" s="30">
        <f t="shared" si="58"/>
        <v>-1.5870573780819464E-2</v>
      </c>
      <c r="M902" s="30">
        <f t="shared" si="58"/>
        <v>-4.7932297770748589E-3</v>
      </c>
      <c r="N902" s="30">
        <f t="shared" si="58"/>
        <v>-6.3780210912159463E-2</v>
      </c>
      <c r="O902" s="30">
        <f t="shared" si="58"/>
        <v>3.1572874782358262E-2</v>
      </c>
      <c r="P902" s="30">
        <f t="shared" si="58"/>
        <v>2.1408574164825556E-2</v>
      </c>
      <c r="Q902" s="30">
        <f t="shared" si="58"/>
        <v>1.8184769371168752E-2</v>
      </c>
      <c r="R902" s="30">
        <f t="shared" si="57"/>
        <v>0</v>
      </c>
      <c r="S902" s="30">
        <f t="shared" si="57"/>
        <v>0</v>
      </c>
      <c r="T902" s="30">
        <f t="shared" si="57"/>
        <v>-8.3126100148078752E-4</v>
      </c>
      <c r="U902" s="63">
        <f t="shared" si="59"/>
        <v>4.2820533437810003E-3</v>
      </c>
    </row>
    <row r="903" spans="1:21">
      <c r="A903" s="28">
        <v>44636</v>
      </c>
      <c r="B903" s="29">
        <v>1908</v>
      </c>
      <c r="C903" s="29">
        <v>24.670000080000001</v>
      </c>
      <c r="D903" s="29">
        <v>95.040000919999997</v>
      </c>
      <c r="E903" s="29">
        <v>13956.79004</v>
      </c>
      <c r="F903" s="29">
        <v>4357.8598629999997</v>
      </c>
      <c r="G903" s="29">
        <v>34063.101560000003</v>
      </c>
      <c r="H903" s="29">
        <v>10.973294259999999</v>
      </c>
      <c r="I903" s="29">
        <v>8.9204111099999999</v>
      </c>
      <c r="J903" s="29">
        <v>11.68475437</v>
      </c>
      <c r="L903" s="30">
        <f t="shared" si="58"/>
        <v>-1.0630023334197602E-2</v>
      </c>
      <c r="M903" s="30">
        <f t="shared" si="58"/>
        <v>-1.8031251228169953E-2</v>
      </c>
      <c r="N903" s="30">
        <f t="shared" si="58"/>
        <v>-1.4516813402934203E-2</v>
      </c>
      <c r="O903" s="30">
        <f t="shared" si="58"/>
        <v>3.7019598375935381E-2</v>
      </c>
      <c r="P903" s="30">
        <f t="shared" si="58"/>
        <v>2.2383761366154609E-2</v>
      </c>
      <c r="Q903" s="30">
        <f t="shared" si="58"/>
        <v>1.5464955413473591E-2</v>
      </c>
      <c r="R903" s="30">
        <f t="shared" si="57"/>
        <v>8.8803833777251207E-4</v>
      </c>
      <c r="S903" s="30">
        <f t="shared" si="57"/>
        <v>2.1856078805857493E-3</v>
      </c>
      <c r="T903" s="30">
        <f t="shared" si="57"/>
        <v>2.4957762081900814E-3</v>
      </c>
      <c r="U903" s="63">
        <f t="shared" si="59"/>
        <v>7.7985146505081442E-3</v>
      </c>
    </row>
    <row r="904" spans="1:21">
      <c r="A904" s="28">
        <v>44637</v>
      </c>
      <c r="B904" s="29">
        <v>1942.099976</v>
      </c>
      <c r="C904" s="29">
        <v>25.583999630000001</v>
      </c>
      <c r="D904" s="29">
        <v>102.9800034</v>
      </c>
      <c r="E904" s="29">
        <v>14118.599609999999</v>
      </c>
      <c r="F904" s="29">
        <v>4411.669922</v>
      </c>
      <c r="G904" s="29">
        <v>34480.761720000002</v>
      </c>
      <c r="H904" s="29">
        <v>10.99276733</v>
      </c>
      <c r="I904" s="29">
        <v>8.9204111099999999</v>
      </c>
      <c r="J904" s="29">
        <v>11.7138443</v>
      </c>
      <c r="L904" s="30">
        <f t="shared" si="58"/>
        <v>1.7872104821802903E-2</v>
      </c>
      <c r="M904" s="30">
        <f t="shared" si="58"/>
        <v>3.7049029065102435E-2</v>
      </c>
      <c r="N904" s="30">
        <f t="shared" si="58"/>
        <v>8.3543796329331954E-2</v>
      </c>
      <c r="O904" s="30">
        <f t="shared" si="58"/>
        <v>1.1593609242258163E-2</v>
      </c>
      <c r="P904" s="30">
        <f t="shared" si="58"/>
        <v>1.2347817665471439E-2</v>
      </c>
      <c r="Q904" s="30">
        <f t="shared" si="58"/>
        <v>1.2261366137323648E-2</v>
      </c>
      <c r="R904" s="30">
        <f t="shared" si="57"/>
        <v>1.7745874245789217E-3</v>
      </c>
      <c r="S904" s="30">
        <f t="shared" si="57"/>
        <v>0</v>
      </c>
      <c r="T904" s="30">
        <f t="shared" si="57"/>
        <v>2.4895628165437778E-3</v>
      </c>
      <c r="U904" s="63">
        <f t="shared" si="59"/>
        <v>1.8767741557995734E-2</v>
      </c>
    </row>
    <row r="905" spans="1:21">
      <c r="A905" s="28">
        <v>44638</v>
      </c>
      <c r="B905" s="29">
        <v>1928.1999510000001</v>
      </c>
      <c r="C905" s="29">
        <v>25.05500031</v>
      </c>
      <c r="D905" s="29">
        <v>104.6999969</v>
      </c>
      <c r="E905" s="29">
        <v>14420.08008</v>
      </c>
      <c r="F905" s="29">
        <v>4463.1201170000004</v>
      </c>
      <c r="G905" s="29">
        <v>34754.929689999997</v>
      </c>
      <c r="H905" s="29">
        <v>11.02197552</v>
      </c>
      <c r="I905" s="29">
        <v>8.94959259</v>
      </c>
      <c r="J905" s="29">
        <v>11.74293613</v>
      </c>
      <c r="L905" s="30">
        <f t="shared" si="58"/>
        <v>-7.1572139291349313E-3</v>
      </c>
      <c r="M905" s="30">
        <f t="shared" si="58"/>
        <v>-2.0676959335931611E-2</v>
      </c>
      <c r="N905" s="30">
        <f t="shared" si="58"/>
        <v>1.6702208615386294E-2</v>
      </c>
      <c r="O905" s="30">
        <f t="shared" si="58"/>
        <v>2.1353425858642971E-2</v>
      </c>
      <c r="P905" s="30">
        <f t="shared" si="58"/>
        <v>1.1662294756783487E-2</v>
      </c>
      <c r="Q905" s="30">
        <f t="shared" si="58"/>
        <v>7.9513315925665573E-3</v>
      </c>
      <c r="R905" s="30">
        <f t="shared" si="57"/>
        <v>2.6570370429190859E-3</v>
      </c>
      <c r="S905" s="30">
        <f t="shared" si="57"/>
        <v>3.2713155974712915E-3</v>
      </c>
      <c r="T905" s="30">
        <f t="shared" si="57"/>
        <v>2.4835424865601308E-3</v>
      </c>
      <c r="U905" s="63">
        <f t="shared" si="59"/>
        <v>4.8036755384106844E-3</v>
      </c>
    </row>
    <row r="906" spans="1:21">
      <c r="A906" s="28">
        <v>44641</v>
      </c>
      <c r="B906" s="29">
        <v>1928.599976</v>
      </c>
      <c r="C906" s="29">
        <v>25.281999590000002</v>
      </c>
      <c r="D906" s="29">
        <v>112.1200027</v>
      </c>
      <c r="E906" s="29">
        <v>14376.089840000001</v>
      </c>
      <c r="F906" s="29">
        <v>4461.1801759999998</v>
      </c>
      <c r="G906" s="29">
        <v>34552.988279999998</v>
      </c>
      <c r="H906" s="29">
        <v>10.924609179999999</v>
      </c>
      <c r="I906" s="29">
        <v>8.871768951</v>
      </c>
      <c r="J906" s="29">
        <v>11.645967479999999</v>
      </c>
      <c r="L906" s="30">
        <f t="shared" si="58"/>
        <v>2.0746033096430416E-4</v>
      </c>
      <c r="M906" s="30">
        <f t="shared" si="58"/>
        <v>9.0600390018515942E-3</v>
      </c>
      <c r="N906" s="30">
        <f t="shared" si="58"/>
        <v>7.0869207446939253E-2</v>
      </c>
      <c r="O906" s="30">
        <f t="shared" si="58"/>
        <v>-3.0506238353704695E-3</v>
      </c>
      <c r="P906" s="30">
        <f t="shared" si="58"/>
        <v>-4.3466027109850813E-4</v>
      </c>
      <c r="Q906" s="30">
        <f t="shared" si="58"/>
        <v>-5.810439319004157E-3</v>
      </c>
      <c r="R906" s="30">
        <f t="shared" si="57"/>
        <v>-8.8338374389712593E-3</v>
      </c>
      <c r="S906" s="30">
        <f t="shared" si="57"/>
        <v>-8.6957744967025574E-3</v>
      </c>
      <c r="T906" s="30">
        <f t="shared" si="57"/>
        <v>-8.2576153805582475E-3</v>
      </c>
      <c r="U906" s="63">
        <f t="shared" si="59"/>
        <v>3.8669129043038494E-3</v>
      </c>
    </row>
    <row r="907" spans="1:21">
      <c r="A907" s="28">
        <v>44642</v>
      </c>
      <c r="B907" s="29">
        <v>1920.6999510000001</v>
      </c>
      <c r="C907" s="29">
        <v>24.885000229999999</v>
      </c>
      <c r="D907" s="29">
        <v>111.76000209999999</v>
      </c>
      <c r="E907" s="29">
        <v>14654.33008</v>
      </c>
      <c r="F907" s="29">
        <v>4511.6098629999997</v>
      </c>
      <c r="G907" s="29">
        <v>34807.460939999997</v>
      </c>
      <c r="H907" s="29">
        <v>10.885662079999999</v>
      </c>
      <c r="I907" s="29">
        <v>8.8425884250000006</v>
      </c>
      <c r="J907" s="29">
        <v>11.60717964</v>
      </c>
      <c r="L907" s="30">
        <f t="shared" si="58"/>
        <v>-4.0962486250699648E-3</v>
      </c>
      <c r="M907" s="30">
        <f t="shared" si="58"/>
        <v>-1.5702846548460103E-2</v>
      </c>
      <c r="N907" s="30">
        <f t="shared" si="58"/>
        <v>-3.210850796741993E-3</v>
      </c>
      <c r="O907" s="30">
        <f t="shared" si="58"/>
        <v>1.9354375431476889E-2</v>
      </c>
      <c r="P907" s="30">
        <f t="shared" si="58"/>
        <v>1.1304113488017853E-2</v>
      </c>
      <c r="Q907" s="30">
        <f t="shared" si="58"/>
        <v>7.3647077334637601E-3</v>
      </c>
      <c r="R907" s="30">
        <f t="shared" si="57"/>
        <v>-3.5650794786601381E-3</v>
      </c>
      <c r="S907" s="30">
        <f t="shared" si="57"/>
        <v>-3.2891440434447139E-3</v>
      </c>
      <c r="T907" s="30">
        <f t="shared" si="57"/>
        <v>-3.3305811704017474E-3</v>
      </c>
      <c r="U907" s="63">
        <f t="shared" si="59"/>
        <v>2.2237809265646794E-3</v>
      </c>
    </row>
    <row r="908" spans="1:21">
      <c r="A908" s="28">
        <v>44643</v>
      </c>
      <c r="B908" s="29">
        <v>1936.599976</v>
      </c>
      <c r="C908" s="29">
        <v>25.170000080000001</v>
      </c>
      <c r="D908" s="29">
        <v>114.9300003</v>
      </c>
      <c r="E908" s="29">
        <v>14447.549800000001</v>
      </c>
      <c r="F908" s="29">
        <v>4456.2402339999999</v>
      </c>
      <c r="G908" s="29">
        <v>34358.5</v>
      </c>
      <c r="H908" s="29">
        <v>10.94408417</v>
      </c>
      <c r="I908" s="29">
        <v>8.891227722</v>
      </c>
      <c r="J908" s="29">
        <v>11.6653614</v>
      </c>
      <c r="L908" s="30">
        <f t="shared" si="58"/>
        <v>8.2782451219003406E-3</v>
      </c>
      <c r="M908" s="30">
        <f t="shared" si="58"/>
        <v>1.1452676205179202E-2</v>
      </c>
      <c r="N908" s="30">
        <f t="shared" si="58"/>
        <v>2.8364335544335262E-2</v>
      </c>
      <c r="O908" s="30">
        <f t="shared" si="58"/>
        <v>-1.4110524252637813E-2</v>
      </c>
      <c r="P908" s="30">
        <f t="shared" si="58"/>
        <v>-1.2272698810703808E-2</v>
      </c>
      <c r="Q908" s="30">
        <f t="shared" si="58"/>
        <v>-1.289841108416101E-2</v>
      </c>
      <c r="R908" s="30">
        <f t="shared" si="57"/>
        <v>5.3668843999243876E-3</v>
      </c>
      <c r="S908" s="30">
        <f t="shared" si="57"/>
        <v>5.5005723055576716E-3</v>
      </c>
      <c r="T908" s="30">
        <f t="shared" si="57"/>
        <v>5.0125665152538357E-3</v>
      </c>
      <c r="U908" s="63">
        <f t="shared" si="59"/>
        <v>-6.5568443065798683E-5</v>
      </c>
    </row>
    <row r="909" spans="1:21">
      <c r="A909" s="28">
        <v>44644</v>
      </c>
      <c r="B909" s="29">
        <v>1961.599976</v>
      </c>
      <c r="C909" s="29">
        <v>25.899999619999999</v>
      </c>
      <c r="D909" s="29">
        <v>112.3399963</v>
      </c>
      <c r="E909" s="29">
        <v>14765.690430000001</v>
      </c>
      <c r="F909" s="29">
        <v>4520.1601559999999</v>
      </c>
      <c r="G909" s="29">
        <v>34707.941409999999</v>
      </c>
      <c r="H909" s="29">
        <v>10.89539909</v>
      </c>
      <c r="I909" s="29">
        <v>8.8523159029999992</v>
      </c>
      <c r="J909" s="29">
        <v>11.616875650000001</v>
      </c>
      <c r="L909" s="30">
        <f t="shared" si="58"/>
        <v>1.2909222508427742E-2</v>
      </c>
      <c r="M909" s="30">
        <f t="shared" si="58"/>
        <v>2.9002762720690356E-2</v>
      </c>
      <c r="N909" s="30">
        <f t="shared" si="58"/>
        <v>-2.2535491109713424E-2</v>
      </c>
      <c r="O909" s="30">
        <f t="shared" si="58"/>
        <v>2.2020386460270158E-2</v>
      </c>
      <c r="P909" s="30">
        <f t="shared" si="58"/>
        <v>1.4343912949824178E-2</v>
      </c>
      <c r="Q909" s="30">
        <f t="shared" si="58"/>
        <v>1.0170450106960383E-2</v>
      </c>
      <c r="R909" s="30">
        <f t="shared" si="57"/>
        <v>-4.4485293829753525E-3</v>
      </c>
      <c r="S909" s="30">
        <f t="shared" si="57"/>
        <v>-4.3764281173138686E-3</v>
      </c>
      <c r="T909" s="30">
        <f t="shared" si="57"/>
        <v>-4.1563864450868682E-3</v>
      </c>
      <c r="U909" s="63">
        <f t="shared" si="59"/>
        <v>9.5569361770298754E-3</v>
      </c>
    </row>
    <row r="910" spans="1:21">
      <c r="A910" s="28">
        <v>44645</v>
      </c>
      <c r="B910" s="29">
        <v>1953.8000489999999</v>
      </c>
      <c r="C910" s="29">
        <v>25.594999309999999</v>
      </c>
      <c r="D910" s="29">
        <v>113.9000015</v>
      </c>
      <c r="E910" s="29">
        <v>14754.309569999999</v>
      </c>
      <c r="F910" s="29">
        <v>4543.0600590000004</v>
      </c>
      <c r="G910" s="29">
        <v>34861.238279999998</v>
      </c>
      <c r="H910" s="29">
        <v>10.817505840000001</v>
      </c>
      <c r="I910" s="29">
        <v>8.7939500810000002</v>
      </c>
      <c r="J910" s="29">
        <v>11.539301869999999</v>
      </c>
      <c r="L910" s="30">
        <f t="shared" si="58"/>
        <v>-3.976308674261575E-3</v>
      </c>
      <c r="M910" s="30">
        <f t="shared" si="58"/>
        <v>-1.1776073917950103E-2</v>
      </c>
      <c r="N910" s="30">
        <f t="shared" si="58"/>
        <v>1.3886462981840042E-2</v>
      </c>
      <c r="O910" s="30">
        <f t="shared" si="58"/>
        <v>-7.7076382265728327E-4</v>
      </c>
      <c r="P910" s="30">
        <f t="shared" si="58"/>
        <v>5.0661707129122657E-3</v>
      </c>
      <c r="Q910" s="30">
        <f t="shared" si="58"/>
        <v>4.4167664163403675E-3</v>
      </c>
      <c r="R910" s="30">
        <f t="shared" si="57"/>
        <v>-7.1491874098940089E-3</v>
      </c>
      <c r="S910" s="30">
        <f t="shared" si="57"/>
        <v>-6.5932827792802851E-3</v>
      </c>
      <c r="T910" s="30">
        <f t="shared" si="57"/>
        <v>-6.6776801557656418E-3</v>
      </c>
      <c r="U910" s="63">
        <f t="shared" si="59"/>
        <v>-1.0990041733423097E-3</v>
      </c>
    </row>
    <row r="911" spans="1:21">
      <c r="A911" s="28">
        <v>44648</v>
      </c>
      <c r="B911" s="29">
        <v>1939.599976</v>
      </c>
      <c r="C911" s="29">
        <v>25.176000599999998</v>
      </c>
      <c r="D911" s="29">
        <v>105.9599991</v>
      </c>
      <c r="E911" s="29">
        <v>14987.400390000001</v>
      </c>
      <c r="F911" s="29">
        <v>4575.5200199999999</v>
      </c>
      <c r="G911" s="29">
        <v>34955.890630000002</v>
      </c>
      <c r="H911" s="29">
        <v>10.83697987</v>
      </c>
      <c r="I911" s="29">
        <v>8.8036756520000008</v>
      </c>
      <c r="J911" s="29">
        <v>11.54899788</v>
      </c>
      <c r="L911" s="30">
        <f t="shared" si="58"/>
        <v>-7.2679253986445147E-3</v>
      </c>
      <c r="M911" s="30">
        <f t="shared" si="58"/>
        <v>-1.6370334881638304E-2</v>
      </c>
      <c r="N911" s="30">
        <f t="shared" si="58"/>
        <v>-6.9710292321637946E-2</v>
      </c>
      <c r="O911" s="30">
        <f t="shared" si="58"/>
        <v>1.5798151644719871E-2</v>
      </c>
      <c r="P911" s="30">
        <f t="shared" si="58"/>
        <v>7.1449552897049351E-3</v>
      </c>
      <c r="Q911" s="30">
        <f t="shared" si="58"/>
        <v>2.7151172669133139E-3</v>
      </c>
      <c r="R911" s="30">
        <f t="shared" si="57"/>
        <v>1.800232908402144E-3</v>
      </c>
      <c r="S911" s="30">
        <f t="shared" si="57"/>
        <v>1.1059388455039176E-3</v>
      </c>
      <c r="T911" s="30">
        <f t="shared" si="57"/>
        <v>8.4025967161927007E-4</v>
      </c>
      <c r="U911" s="63">
        <f t="shared" si="59"/>
        <v>-3.7559615693096267E-3</v>
      </c>
    </row>
    <row r="912" spans="1:21">
      <c r="A912" s="28">
        <v>44649</v>
      </c>
      <c r="B912" s="29">
        <v>1912</v>
      </c>
      <c r="C912" s="29">
        <v>24.7159996</v>
      </c>
      <c r="D912" s="29">
        <v>104.23999790000001</v>
      </c>
      <c r="E912" s="29">
        <v>15239.320309999999</v>
      </c>
      <c r="F912" s="29">
        <v>4631.6000979999999</v>
      </c>
      <c r="G912" s="29">
        <v>35294.191409999999</v>
      </c>
      <c r="H912" s="29">
        <v>10.885662079999999</v>
      </c>
      <c r="I912" s="29">
        <v>8.8523159029999992</v>
      </c>
      <c r="J912" s="29">
        <v>11.60717964</v>
      </c>
      <c r="L912" s="30">
        <f t="shared" si="58"/>
        <v>-1.422972589271676E-2</v>
      </c>
      <c r="M912" s="30">
        <f t="shared" si="58"/>
        <v>-1.8271408843229753E-2</v>
      </c>
      <c r="N912" s="30">
        <f t="shared" si="58"/>
        <v>-1.6232552044255333E-2</v>
      </c>
      <c r="O912" s="30">
        <f t="shared" si="58"/>
        <v>1.6808780271733159E-2</v>
      </c>
      <c r="P912" s="30">
        <f t="shared" si="58"/>
        <v>1.2256547398955542E-2</v>
      </c>
      <c r="Q912" s="30">
        <f t="shared" si="58"/>
        <v>9.6779333583811855E-3</v>
      </c>
      <c r="R912" s="30">
        <f t="shared" si="57"/>
        <v>4.492230361594185E-3</v>
      </c>
      <c r="S912" s="30">
        <f t="shared" si="57"/>
        <v>5.5249935280099471E-3</v>
      </c>
      <c r="T912" s="30">
        <f t="shared" si="57"/>
        <v>5.0378189176705224E-3</v>
      </c>
      <c r="U912" s="63">
        <f t="shared" si="59"/>
        <v>2.6001604369328035E-3</v>
      </c>
    </row>
    <row r="913" spans="1:21">
      <c r="A913" s="28">
        <v>44650</v>
      </c>
      <c r="B913" s="29">
        <v>1933.5</v>
      </c>
      <c r="C913" s="29">
        <v>25.103000640000001</v>
      </c>
      <c r="D913" s="29">
        <v>107.8199997</v>
      </c>
      <c r="E913" s="29">
        <v>15071.549800000001</v>
      </c>
      <c r="F913" s="29">
        <v>4602.4501950000003</v>
      </c>
      <c r="G913" s="29">
        <v>35228.808590000001</v>
      </c>
      <c r="H913" s="29">
        <v>10.924609179999999</v>
      </c>
      <c r="I913" s="29">
        <v>8.881498337</v>
      </c>
      <c r="J913" s="29">
        <v>11.645967479999999</v>
      </c>
      <c r="L913" s="30">
        <f t="shared" si="58"/>
        <v>1.124476987447709E-2</v>
      </c>
      <c r="M913" s="30">
        <f t="shared" si="58"/>
        <v>1.5657915773716224E-2</v>
      </c>
      <c r="N913" s="30">
        <f t="shared" si="58"/>
        <v>3.4343839909075635E-2</v>
      </c>
      <c r="O913" s="30">
        <f t="shared" si="58"/>
        <v>-1.1009054642017624E-2</v>
      </c>
      <c r="P913" s="30">
        <f t="shared" si="58"/>
        <v>-6.2937003159203586E-3</v>
      </c>
      <c r="Q913" s="30">
        <f t="shared" si="58"/>
        <v>-1.8525093616813537E-3</v>
      </c>
      <c r="R913" s="30">
        <f t="shared" si="57"/>
        <v>3.5778347438835123E-3</v>
      </c>
      <c r="S913" s="30">
        <f t="shared" si="57"/>
        <v>3.2965875054358218E-3</v>
      </c>
      <c r="T913" s="30">
        <f t="shared" si="57"/>
        <v>3.3417110101692238E-3</v>
      </c>
      <c r="U913" s="63">
        <f t="shared" si="59"/>
        <v>3.1978851458578368E-3</v>
      </c>
    </row>
    <row r="914" spans="1:21">
      <c r="A914" s="28">
        <v>44651</v>
      </c>
      <c r="B914" s="29">
        <v>1949.1999510000001</v>
      </c>
      <c r="C914" s="29">
        <v>25.121000290000001</v>
      </c>
      <c r="D914" s="29">
        <v>100.2799988</v>
      </c>
      <c r="E914" s="29">
        <v>14838.490229999999</v>
      </c>
      <c r="F914" s="29">
        <v>4530.4101559999999</v>
      </c>
      <c r="G914" s="29">
        <v>34678.351560000003</v>
      </c>
      <c r="H914" s="29">
        <v>10.943142890000001</v>
      </c>
      <c r="I914" s="29">
        <v>8.9029293060000008</v>
      </c>
      <c r="J914" s="29">
        <v>11.658597950000001</v>
      </c>
      <c r="L914" s="30">
        <f t="shared" si="58"/>
        <v>8.119964313421324E-3</v>
      </c>
      <c r="M914" s="30">
        <f t="shared" si="58"/>
        <v>7.1703181058446752E-4</v>
      </c>
      <c r="N914" s="30">
        <f t="shared" si="58"/>
        <v>-6.9931375635127191E-2</v>
      </c>
      <c r="O914" s="30">
        <f t="shared" si="58"/>
        <v>-1.5463543769068888E-2</v>
      </c>
      <c r="P914" s="30">
        <f t="shared" si="58"/>
        <v>-1.5652540700660467E-2</v>
      </c>
      <c r="Q914" s="30">
        <f t="shared" si="58"/>
        <v>-1.5625195742675513E-2</v>
      </c>
      <c r="R914" s="30">
        <f t="shared" si="57"/>
        <v>1.6965101171702024E-3</v>
      </c>
      <c r="S914" s="30">
        <f t="shared" si="57"/>
        <v>2.4129902620957377E-3</v>
      </c>
      <c r="T914" s="30">
        <f t="shared" si="57"/>
        <v>1.0845359152591438E-3</v>
      </c>
      <c r="U914" s="63">
        <f t="shared" si="59"/>
        <v>-1.1350668311993677E-2</v>
      </c>
    </row>
    <row r="915" spans="1:21">
      <c r="A915" s="28">
        <v>44652</v>
      </c>
      <c r="B915" s="29">
        <v>1919.099976</v>
      </c>
      <c r="C915" s="29">
        <v>24.642000199999998</v>
      </c>
      <c r="D915" s="29">
        <v>99.269996640000002</v>
      </c>
      <c r="E915" s="29">
        <v>14861.20996</v>
      </c>
      <c r="F915" s="29">
        <v>4545.8598629999997</v>
      </c>
      <c r="G915" s="29">
        <v>34818.269529999998</v>
      </c>
      <c r="H915" s="29">
        <v>10.913882259999999</v>
      </c>
      <c r="I915" s="29">
        <v>8.873703957</v>
      </c>
      <c r="J915" s="29">
        <v>11.61973572</v>
      </c>
      <c r="L915" s="30">
        <f t="shared" si="58"/>
        <v>-1.5442220273275686E-2</v>
      </c>
      <c r="M915" s="30">
        <f t="shared" si="58"/>
        <v>-1.9067715635140536E-2</v>
      </c>
      <c r="N915" s="30">
        <f t="shared" si="58"/>
        <v>-1.0071820623117067E-2</v>
      </c>
      <c r="O915" s="30">
        <f t="shared" si="58"/>
        <v>1.5311348828512816E-3</v>
      </c>
      <c r="P915" s="30">
        <f t="shared" si="58"/>
        <v>3.4102225776486694E-3</v>
      </c>
      <c r="Q915" s="30">
        <f t="shared" si="58"/>
        <v>4.0347353235032912E-3</v>
      </c>
      <c r="R915" s="30">
        <f t="shared" si="57"/>
        <v>-2.6738780891493175E-3</v>
      </c>
      <c r="S915" s="30">
        <f t="shared" si="57"/>
        <v>-3.2826666365085577E-3</v>
      </c>
      <c r="T915" s="30">
        <f t="shared" si="57"/>
        <v>-3.3333536473827419E-3</v>
      </c>
      <c r="U915" s="63">
        <f t="shared" si="59"/>
        <v>-4.0048599682207019E-3</v>
      </c>
    </row>
    <row r="916" spans="1:21">
      <c r="A916" s="28">
        <v>44655</v>
      </c>
      <c r="B916" s="29">
        <v>1929.1999510000001</v>
      </c>
      <c r="C916" s="29">
        <v>24.583999630000001</v>
      </c>
      <c r="D916" s="29">
        <v>103.2799988</v>
      </c>
      <c r="E916" s="29">
        <v>15159.58008</v>
      </c>
      <c r="F916" s="29">
        <v>4582.6401370000003</v>
      </c>
      <c r="G916" s="29">
        <v>34921.878909999999</v>
      </c>
      <c r="H916" s="29">
        <v>10.913882259999999</v>
      </c>
      <c r="I916" s="29">
        <v>8.8834438319999993</v>
      </c>
      <c r="J916" s="29">
        <v>11.629451749999999</v>
      </c>
      <c r="L916" s="30">
        <f t="shared" si="58"/>
        <v>5.2628706822515081E-3</v>
      </c>
      <c r="M916" s="30">
        <f t="shared" si="58"/>
        <v>-2.3537281685436229E-3</v>
      </c>
      <c r="N916" s="30">
        <f t="shared" si="58"/>
        <v>4.0394905769385314E-2</v>
      </c>
      <c r="O916" s="30">
        <f t="shared" si="58"/>
        <v>2.007710817645969E-2</v>
      </c>
      <c r="P916" s="30">
        <f t="shared" si="58"/>
        <v>8.0909388121190862E-3</v>
      </c>
      <c r="Q916" s="30">
        <f t="shared" si="58"/>
        <v>2.9757188222903075E-3</v>
      </c>
      <c r="R916" s="30">
        <f t="shared" si="57"/>
        <v>0</v>
      </c>
      <c r="S916" s="30">
        <f t="shared" si="57"/>
        <v>1.0976109916667198E-3</v>
      </c>
      <c r="T916" s="30">
        <f t="shared" si="57"/>
        <v>8.361661774525242E-4</v>
      </c>
      <c r="U916" s="63">
        <f t="shared" si="59"/>
        <v>8.1310047566374583E-3</v>
      </c>
    </row>
    <row r="917" spans="1:21">
      <c r="A917" s="28">
        <v>44656</v>
      </c>
      <c r="B917" s="29">
        <v>1922.900024</v>
      </c>
      <c r="C917" s="29">
        <v>24.527999879999999</v>
      </c>
      <c r="D917" s="29">
        <v>101.9599991</v>
      </c>
      <c r="E917" s="29">
        <v>14820.639649999999</v>
      </c>
      <c r="F917" s="29">
        <v>4525.1201170000004</v>
      </c>
      <c r="G917" s="29">
        <v>34641.179689999997</v>
      </c>
      <c r="H917" s="29">
        <v>10.826101299999999</v>
      </c>
      <c r="I917" s="29">
        <v>8.8055238720000002</v>
      </c>
      <c r="J917" s="29">
        <v>11.532296179999999</v>
      </c>
      <c r="L917" s="30">
        <f t="shared" si="58"/>
        <v>-3.2655645656296528E-3</v>
      </c>
      <c r="M917" s="30">
        <f t="shared" si="58"/>
        <v>-2.2778941930858831E-3</v>
      </c>
      <c r="N917" s="30">
        <f t="shared" si="58"/>
        <v>-1.2780787328978915E-2</v>
      </c>
      <c r="O917" s="30">
        <f t="shared" si="58"/>
        <v>-2.2358167456575151E-2</v>
      </c>
      <c r="P917" s="30">
        <f t="shared" si="58"/>
        <v>-1.2551720903325236E-2</v>
      </c>
      <c r="Q917" s="30">
        <f t="shared" si="58"/>
        <v>-8.0379185989223334E-3</v>
      </c>
      <c r="R917" s="30">
        <f t="shared" si="57"/>
        <v>-8.0430554324121273E-3</v>
      </c>
      <c r="S917" s="30">
        <f t="shared" si="57"/>
        <v>-8.7713685675948616E-3</v>
      </c>
      <c r="T917" s="30">
        <f t="shared" si="57"/>
        <v>-8.3542691511661049E-3</v>
      </c>
      <c r="U917" s="63">
        <f t="shared" si="59"/>
        <v>-1.0438595068586139E-2</v>
      </c>
    </row>
    <row r="918" spans="1:21">
      <c r="A918" s="28">
        <v>44657</v>
      </c>
      <c r="B918" s="29">
        <v>1918.400024</v>
      </c>
      <c r="C918" s="29">
        <v>24.454999919999999</v>
      </c>
      <c r="D918" s="29">
        <v>96.230003359999998</v>
      </c>
      <c r="E918" s="29">
        <v>14498.889649999999</v>
      </c>
      <c r="F918" s="29">
        <v>4481.1499020000001</v>
      </c>
      <c r="G918" s="29">
        <v>34496.511720000002</v>
      </c>
      <c r="H918" s="29">
        <v>10.79684353</v>
      </c>
      <c r="I918" s="29">
        <v>8.7763004299999992</v>
      </c>
      <c r="J918" s="29">
        <v>11.50315189</v>
      </c>
      <c r="L918" s="30">
        <f t="shared" si="58"/>
        <v>-2.340215270599022E-3</v>
      </c>
      <c r="M918" s="30">
        <f t="shared" si="58"/>
        <v>-2.9761888599617592E-3</v>
      </c>
      <c r="N918" s="30">
        <f t="shared" si="58"/>
        <v>-5.6198467934274521E-2</v>
      </c>
      <c r="O918" s="30">
        <f t="shared" si="58"/>
        <v>-2.1709589302375321E-2</v>
      </c>
      <c r="P918" s="30">
        <f t="shared" si="58"/>
        <v>-9.7169166482040659E-3</v>
      </c>
      <c r="Q918" s="30">
        <f t="shared" si="58"/>
        <v>-4.1761848555567083E-3</v>
      </c>
      <c r="R918" s="30">
        <f t="shared" si="57"/>
        <v>-2.7025213591894692E-3</v>
      </c>
      <c r="S918" s="30">
        <f t="shared" si="57"/>
        <v>-3.3187624523881576E-3</v>
      </c>
      <c r="T918" s="30">
        <f t="shared" si="57"/>
        <v>-2.5271888221656269E-3</v>
      </c>
      <c r="U918" s="63">
        <f t="shared" si="59"/>
        <v>-1.1250286052384465E-2</v>
      </c>
    </row>
    <row r="919" spans="1:21">
      <c r="A919" s="28">
        <v>44658</v>
      </c>
      <c r="B919" s="29">
        <v>1933.8000489999999</v>
      </c>
      <c r="C919" s="29">
        <v>24.732999800000002</v>
      </c>
      <c r="D919" s="29">
        <v>96.02999878</v>
      </c>
      <c r="E919" s="29">
        <v>14531.809569999999</v>
      </c>
      <c r="F919" s="29">
        <v>4500.2099609999996</v>
      </c>
      <c r="G919" s="29">
        <v>34583.570310000003</v>
      </c>
      <c r="H919" s="29">
        <v>10.767583849999999</v>
      </c>
      <c r="I919" s="29">
        <v>8.7568187710000007</v>
      </c>
      <c r="J919" s="29">
        <v>11.48371983</v>
      </c>
      <c r="L919" s="30">
        <f t="shared" si="58"/>
        <v>8.0275358670449659E-3</v>
      </c>
      <c r="M919" s="30">
        <f t="shared" si="58"/>
        <v>1.1367813572252139E-2</v>
      </c>
      <c r="N919" s="30">
        <f t="shared" si="58"/>
        <v>-2.0784014654117167E-3</v>
      </c>
      <c r="O919" s="30">
        <f t="shared" si="58"/>
        <v>2.2705131768487874E-3</v>
      </c>
      <c r="P919" s="30">
        <f t="shared" si="58"/>
        <v>4.2533857194761993E-3</v>
      </c>
      <c r="Q919" s="30">
        <f t="shared" si="58"/>
        <v>2.5236925607619032E-3</v>
      </c>
      <c r="R919" s="30">
        <f t="shared" si="57"/>
        <v>-2.7100216761223317E-3</v>
      </c>
      <c r="S919" s="30">
        <f t="shared" si="57"/>
        <v>-2.2198031112750094E-3</v>
      </c>
      <c r="T919" s="30">
        <f t="shared" si="57"/>
        <v>-1.6892813539993723E-3</v>
      </c>
      <c r="U919" s="63">
        <f t="shared" si="59"/>
        <v>3.1218599832327004E-3</v>
      </c>
    </row>
    <row r="920" spans="1:21">
      <c r="A920" s="28">
        <v>44659</v>
      </c>
      <c r="B920" s="29">
        <v>1941.599976</v>
      </c>
      <c r="C920" s="29">
        <v>24.819000240000001</v>
      </c>
      <c r="D920" s="29">
        <v>98.260002139999997</v>
      </c>
      <c r="E920" s="29">
        <v>14327.259770000001</v>
      </c>
      <c r="F920" s="29">
        <v>4488.2797849999997</v>
      </c>
      <c r="G920" s="29">
        <v>34721.121090000001</v>
      </c>
      <c r="H920" s="29">
        <v>10.718816759999999</v>
      </c>
      <c r="I920" s="29">
        <v>8.7081146240000002</v>
      </c>
      <c r="J920" s="29">
        <v>11.42542648</v>
      </c>
      <c r="L920" s="30">
        <f t="shared" si="58"/>
        <v>4.0334713012513124E-3</v>
      </c>
      <c r="M920" s="30">
        <f t="shared" si="58"/>
        <v>3.477153628570262E-3</v>
      </c>
      <c r="N920" s="30">
        <f t="shared" si="58"/>
        <v>2.3221945103933939E-2</v>
      </c>
      <c r="O920" s="30">
        <f t="shared" si="58"/>
        <v>-1.4076003337002096E-2</v>
      </c>
      <c r="P920" s="30">
        <f t="shared" si="58"/>
        <v>-2.6510265306263214E-3</v>
      </c>
      <c r="Q920" s="30">
        <f t="shared" si="58"/>
        <v>3.9773446976996141E-3</v>
      </c>
      <c r="R920" s="30">
        <f t="shared" si="57"/>
        <v>-4.5290652647205221E-3</v>
      </c>
      <c r="S920" s="30">
        <f t="shared" si="57"/>
        <v>-5.5618539419011181E-3</v>
      </c>
      <c r="T920" s="30">
        <f t="shared" si="57"/>
        <v>-5.0761731270833055E-3</v>
      </c>
      <c r="U920" s="63">
        <f t="shared" si="59"/>
        <v>-1.204451531922626E-3</v>
      </c>
    </row>
    <row r="921" spans="1:21">
      <c r="A921" s="28">
        <v>44662</v>
      </c>
      <c r="B921" s="29">
        <v>1944.3000489999999</v>
      </c>
      <c r="C921" s="29">
        <v>24.978000640000001</v>
      </c>
      <c r="D921" s="29">
        <v>94.290000919999997</v>
      </c>
      <c r="E921" s="29">
        <v>13990.20996</v>
      </c>
      <c r="F921" s="29">
        <v>4412.5297849999997</v>
      </c>
      <c r="G921" s="29">
        <v>34308.078130000002</v>
      </c>
      <c r="H921" s="29">
        <v>10.66029739</v>
      </c>
      <c r="I921" s="29">
        <v>8.6691522600000006</v>
      </c>
      <c r="J921" s="29">
        <v>11.37684917</v>
      </c>
      <c r="L921" s="30">
        <f t="shared" si="58"/>
        <v>1.3906433010792973E-3</v>
      </c>
      <c r="M921" s="30">
        <f t="shared" si="58"/>
        <v>6.406398261914914E-3</v>
      </c>
      <c r="N921" s="30">
        <f t="shared" si="58"/>
        <v>-4.0403023952142569E-2</v>
      </c>
      <c r="O921" s="30">
        <f t="shared" si="58"/>
        <v>-2.3525071465916536E-2</v>
      </c>
      <c r="P921" s="30">
        <f t="shared" si="58"/>
        <v>-1.687729010414174E-2</v>
      </c>
      <c r="Q921" s="30">
        <f t="shared" si="58"/>
        <v>-1.189601450164457E-2</v>
      </c>
      <c r="R921" s="30">
        <f t="shared" si="57"/>
        <v>-5.4594990576178892E-3</v>
      </c>
      <c r="S921" s="30">
        <f t="shared" si="57"/>
        <v>-4.4742594329910679E-3</v>
      </c>
      <c r="T921" s="30">
        <f t="shared" si="57"/>
        <v>-4.2516846163278554E-3</v>
      </c>
      <c r="U921" s="63">
        <f t="shared" si="59"/>
        <v>-1.149915329752858E-2</v>
      </c>
    </row>
    <row r="922" spans="1:21">
      <c r="A922" s="28">
        <v>44663</v>
      </c>
      <c r="B922" s="29">
        <v>1972.099976</v>
      </c>
      <c r="C922" s="29">
        <v>25.725000380000001</v>
      </c>
      <c r="D922" s="29">
        <v>100.5999985</v>
      </c>
      <c r="E922" s="29">
        <v>13940.240229999999</v>
      </c>
      <c r="F922" s="29">
        <v>4397.4501950000003</v>
      </c>
      <c r="G922" s="29">
        <v>34220.359380000002</v>
      </c>
      <c r="H922" s="29">
        <v>10.6993103</v>
      </c>
      <c r="I922" s="29">
        <v>8.688632965</v>
      </c>
      <c r="J922" s="29">
        <v>11.405997279999999</v>
      </c>
      <c r="L922" s="30">
        <f t="shared" si="58"/>
        <v>1.429816710352827E-2</v>
      </c>
      <c r="M922" s="30">
        <f t="shared" si="58"/>
        <v>2.9906306384016368E-2</v>
      </c>
      <c r="N922" s="30">
        <f t="shared" si="58"/>
        <v>6.6921174233031344E-2</v>
      </c>
      <c r="O922" s="30">
        <f t="shared" si="58"/>
        <v>-3.5717641224021213E-3</v>
      </c>
      <c r="P922" s="30">
        <f t="shared" si="58"/>
        <v>-3.4174477532732395E-3</v>
      </c>
      <c r="Q922" s="30">
        <f t="shared" si="58"/>
        <v>-2.5567957979930611E-3</v>
      </c>
      <c r="R922" s="30">
        <f t="shared" si="57"/>
        <v>3.6596455589126275E-3</v>
      </c>
      <c r="S922" s="30">
        <f t="shared" si="57"/>
        <v>2.2471291789261105E-3</v>
      </c>
      <c r="T922" s="30">
        <f t="shared" si="57"/>
        <v>2.5620547099156621E-3</v>
      </c>
      <c r="U922" s="63">
        <f t="shared" si="59"/>
        <v>9.5202763506318615E-3</v>
      </c>
    </row>
    <row r="923" spans="1:21">
      <c r="A923" s="28">
        <v>44664</v>
      </c>
      <c r="B923" s="29">
        <v>1981</v>
      </c>
      <c r="C923" s="29">
        <v>26.020000459999999</v>
      </c>
      <c r="D923" s="29">
        <v>104.25</v>
      </c>
      <c r="E923" s="29">
        <v>14217.29004</v>
      </c>
      <c r="F923" s="29">
        <v>4446.5898440000001</v>
      </c>
      <c r="G923" s="29">
        <v>34564.589840000001</v>
      </c>
      <c r="H923" s="29">
        <v>10.6993103</v>
      </c>
      <c r="I923" s="29">
        <v>8.6983747480000009</v>
      </c>
      <c r="J923" s="29">
        <v>11.405997279999999</v>
      </c>
      <c r="L923" s="30">
        <f t="shared" si="58"/>
        <v>4.5129679571580539E-3</v>
      </c>
      <c r="M923" s="30">
        <f t="shared" si="58"/>
        <v>1.1467447060927727E-2</v>
      </c>
      <c r="N923" s="30">
        <f t="shared" si="58"/>
        <v>3.6282321614547586E-2</v>
      </c>
      <c r="O923" s="30">
        <f t="shared" ref="L923:T954" si="60">(E923/E922)-1</f>
        <v>1.987410585678262E-2</v>
      </c>
      <c r="P923" s="30">
        <f t="shared" si="60"/>
        <v>1.1174577725945101E-2</v>
      </c>
      <c r="Q923" s="30">
        <f t="shared" si="60"/>
        <v>1.0059229833839334E-2</v>
      </c>
      <c r="R923" s="30">
        <f t="shared" si="57"/>
        <v>0</v>
      </c>
      <c r="S923" s="30">
        <f t="shared" si="57"/>
        <v>1.1212100959083759E-3</v>
      </c>
      <c r="T923" s="30">
        <f t="shared" si="57"/>
        <v>0</v>
      </c>
      <c r="U923" s="63">
        <f t="shared" si="59"/>
        <v>1.092142468525603E-2</v>
      </c>
    </row>
    <row r="924" spans="1:21">
      <c r="A924" s="28">
        <v>44665</v>
      </c>
      <c r="B924" s="29">
        <v>1970.900024</v>
      </c>
      <c r="C924" s="29">
        <v>25.690000529999999</v>
      </c>
      <c r="D924" s="29">
        <v>106.9499969</v>
      </c>
      <c r="E924" s="29">
        <v>13893.20996</v>
      </c>
      <c r="F924" s="29">
        <v>4392.5898440000001</v>
      </c>
      <c r="G924" s="29">
        <v>34451.230470000002</v>
      </c>
      <c r="H924" s="29">
        <v>10.62128448</v>
      </c>
      <c r="I924" s="29">
        <v>8.6399297710000003</v>
      </c>
      <c r="J924" s="29">
        <v>11.33798599</v>
      </c>
      <c r="L924" s="30">
        <f t="shared" si="60"/>
        <v>-5.0984230186774671E-3</v>
      </c>
      <c r="M924" s="30">
        <f t="shared" si="60"/>
        <v>-1.2682548968717455E-2</v>
      </c>
      <c r="N924" s="30">
        <f t="shared" si="60"/>
        <v>2.5899250839328536E-2</v>
      </c>
      <c r="O924" s="30">
        <f t="shared" si="60"/>
        <v>-2.279478572134408E-2</v>
      </c>
      <c r="P924" s="30">
        <f t="shared" si="60"/>
        <v>-1.2144137843715153E-2</v>
      </c>
      <c r="Q924" s="30">
        <f t="shared" si="60"/>
        <v>-3.2796388015811084E-3</v>
      </c>
      <c r="R924" s="30">
        <f t="shared" si="57"/>
        <v>-7.2926027764612655E-3</v>
      </c>
      <c r="S924" s="30">
        <f t="shared" si="57"/>
        <v>-6.7190686413504119E-3</v>
      </c>
      <c r="T924" s="30">
        <f t="shared" si="57"/>
        <v>-5.9627657565073378E-3</v>
      </c>
      <c r="U924" s="63">
        <f t="shared" si="59"/>
        <v>-8.4569184921341068E-3</v>
      </c>
    </row>
    <row r="925" spans="1:21">
      <c r="A925" s="28">
        <v>44669</v>
      </c>
      <c r="B925" s="29">
        <v>1982.900024</v>
      </c>
      <c r="C925" s="29">
        <v>26.13999939</v>
      </c>
      <c r="D925" s="29">
        <v>108.2099991</v>
      </c>
      <c r="E925" s="29">
        <v>13910.759770000001</v>
      </c>
      <c r="F925" s="29">
        <v>4391.6899409999996</v>
      </c>
      <c r="G925" s="29">
        <v>34411.691409999999</v>
      </c>
      <c r="H925" s="29">
        <v>10.60177803</v>
      </c>
      <c r="I925" s="29">
        <v>8.6107110979999995</v>
      </c>
      <c r="J925" s="29">
        <v>11.308839799999999</v>
      </c>
      <c r="L925" s="30">
        <f t="shared" si="60"/>
        <v>6.0885888953645662E-3</v>
      </c>
      <c r="M925" s="30">
        <f t="shared" si="60"/>
        <v>1.7516498665482994E-2</v>
      </c>
      <c r="N925" s="30">
        <f t="shared" si="60"/>
        <v>1.1781227082952928E-2</v>
      </c>
      <c r="O925" s="30">
        <f t="shared" si="60"/>
        <v>1.2631933189326539E-3</v>
      </c>
      <c r="P925" s="30">
        <f t="shared" si="60"/>
        <v>-2.0486843342082395E-4</v>
      </c>
      <c r="Q925" s="30">
        <f t="shared" si="60"/>
        <v>-1.1476820845175428E-3</v>
      </c>
      <c r="R925" s="30">
        <f t="shared" si="57"/>
        <v>-1.8365434083542631E-3</v>
      </c>
      <c r="S925" s="30">
        <f t="shared" si="57"/>
        <v>-3.3818183451066464E-3</v>
      </c>
      <c r="T925" s="30">
        <f t="shared" si="57"/>
        <v>-2.5706673147865011E-3</v>
      </c>
      <c r="U925" s="63">
        <f t="shared" si="59"/>
        <v>3.1820377281135842E-3</v>
      </c>
    </row>
    <row r="926" spans="1:21">
      <c r="A926" s="28">
        <v>44670</v>
      </c>
      <c r="B926" s="29">
        <v>1955.6999510000001</v>
      </c>
      <c r="C926" s="29">
        <v>25.39100075</v>
      </c>
      <c r="D926" s="29">
        <v>102.5599976</v>
      </c>
      <c r="E926" s="29">
        <v>14210.259770000001</v>
      </c>
      <c r="F926" s="29">
        <v>4462.2099609999996</v>
      </c>
      <c r="G926" s="29">
        <v>34911.199220000002</v>
      </c>
      <c r="H926" s="29">
        <v>10.533506389999999</v>
      </c>
      <c r="I926" s="29">
        <v>8.5620079039999997</v>
      </c>
      <c r="J926" s="29">
        <v>11.24083042</v>
      </c>
      <c r="L926" s="30">
        <f t="shared" si="60"/>
        <v>-1.3717319416402418E-2</v>
      </c>
      <c r="M926" s="30">
        <f t="shared" si="60"/>
        <v>-2.8653353384795133E-2</v>
      </c>
      <c r="N926" s="30">
        <f t="shared" si="60"/>
        <v>-5.2213303271342548E-2</v>
      </c>
      <c r="O926" s="30">
        <f t="shared" si="60"/>
        <v>2.1530096483004746E-2</v>
      </c>
      <c r="P926" s="30">
        <f t="shared" si="60"/>
        <v>1.6057604463748154E-2</v>
      </c>
      <c r="Q926" s="30">
        <f t="shared" si="60"/>
        <v>1.4515642490471992E-2</v>
      </c>
      <c r="R926" s="30">
        <f t="shared" si="57"/>
        <v>-6.4396405779116872E-3</v>
      </c>
      <c r="S926" s="30">
        <f t="shared" si="57"/>
        <v>-5.6561175314907564E-3</v>
      </c>
      <c r="T926" s="30">
        <f t="shared" si="57"/>
        <v>-6.0138246896025427E-3</v>
      </c>
      <c r="U926" s="63">
        <f t="shared" si="59"/>
        <v>-2.7294341840597711E-3</v>
      </c>
    </row>
    <row r="927" spans="1:21">
      <c r="A927" s="28">
        <v>44671</v>
      </c>
      <c r="B927" s="29">
        <v>1952.3000489999999</v>
      </c>
      <c r="C927" s="29">
        <v>25.270000459999999</v>
      </c>
      <c r="D927" s="29">
        <v>102.75</v>
      </c>
      <c r="E927" s="29">
        <v>13998.530269999999</v>
      </c>
      <c r="F927" s="29">
        <v>4459.4501950000003</v>
      </c>
      <c r="G927" s="29">
        <v>35160.789060000003</v>
      </c>
      <c r="H927" s="29">
        <v>10.592024800000001</v>
      </c>
      <c r="I927" s="29">
        <v>8.6009693150000004</v>
      </c>
      <c r="J927" s="29">
        <v>11.29912472</v>
      </c>
      <c r="L927" s="30">
        <f t="shared" si="60"/>
        <v>-1.7384578847392529E-3</v>
      </c>
      <c r="M927" s="30">
        <f t="shared" si="60"/>
        <v>-4.7654793598476131E-3</v>
      </c>
      <c r="N927" s="30">
        <f t="shared" si="60"/>
        <v>1.8525975472527545E-3</v>
      </c>
      <c r="O927" s="30">
        <f t="shared" si="60"/>
        <v>-1.4899762807080719E-2</v>
      </c>
      <c r="P927" s="30">
        <f t="shared" si="60"/>
        <v>-6.1847515561119781E-4</v>
      </c>
      <c r="Q927" s="30">
        <f t="shared" si="60"/>
        <v>7.1492771825785173E-3</v>
      </c>
      <c r="R927" s="30">
        <f t="shared" si="57"/>
        <v>5.5554539802202818E-3</v>
      </c>
      <c r="S927" s="30">
        <f t="shared" si="57"/>
        <v>4.5504993030662799E-3</v>
      </c>
      <c r="T927" s="30">
        <f t="shared" si="57"/>
        <v>5.1859424812850108E-3</v>
      </c>
      <c r="U927" s="63">
        <f t="shared" si="59"/>
        <v>-1.0928153951902362E-3</v>
      </c>
    </row>
    <row r="928" spans="1:21">
      <c r="A928" s="28">
        <v>44672</v>
      </c>
      <c r="B928" s="29">
        <v>1944.900024</v>
      </c>
      <c r="C928" s="29">
        <v>24.621000290000001</v>
      </c>
      <c r="D928" s="29">
        <v>103.7900009</v>
      </c>
      <c r="E928" s="29">
        <v>13720.450199999999</v>
      </c>
      <c r="F928" s="29">
        <v>4393.6601559999999</v>
      </c>
      <c r="G928" s="29">
        <v>34792.761720000002</v>
      </c>
      <c r="H928" s="29">
        <v>10.543260569999999</v>
      </c>
      <c r="I928" s="29">
        <v>8.5522642139999991</v>
      </c>
      <c r="J928" s="29">
        <v>11.24083042</v>
      </c>
      <c r="L928" s="30">
        <f t="shared" si="60"/>
        <v>-3.7904137756848977E-3</v>
      </c>
      <c r="M928" s="30">
        <f t="shared" si="60"/>
        <v>-2.5682633881519035E-2</v>
      </c>
      <c r="N928" s="30">
        <f t="shared" si="60"/>
        <v>1.0121663260340696E-2</v>
      </c>
      <c r="O928" s="30">
        <f t="shared" si="60"/>
        <v>-1.9864947579243286E-2</v>
      </c>
      <c r="P928" s="30">
        <f t="shared" si="60"/>
        <v>-1.475294848539066E-2</v>
      </c>
      <c r="Q928" s="30">
        <f t="shared" si="60"/>
        <v>-1.0466981823757715E-2</v>
      </c>
      <c r="R928" s="30">
        <f t="shared" si="57"/>
        <v>-4.6038628988105401E-3</v>
      </c>
      <c r="S928" s="30">
        <f t="shared" si="57"/>
        <v>-5.6627455832286566E-3</v>
      </c>
      <c r="T928" s="30">
        <f t="shared" si="57"/>
        <v>-5.1591872330443156E-3</v>
      </c>
      <c r="U928" s="63">
        <f t="shared" si="59"/>
        <v>-1.1909911606004521E-2</v>
      </c>
    </row>
    <row r="929" spans="1:21">
      <c r="A929" s="28">
        <v>44673</v>
      </c>
      <c r="B929" s="29">
        <v>1931</v>
      </c>
      <c r="C929" s="29">
        <v>24.256999969999999</v>
      </c>
      <c r="D929" s="29">
        <v>102.0699997</v>
      </c>
      <c r="E929" s="29">
        <v>13356.87012</v>
      </c>
      <c r="F929" s="29">
        <v>4271.7797849999997</v>
      </c>
      <c r="G929" s="29">
        <v>33811.398439999997</v>
      </c>
      <c r="H929" s="29">
        <v>10.51399803</v>
      </c>
      <c r="I929" s="29">
        <v>8.5327854159999994</v>
      </c>
      <c r="J929" s="29">
        <v>11.22140121</v>
      </c>
      <c r="L929" s="30">
        <f t="shared" si="60"/>
        <v>-7.1469092644733667E-3</v>
      </c>
      <c r="M929" s="30">
        <f t="shared" si="60"/>
        <v>-1.4784140193842776E-2</v>
      </c>
      <c r="N929" s="30">
        <f t="shared" si="60"/>
        <v>-1.6571935495570456E-2</v>
      </c>
      <c r="O929" s="30">
        <f t="shared" si="60"/>
        <v>-2.6499136303851034E-2</v>
      </c>
      <c r="P929" s="30">
        <f t="shared" si="60"/>
        <v>-2.7740054230994571E-2</v>
      </c>
      <c r="Q929" s="30">
        <f t="shared" si="60"/>
        <v>-2.820596099549888E-2</v>
      </c>
      <c r="R929" s="30">
        <f t="shared" si="57"/>
        <v>-2.7754734700633499E-3</v>
      </c>
      <c r="S929" s="30">
        <f t="shared" si="57"/>
        <v>-2.2776188284867604E-3</v>
      </c>
      <c r="T929" s="30">
        <f t="shared" si="57"/>
        <v>-1.7284497029179668E-3</v>
      </c>
      <c r="U929" s="63">
        <f t="shared" si="59"/>
        <v>-1.6925683739332398E-2</v>
      </c>
    </row>
    <row r="930" spans="1:21">
      <c r="A930" s="28">
        <v>44676</v>
      </c>
      <c r="B930" s="29">
        <v>1893.1999510000001</v>
      </c>
      <c r="C930" s="29">
        <v>23.667999269999999</v>
      </c>
      <c r="D930" s="29">
        <v>98.540000919999997</v>
      </c>
      <c r="E930" s="29">
        <v>13533.219730000001</v>
      </c>
      <c r="F930" s="29">
        <v>4296.1201170000004</v>
      </c>
      <c r="G930" s="29">
        <v>34049.460939999997</v>
      </c>
      <c r="H930" s="29">
        <v>10.562766079999999</v>
      </c>
      <c r="I930" s="29">
        <v>8.5717449190000004</v>
      </c>
      <c r="J930" s="29">
        <v>11.26997948</v>
      </c>
      <c r="L930" s="30">
        <f t="shared" si="60"/>
        <v>-1.9575374935266621E-2</v>
      </c>
      <c r="M930" s="30">
        <f t="shared" si="60"/>
        <v>-2.4281679545221979E-2</v>
      </c>
      <c r="N930" s="30">
        <f t="shared" si="60"/>
        <v>-3.4584097093908417E-2</v>
      </c>
      <c r="O930" s="30">
        <f t="shared" si="60"/>
        <v>1.3202914186905446E-2</v>
      </c>
      <c r="P930" s="30">
        <f t="shared" si="60"/>
        <v>5.6979369782752531E-3</v>
      </c>
      <c r="Q930" s="30">
        <f t="shared" si="60"/>
        <v>7.040894816061849E-3</v>
      </c>
      <c r="R930" s="30">
        <f t="shared" si="57"/>
        <v>4.6383925373438828E-3</v>
      </c>
      <c r="S930" s="30">
        <f t="shared" si="57"/>
        <v>4.5658599273981082E-3</v>
      </c>
      <c r="T930" s="30">
        <f t="shared" si="57"/>
        <v>4.3290734455434521E-3</v>
      </c>
      <c r="U930" s="63">
        <f t="shared" si="59"/>
        <v>-2.7230554698358467E-3</v>
      </c>
    </row>
    <row r="931" spans="1:21">
      <c r="A931" s="28">
        <v>44677</v>
      </c>
      <c r="B931" s="29">
        <v>1901.400024</v>
      </c>
      <c r="C931" s="29">
        <v>23.541999820000001</v>
      </c>
      <c r="D931" s="29">
        <v>101.6999969</v>
      </c>
      <c r="E931" s="29">
        <v>13009.70996</v>
      </c>
      <c r="F931" s="29">
        <v>4175.2001950000003</v>
      </c>
      <c r="G931" s="29">
        <v>33240.179689999997</v>
      </c>
      <c r="H931" s="29">
        <v>10.61153126</v>
      </c>
      <c r="I931" s="29">
        <v>8.6107110979999995</v>
      </c>
      <c r="J931" s="29">
        <v>11.318555829999999</v>
      </c>
      <c r="L931" s="30">
        <f t="shared" si="60"/>
        <v>4.3313296071387786E-3</v>
      </c>
      <c r="M931" s="30">
        <f t="shared" si="60"/>
        <v>-5.3236206644516892E-3</v>
      </c>
      <c r="N931" s="30">
        <f t="shared" si="60"/>
        <v>3.2068154561571971E-2</v>
      </c>
      <c r="O931" s="30">
        <f t="shared" si="60"/>
        <v>-3.8683312651718871E-2</v>
      </c>
      <c r="P931" s="30">
        <f t="shared" si="60"/>
        <v>-2.8146308461328373E-2</v>
      </c>
      <c r="Q931" s="30">
        <f t="shared" si="60"/>
        <v>-2.3767813870124721E-2</v>
      </c>
      <c r="R931" s="30">
        <f t="shared" si="57"/>
        <v>4.6167054756929282E-3</v>
      </c>
      <c r="S931" s="30">
        <f t="shared" si="57"/>
        <v>4.5458864406506816E-3</v>
      </c>
      <c r="T931" s="30">
        <f t="shared" si="57"/>
        <v>4.3102429854644519E-3</v>
      </c>
      <c r="U931" s="63">
        <f t="shared" si="59"/>
        <v>-1.0839247354548479E-2</v>
      </c>
    </row>
    <row r="932" spans="1:21">
      <c r="A932" s="28">
        <v>44678</v>
      </c>
      <c r="B932" s="29">
        <v>1885.900024</v>
      </c>
      <c r="C932" s="29">
        <v>23.458000179999999</v>
      </c>
      <c r="D932" s="29">
        <v>102.0199966</v>
      </c>
      <c r="E932" s="29">
        <v>13003.360350000001</v>
      </c>
      <c r="F932" s="29">
        <v>4183.9599609999996</v>
      </c>
      <c r="G932" s="29">
        <v>33301.929689999997</v>
      </c>
      <c r="H932" s="29">
        <v>10.582272529999999</v>
      </c>
      <c r="I932" s="29">
        <v>8.5814857480000004</v>
      </c>
      <c r="J932" s="29">
        <v>11.2796936</v>
      </c>
      <c r="L932" s="30">
        <f t="shared" si="60"/>
        <v>-8.151887979570116E-3</v>
      </c>
      <c r="M932" s="30">
        <f t="shared" si="60"/>
        <v>-3.5680758067392349E-3</v>
      </c>
      <c r="N932" s="30">
        <f t="shared" si="60"/>
        <v>3.1465064872582271E-3</v>
      </c>
      <c r="O932" s="30">
        <f t="shared" si="60"/>
        <v>-4.8806699146419774E-4</v>
      </c>
      <c r="P932" s="30">
        <f t="shared" si="60"/>
        <v>2.0980469416747027E-3</v>
      </c>
      <c r="Q932" s="30">
        <f t="shared" si="60"/>
        <v>1.8576915220038792E-3</v>
      </c>
      <c r="R932" s="30">
        <f t="shared" si="60"/>
        <v>-2.7572580509931388E-3</v>
      </c>
      <c r="S932" s="30">
        <f t="shared" si="60"/>
        <v>-3.3940692780631831E-3</v>
      </c>
      <c r="T932" s="30">
        <f t="shared" si="60"/>
        <v>-3.4334972220567694E-3</v>
      </c>
      <c r="U932" s="63">
        <f t="shared" si="59"/>
        <v>-9.7732553656349787E-4</v>
      </c>
    </row>
    <row r="933" spans="1:21">
      <c r="A933" s="28">
        <v>44679</v>
      </c>
      <c r="B933" s="29">
        <v>1888.6999510000001</v>
      </c>
      <c r="C933" s="29">
        <v>23.128999709999999</v>
      </c>
      <c r="D933" s="29">
        <v>105.36000060000001</v>
      </c>
      <c r="E933" s="29">
        <v>13456.059569999999</v>
      </c>
      <c r="F933" s="29">
        <v>4287.5</v>
      </c>
      <c r="G933" s="29">
        <v>33916.390630000002</v>
      </c>
      <c r="H933" s="29">
        <v>10.562766079999999</v>
      </c>
      <c r="I933" s="29">
        <v>8.5717449190000004</v>
      </c>
      <c r="J933" s="29">
        <v>11.26997948</v>
      </c>
      <c r="L933" s="30">
        <f t="shared" si="60"/>
        <v>1.4846635369680783E-3</v>
      </c>
      <c r="M933" s="30">
        <f t="shared" si="60"/>
        <v>-1.4025086003729426E-2</v>
      </c>
      <c r="N933" s="30">
        <f t="shared" si="60"/>
        <v>3.2738718989528071E-2</v>
      </c>
      <c r="O933" s="30">
        <f t="shared" si="60"/>
        <v>3.4814017901149574E-2</v>
      </c>
      <c r="P933" s="30">
        <f t="shared" si="60"/>
        <v>2.4746900057631915E-2</v>
      </c>
      <c r="Q933" s="30">
        <f t="shared" si="60"/>
        <v>1.84512112577222E-2</v>
      </c>
      <c r="R933" s="30">
        <f t="shared" si="60"/>
        <v>-1.8433138954511152E-3</v>
      </c>
      <c r="S933" s="30">
        <f t="shared" si="60"/>
        <v>-1.1350981969842078E-3</v>
      </c>
      <c r="T933" s="30">
        <f t="shared" si="60"/>
        <v>-8.6120424405855545E-4</v>
      </c>
      <c r="U933" s="63">
        <f t="shared" si="59"/>
        <v>1.2368844584349593E-2</v>
      </c>
    </row>
    <row r="934" spans="1:21">
      <c r="A934" s="28">
        <v>44680</v>
      </c>
      <c r="B934" s="29">
        <v>1909.3000489999999</v>
      </c>
      <c r="C934" s="29">
        <v>23.040000920000001</v>
      </c>
      <c r="D934" s="29">
        <v>104.6900024</v>
      </c>
      <c r="E934" s="29">
        <v>12854.799800000001</v>
      </c>
      <c r="F934" s="29">
        <v>4131.9301759999998</v>
      </c>
      <c r="G934" s="29">
        <v>32977.210939999997</v>
      </c>
      <c r="H934" s="29">
        <v>10.532476429999999</v>
      </c>
      <c r="I934" s="29">
        <v>8.5356531140000005</v>
      </c>
      <c r="J934" s="29">
        <v>11.21448994</v>
      </c>
      <c r="L934" s="30">
        <f t="shared" si="60"/>
        <v>1.090702522075726E-2</v>
      </c>
      <c r="M934" s="30">
        <f t="shared" si="60"/>
        <v>-3.8479307845518118E-3</v>
      </c>
      <c r="N934" s="30">
        <f t="shared" si="60"/>
        <v>-6.3591324618881284E-3</v>
      </c>
      <c r="O934" s="30">
        <f t="shared" si="60"/>
        <v>-4.4683197697823474E-2</v>
      </c>
      <c r="P934" s="30">
        <f t="shared" si="60"/>
        <v>-3.6284507055393656E-2</v>
      </c>
      <c r="Q934" s="30">
        <f t="shared" si="60"/>
        <v>-2.7691027038981963E-2</v>
      </c>
      <c r="R934" s="30">
        <f t="shared" si="60"/>
        <v>-2.8675869341981963E-3</v>
      </c>
      <c r="S934" s="30">
        <f t="shared" si="60"/>
        <v>-4.2105551834609178E-3</v>
      </c>
      <c r="T934" s="30">
        <f t="shared" si="60"/>
        <v>-4.9236593641073245E-3</v>
      </c>
      <c r="U934" s="63">
        <f t="shared" si="59"/>
        <v>-1.8807907332556072E-2</v>
      </c>
    </row>
    <row r="935" spans="1:21">
      <c r="A935" s="28">
        <v>44683</v>
      </c>
      <c r="B935" s="29">
        <v>1861.8000489999999</v>
      </c>
      <c r="C935" s="29">
        <v>22.544000629999999</v>
      </c>
      <c r="D935" s="29">
        <v>105.16999819999999</v>
      </c>
      <c r="E935" s="29">
        <v>13075.849609999999</v>
      </c>
      <c r="F935" s="29">
        <v>4155.3798829999996</v>
      </c>
      <c r="G935" s="29">
        <v>33061.5</v>
      </c>
      <c r="H935" s="29">
        <v>10.464083670000001</v>
      </c>
      <c r="I935" s="29">
        <v>8.4771232600000008</v>
      </c>
      <c r="J935" s="29">
        <v>11.14634609</v>
      </c>
      <c r="L935" s="30">
        <f t="shared" si="60"/>
        <v>-2.4878226984217711E-2</v>
      </c>
      <c r="M935" s="30">
        <f t="shared" si="60"/>
        <v>-2.152778950496681E-2</v>
      </c>
      <c r="N935" s="30">
        <f t="shared" si="60"/>
        <v>4.5849249116074464E-3</v>
      </c>
      <c r="O935" s="30">
        <f t="shared" si="60"/>
        <v>1.7195896742008943E-2</v>
      </c>
      <c r="P935" s="30">
        <f t="shared" si="60"/>
        <v>5.6752428044901659E-3</v>
      </c>
      <c r="Q935" s="30">
        <f t="shared" si="60"/>
        <v>2.5559790412039707E-3</v>
      </c>
      <c r="R935" s="30">
        <f t="shared" si="60"/>
        <v>-6.4935118017632742E-3</v>
      </c>
      <c r="S935" s="30">
        <f t="shared" si="60"/>
        <v>-6.857103166950429E-3</v>
      </c>
      <c r="T935" s="30">
        <f t="shared" si="60"/>
        <v>-6.07641099725309E-3</v>
      </c>
      <c r="U935" s="63">
        <f t="shared" si="59"/>
        <v>-2.1925516920169676E-3</v>
      </c>
    </row>
    <row r="936" spans="1:21">
      <c r="A936" s="28">
        <v>44684</v>
      </c>
      <c r="B936" s="29">
        <v>1868.8000489999999</v>
      </c>
      <c r="C936" s="29">
        <v>22.621000290000001</v>
      </c>
      <c r="D936" s="29">
        <v>102.4100037</v>
      </c>
      <c r="E936" s="29">
        <v>13089.900390000001</v>
      </c>
      <c r="F936" s="29">
        <v>4175.4799800000001</v>
      </c>
      <c r="G936" s="29">
        <v>33128.789060000003</v>
      </c>
      <c r="H936" s="29">
        <v>10.4836235</v>
      </c>
      <c r="I936" s="29">
        <v>8.4966335300000004</v>
      </c>
      <c r="J936" s="29">
        <v>11.165815350000001</v>
      </c>
      <c r="L936" s="30">
        <f t="shared" si="60"/>
        <v>3.759802242866872E-3</v>
      </c>
      <c r="M936" s="30">
        <f t="shared" si="60"/>
        <v>3.4155277611878088E-3</v>
      </c>
      <c r="N936" s="30">
        <f t="shared" si="60"/>
        <v>-2.6243173407223597E-2</v>
      </c>
      <c r="O936" s="30">
        <f t="shared" si="60"/>
        <v>1.0745596209102981E-3</v>
      </c>
      <c r="P936" s="30">
        <f t="shared" si="60"/>
        <v>4.8371262233404266E-3</v>
      </c>
      <c r="Q936" s="30">
        <f t="shared" si="60"/>
        <v>2.0352694221377199E-3</v>
      </c>
      <c r="R936" s="30">
        <f t="shared" si="60"/>
        <v>1.8673235627901796E-3</v>
      </c>
      <c r="S936" s="30">
        <f t="shared" si="60"/>
        <v>2.3015201503628901E-3</v>
      </c>
      <c r="T936" s="30">
        <f t="shared" si="60"/>
        <v>1.7466943734565366E-3</v>
      </c>
      <c r="U936" s="63">
        <f t="shared" si="59"/>
        <v>9.6527576584809753E-4</v>
      </c>
    </row>
    <row r="937" spans="1:21">
      <c r="A937" s="28">
        <v>44685</v>
      </c>
      <c r="B937" s="29">
        <v>1867</v>
      </c>
      <c r="C937" s="29">
        <v>22.36199951</v>
      </c>
      <c r="D937" s="29">
        <v>107.8099976</v>
      </c>
      <c r="E937" s="29">
        <v>13535.70996</v>
      </c>
      <c r="F937" s="29">
        <v>4300.169922</v>
      </c>
      <c r="G937" s="29">
        <v>34061.058590000001</v>
      </c>
      <c r="H937" s="29">
        <v>10.532476429999999</v>
      </c>
      <c r="I937" s="29">
        <v>8.5356531140000005</v>
      </c>
      <c r="J937" s="29">
        <v>11.21448994</v>
      </c>
      <c r="L937" s="30">
        <f t="shared" si="60"/>
        <v>-9.6321112628561245E-4</v>
      </c>
      <c r="M937" s="30">
        <f t="shared" si="60"/>
        <v>-1.1449572374325867E-2</v>
      </c>
      <c r="N937" s="30">
        <f t="shared" si="60"/>
        <v>5.2729164191993805E-2</v>
      </c>
      <c r="O937" s="30">
        <f t="shared" si="60"/>
        <v>3.4057521961020853E-2</v>
      </c>
      <c r="P937" s="30">
        <f t="shared" si="60"/>
        <v>2.9862421229954084E-2</v>
      </c>
      <c r="Q937" s="30">
        <f t="shared" si="60"/>
        <v>2.8140766881383783E-2</v>
      </c>
      <c r="R937" s="30">
        <f t="shared" si="60"/>
        <v>4.65992793426806E-3</v>
      </c>
      <c r="S937" s="30">
        <f t="shared" si="60"/>
        <v>4.592358121864315E-3</v>
      </c>
      <c r="T937" s="30">
        <f t="shared" si="60"/>
        <v>4.3592508450356338E-3</v>
      </c>
      <c r="U937" s="63">
        <f t="shared" si="59"/>
        <v>1.7393198205402562E-2</v>
      </c>
    </row>
    <row r="938" spans="1:21">
      <c r="A938" s="28">
        <v>44686</v>
      </c>
      <c r="B938" s="29">
        <v>1874</v>
      </c>
      <c r="C938" s="29">
        <v>22.399999619999999</v>
      </c>
      <c r="D938" s="29">
        <v>108.26000209999999</v>
      </c>
      <c r="E938" s="29">
        <v>12850.549800000001</v>
      </c>
      <c r="F938" s="29">
        <v>4146.8701170000004</v>
      </c>
      <c r="G938" s="29">
        <v>32997.96875</v>
      </c>
      <c r="H938" s="29">
        <v>10.44454384</v>
      </c>
      <c r="I938" s="29">
        <v>8.4673681260000002</v>
      </c>
      <c r="J938" s="29">
        <v>11.12687683</v>
      </c>
      <c r="L938" s="30">
        <f t="shared" si="60"/>
        <v>3.7493304767006741E-3</v>
      </c>
      <c r="M938" s="30">
        <f t="shared" si="60"/>
        <v>1.6993162880183377E-3</v>
      </c>
      <c r="N938" s="30">
        <f t="shared" si="60"/>
        <v>4.1740516651305182E-3</v>
      </c>
      <c r="O938" s="30">
        <f t="shared" si="60"/>
        <v>-5.0618708735984175E-2</v>
      </c>
      <c r="P938" s="30">
        <f t="shared" si="60"/>
        <v>-3.5649708681442127E-2</v>
      </c>
      <c r="Q938" s="30">
        <f t="shared" si="60"/>
        <v>-3.1211297710873609E-2</v>
      </c>
      <c r="R938" s="30">
        <f t="shared" si="60"/>
        <v>-8.3487098769609025E-3</v>
      </c>
      <c r="S938" s="30">
        <f t="shared" si="60"/>
        <v>-7.9999722444203947E-3</v>
      </c>
      <c r="T938" s="30">
        <f t="shared" si="60"/>
        <v>-7.8124917378096237E-3</v>
      </c>
      <c r="U938" s="63">
        <f t="shared" si="59"/>
        <v>-1.9106643626561969E-2</v>
      </c>
    </row>
    <row r="939" spans="1:21">
      <c r="A939" s="28">
        <v>44687</v>
      </c>
      <c r="B939" s="29">
        <v>1881.1999510000001</v>
      </c>
      <c r="C939" s="29">
        <v>22.325000760000002</v>
      </c>
      <c r="D939" s="29">
        <v>109.7699966</v>
      </c>
      <c r="E939" s="29">
        <v>12693.530269999999</v>
      </c>
      <c r="F939" s="29">
        <v>4123.3398440000001</v>
      </c>
      <c r="G939" s="29">
        <v>32899.371090000001</v>
      </c>
      <c r="H939" s="29">
        <v>10.40546131</v>
      </c>
      <c r="I939" s="29">
        <v>8.4283475879999994</v>
      </c>
      <c r="J939" s="29">
        <v>11.0879364</v>
      </c>
      <c r="L939" s="30">
        <f t="shared" si="60"/>
        <v>3.8420229455708999E-3</v>
      </c>
      <c r="M939" s="30">
        <f t="shared" si="60"/>
        <v>-3.3481634496562718E-3</v>
      </c>
      <c r="N939" s="30">
        <f t="shared" si="60"/>
        <v>1.3947852121831916E-2</v>
      </c>
      <c r="O939" s="30">
        <f t="shared" si="60"/>
        <v>-1.2218895879458902E-2</v>
      </c>
      <c r="P939" s="30">
        <f t="shared" si="60"/>
        <v>-5.6742247372394417E-3</v>
      </c>
      <c r="Q939" s="30">
        <f t="shared" si="60"/>
        <v>-2.9879917987375437E-3</v>
      </c>
      <c r="R939" s="30">
        <f t="shared" si="60"/>
        <v>-3.7419087514691807E-3</v>
      </c>
      <c r="S939" s="30">
        <f t="shared" si="60"/>
        <v>-4.6083431615762116E-3</v>
      </c>
      <c r="T939" s="30">
        <f t="shared" si="60"/>
        <v>-3.4996729625882406E-3</v>
      </c>
      <c r="U939" s="63">
        <f t="shared" si="59"/>
        <v>-3.5633321998102506E-3</v>
      </c>
    </row>
    <row r="940" spans="1:21">
      <c r="A940" s="28">
        <v>44690</v>
      </c>
      <c r="B940" s="29">
        <v>1857.099976</v>
      </c>
      <c r="C940" s="29">
        <v>21.781999590000002</v>
      </c>
      <c r="D940" s="29">
        <v>103.0899963</v>
      </c>
      <c r="E940" s="29">
        <v>12187.719730000001</v>
      </c>
      <c r="F940" s="29">
        <v>3991.23999</v>
      </c>
      <c r="G940" s="29">
        <v>32245.699219999999</v>
      </c>
      <c r="H940" s="29">
        <v>10.454313279999999</v>
      </c>
      <c r="I940" s="29">
        <v>8.4576120380000006</v>
      </c>
      <c r="J940" s="29">
        <v>11.12687683</v>
      </c>
      <c r="L940" s="30">
        <f t="shared" si="60"/>
        <v>-1.2810958764478575E-2</v>
      </c>
      <c r="M940" s="30">
        <f t="shared" si="60"/>
        <v>-2.4322559978268932E-2</v>
      </c>
      <c r="N940" s="30">
        <f t="shared" si="60"/>
        <v>-6.085451860167046E-2</v>
      </c>
      <c r="O940" s="30">
        <f t="shared" si="60"/>
        <v>-3.9847901193841739E-2</v>
      </c>
      <c r="P940" s="30">
        <f t="shared" si="60"/>
        <v>-3.2037100747885905E-2</v>
      </c>
      <c r="Q940" s="30">
        <f t="shared" si="60"/>
        <v>-1.9868825705263715E-2</v>
      </c>
      <c r="R940" s="30">
        <f t="shared" si="60"/>
        <v>4.6948394256245418E-3</v>
      </c>
      <c r="S940" s="30">
        <f t="shared" si="60"/>
        <v>3.4721456008373064E-3</v>
      </c>
      <c r="T940" s="30">
        <f t="shared" si="60"/>
        <v>3.511963686948949E-3</v>
      </c>
      <c r="U940" s="63">
        <f t="shared" si="59"/>
        <v>-2.317240905389437E-2</v>
      </c>
    </row>
    <row r="941" spans="1:21">
      <c r="A941" s="28">
        <v>44691</v>
      </c>
      <c r="B941" s="29">
        <v>1839.900024</v>
      </c>
      <c r="C941" s="29">
        <v>21.38999939</v>
      </c>
      <c r="D941" s="29">
        <v>99.760002139999997</v>
      </c>
      <c r="E941" s="29">
        <v>12345.860350000001</v>
      </c>
      <c r="F941" s="29">
        <v>4001.0500489999999</v>
      </c>
      <c r="G941" s="29">
        <v>32160.740229999999</v>
      </c>
      <c r="H941" s="29">
        <v>10.473854060000001</v>
      </c>
      <c r="I941" s="29">
        <v>8.4771232600000008</v>
      </c>
      <c r="J941" s="29">
        <v>11.15608025</v>
      </c>
      <c r="L941" s="30">
        <f t="shared" si="60"/>
        <v>-9.2617264672237853E-3</v>
      </c>
      <c r="M941" s="30">
        <f t="shared" si="60"/>
        <v>-1.7996520401183269E-2</v>
      </c>
      <c r="N941" s="30">
        <f t="shared" si="60"/>
        <v>-3.2301816660362026E-2</v>
      </c>
      <c r="O941" s="30">
        <f t="shared" si="60"/>
        <v>1.2975406680113988E-2</v>
      </c>
      <c r="P941" s="30">
        <f t="shared" si="60"/>
        <v>2.4578975517830504E-3</v>
      </c>
      <c r="Q941" s="30">
        <f t="shared" si="60"/>
        <v>-2.6347386490320757E-3</v>
      </c>
      <c r="R941" s="30">
        <f t="shared" si="60"/>
        <v>1.8691595972530894E-3</v>
      </c>
      <c r="S941" s="30">
        <f t="shared" si="60"/>
        <v>2.3069421856116712E-3</v>
      </c>
      <c r="T941" s="30">
        <f t="shared" si="60"/>
        <v>2.6245837395506566E-3</v>
      </c>
      <c r="U941" s="63">
        <f t="shared" si="59"/>
        <v>-2.8789386556546102E-3</v>
      </c>
    </row>
    <row r="942" spans="1:21">
      <c r="A942" s="28">
        <v>44692</v>
      </c>
      <c r="B942" s="29">
        <v>1852.599976</v>
      </c>
      <c r="C942" s="29">
        <v>21.549999239999998</v>
      </c>
      <c r="D942" s="29">
        <v>105.7099991</v>
      </c>
      <c r="E942" s="29">
        <v>11967.559569999999</v>
      </c>
      <c r="F942" s="29">
        <v>3935.179932</v>
      </c>
      <c r="G942" s="29">
        <v>31834.109380000002</v>
      </c>
      <c r="H942" s="29">
        <v>10.52270603</v>
      </c>
      <c r="I942" s="29">
        <v>8.5161447530000007</v>
      </c>
      <c r="J942" s="29">
        <v>11.195019719999999</v>
      </c>
      <c r="L942" s="30">
        <f t="shared" si="60"/>
        <v>6.9025228731667276E-3</v>
      </c>
      <c r="M942" s="30">
        <f t="shared" si="60"/>
        <v>7.4801241029862631E-3</v>
      </c>
      <c r="N942" s="30">
        <f t="shared" si="60"/>
        <v>5.9643111791938042E-2</v>
      </c>
      <c r="O942" s="30">
        <f t="shared" si="60"/>
        <v>-3.0641913100855844E-2</v>
      </c>
      <c r="P942" s="30">
        <f t="shared" si="60"/>
        <v>-1.6463207456368423E-2</v>
      </c>
      <c r="Q942" s="30">
        <f t="shared" si="60"/>
        <v>-1.0156198136736627E-2</v>
      </c>
      <c r="R942" s="30">
        <f t="shared" si="60"/>
        <v>4.6641828041662503E-3</v>
      </c>
      <c r="S942" s="30">
        <f t="shared" si="60"/>
        <v>4.6031527209384748E-3</v>
      </c>
      <c r="T942" s="30">
        <f t="shared" si="60"/>
        <v>3.4904257702879082E-3</v>
      </c>
      <c r="U942" s="63">
        <f t="shared" si="59"/>
        <v>-1.7993222124304102E-3</v>
      </c>
    </row>
    <row r="943" spans="1:21">
      <c r="A943" s="28">
        <v>44693</v>
      </c>
      <c r="B943" s="29">
        <v>1823.8000489999999</v>
      </c>
      <c r="C943" s="29">
        <v>20.756999969999999</v>
      </c>
      <c r="D943" s="29">
        <v>106.1299973</v>
      </c>
      <c r="E943" s="29">
        <v>11945.5</v>
      </c>
      <c r="F943" s="29">
        <v>3930.080078</v>
      </c>
      <c r="G943" s="29">
        <v>31730.300780000001</v>
      </c>
      <c r="H943" s="29">
        <v>10.532476429999999</v>
      </c>
      <c r="I943" s="29">
        <v>8.5161447530000007</v>
      </c>
      <c r="J943" s="29">
        <v>11.204755779999999</v>
      </c>
      <c r="L943" s="30">
        <f t="shared" si="60"/>
        <v>-1.554568032662007E-2</v>
      </c>
      <c r="M943" s="30">
        <f t="shared" si="60"/>
        <v>-3.6798111274550571E-2</v>
      </c>
      <c r="N943" s="30">
        <f t="shared" si="60"/>
        <v>3.9731170520840298E-3</v>
      </c>
      <c r="O943" s="30">
        <f t="shared" si="60"/>
        <v>-1.8432805678526565E-3</v>
      </c>
      <c r="P943" s="30">
        <f t="shared" si="60"/>
        <v>-1.2959646288417392E-3</v>
      </c>
      <c r="Q943" s="30">
        <f t="shared" si="60"/>
        <v>-3.2609236451646151E-3</v>
      </c>
      <c r="R943" s="30">
        <f t="shared" si="60"/>
        <v>9.2850641005681744E-4</v>
      </c>
      <c r="S943" s="30">
        <f t="shared" si="60"/>
        <v>0</v>
      </c>
      <c r="T943" s="30">
        <f t="shared" si="60"/>
        <v>8.6967778918745076E-4</v>
      </c>
      <c r="U943" s="63">
        <f t="shared" si="59"/>
        <v>-6.720066885680177E-3</v>
      </c>
    </row>
    <row r="944" spans="1:21">
      <c r="A944" s="28">
        <v>44694</v>
      </c>
      <c r="B944" s="29">
        <v>1807.400024</v>
      </c>
      <c r="C944" s="29">
        <v>20.98399925</v>
      </c>
      <c r="D944" s="29">
        <v>110.48999790000001</v>
      </c>
      <c r="E944" s="29">
        <v>12387.400390000001</v>
      </c>
      <c r="F944" s="29">
        <v>4023.889893</v>
      </c>
      <c r="G944" s="29">
        <v>32196.660159999999</v>
      </c>
      <c r="H944" s="29">
        <v>10.49339485</v>
      </c>
      <c r="I944" s="29">
        <v>8.4868774410000007</v>
      </c>
      <c r="J944" s="29">
        <v>11.165815350000001</v>
      </c>
      <c r="L944" s="30">
        <f t="shared" si="60"/>
        <v>-8.992227524608376E-3</v>
      </c>
      <c r="M944" s="30">
        <f t="shared" si="60"/>
        <v>1.0936035088311424E-2</v>
      </c>
      <c r="N944" s="30">
        <f t="shared" si="60"/>
        <v>4.1081698962787128E-2</v>
      </c>
      <c r="O944" s="30">
        <f t="shared" si="60"/>
        <v>3.6993042568331136E-2</v>
      </c>
      <c r="P944" s="30">
        <f t="shared" si="60"/>
        <v>2.3869695562981796E-2</v>
      </c>
      <c r="Q944" s="30">
        <f t="shared" si="60"/>
        <v>1.4697603506297341E-2</v>
      </c>
      <c r="R944" s="30">
        <f t="shared" si="60"/>
        <v>-3.7105784437060363E-3</v>
      </c>
      <c r="S944" s="30">
        <f t="shared" si="60"/>
        <v>-3.4366855952853159E-3</v>
      </c>
      <c r="T944" s="30">
        <f t="shared" si="60"/>
        <v>-3.4753483935371365E-3</v>
      </c>
      <c r="U944" s="63">
        <f t="shared" si="59"/>
        <v>1.5456689885154208E-2</v>
      </c>
    </row>
    <row r="945" spans="1:21">
      <c r="A945" s="28">
        <v>44697</v>
      </c>
      <c r="B945" s="29">
        <v>1813.5</v>
      </c>
      <c r="C945" s="29">
        <v>21.534999849999998</v>
      </c>
      <c r="D945" s="29">
        <v>114.1999969</v>
      </c>
      <c r="E945" s="29">
        <v>12243.58008</v>
      </c>
      <c r="F945" s="29">
        <v>4008.01001</v>
      </c>
      <c r="G945" s="29">
        <v>32223.41992</v>
      </c>
      <c r="H945" s="29">
        <v>10.512936590000001</v>
      </c>
      <c r="I945" s="29">
        <v>8.5063886639999993</v>
      </c>
      <c r="J945" s="29">
        <v>11.18528461</v>
      </c>
      <c r="L945" s="30">
        <f t="shared" si="60"/>
        <v>3.3750005084651757E-3</v>
      </c>
      <c r="M945" s="30">
        <f t="shared" si="60"/>
        <v>2.625813094231777E-2</v>
      </c>
      <c r="N945" s="30">
        <f t="shared" si="60"/>
        <v>3.3577690926899662E-2</v>
      </c>
      <c r="O945" s="30">
        <f t="shared" si="60"/>
        <v>-1.1610209202255417E-2</v>
      </c>
      <c r="P945" s="30">
        <f t="shared" si="60"/>
        <v>-3.9464009757386176E-3</v>
      </c>
      <c r="Q945" s="30">
        <f t="shared" si="60"/>
        <v>8.3113465393669372E-4</v>
      </c>
      <c r="R945" s="30">
        <f t="shared" si="60"/>
        <v>1.8622895906752479E-3</v>
      </c>
      <c r="S945" s="30">
        <f t="shared" si="60"/>
        <v>2.2989872465626338E-3</v>
      </c>
      <c r="T945" s="30">
        <f t="shared" si="60"/>
        <v>1.7436487519919552E-3</v>
      </c>
      <c r="U945" s="63">
        <f t="shared" si="59"/>
        <v>4.6989995654410296E-3</v>
      </c>
    </row>
    <row r="946" spans="1:21">
      <c r="A946" s="28">
        <v>44698</v>
      </c>
      <c r="B946" s="29">
        <v>1818.1999510000001</v>
      </c>
      <c r="C946" s="29">
        <v>21.73699951</v>
      </c>
      <c r="D946" s="29">
        <v>112.4000015</v>
      </c>
      <c r="E946" s="29">
        <v>12564.099609999999</v>
      </c>
      <c r="F946" s="29">
        <v>4088.8500979999999</v>
      </c>
      <c r="G946" s="29">
        <v>32654.589840000001</v>
      </c>
      <c r="H946" s="29">
        <v>10.454313279999999</v>
      </c>
      <c r="I946" s="29">
        <v>8.4576120380000006</v>
      </c>
      <c r="J946" s="29">
        <v>11.12687683</v>
      </c>
      <c r="L946" s="30">
        <f t="shared" si="60"/>
        <v>2.5916465398401201E-3</v>
      </c>
      <c r="M946" s="30">
        <f t="shared" si="60"/>
        <v>9.3800632183427268E-3</v>
      </c>
      <c r="N946" s="30">
        <f t="shared" si="60"/>
        <v>-1.5761781513673578E-2</v>
      </c>
      <c r="O946" s="30">
        <f t="shared" si="60"/>
        <v>2.6178579133367297E-2</v>
      </c>
      <c r="P946" s="30">
        <f t="shared" si="60"/>
        <v>2.0169632260973236E-2</v>
      </c>
      <c r="Q946" s="30">
        <f t="shared" si="60"/>
        <v>1.3380638090880748E-2</v>
      </c>
      <c r="R946" s="30">
        <f t="shared" si="60"/>
        <v>-5.576302063475258E-3</v>
      </c>
      <c r="S946" s="30">
        <f t="shared" si="60"/>
        <v>-5.7341167828866002E-3</v>
      </c>
      <c r="T946" s="30">
        <f t="shared" si="60"/>
        <v>-5.2218411990858637E-3</v>
      </c>
      <c r="U946" s="63">
        <f t="shared" si="59"/>
        <v>8.5915497951382976E-3</v>
      </c>
    </row>
    <row r="947" spans="1:21">
      <c r="A947" s="28">
        <v>44699</v>
      </c>
      <c r="B947" s="29">
        <v>1815.900024</v>
      </c>
      <c r="C947" s="29">
        <v>21.533000950000002</v>
      </c>
      <c r="D947" s="29">
        <v>109.5899963</v>
      </c>
      <c r="E947" s="29">
        <v>11928.309569999999</v>
      </c>
      <c r="F947" s="29">
        <v>3923.679932</v>
      </c>
      <c r="G947" s="29">
        <v>31490.070309999999</v>
      </c>
      <c r="H947" s="29">
        <v>10.49339485</v>
      </c>
      <c r="I947" s="29">
        <v>8.4868774410000007</v>
      </c>
      <c r="J947" s="29">
        <v>11.165815350000001</v>
      </c>
      <c r="L947" s="30">
        <f t="shared" si="60"/>
        <v>-1.264947234618008E-3</v>
      </c>
      <c r="M947" s="30">
        <f t="shared" si="60"/>
        <v>-9.3848536871958821E-3</v>
      </c>
      <c r="N947" s="30">
        <f t="shared" si="60"/>
        <v>-2.500004592971472E-2</v>
      </c>
      <c r="O947" s="30">
        <f t="shared" si="60"/>
        <v>-5.0603708959292448E-2</v>
      </c>
      <c r="P947" s="30">
        <f t="shared" si="60"/>
        <v>-4.0395260780235143E-2</v>
      </c>
      <c r="Q947" s="30">
        <f t="shared" si="60"/>
        <v>-3.5661741142849479E-2</v>
      </c>
      <c r="R947" s="30">
        <f t="shared" si="60"/>
        <v>3.7383201510488018E-3</v>
      </c>
      <c r="S947" s="30">
        <f t="shared" si="60"/>
        <v>3.4602441999598277E-3</v>
      </c>
      <c r="T947" s="30">
        <f t="shared" si="60"/>
        <v>3.4995013061540625E-3</v>
      </c>
      <c r="U947" s="63">
        <f t="shared" si="59"/>
        <v>-2.1856192180622708E-2</v>
      </c>
    </row>
    <row r="948" spans="1:21">
      <c r="A948" s="28">
        <v>44700</v>
      </c>
      <c r="B948" s="29">
        <v>1841.1999510000001</v>
      </c>
      <c r="C948" s="29">
        <v>21.898000719999999</v>
      </c>
      <c r="D948" s="29">
        <v>112.2099991</v>
      </c>
      <c r="E948" s="29">
        <v>11875.62988</v>
      </c>
      <c r="F948" s="29">
        <v>3900.790039</v>
      </c>
      <c r="G948" s="29">
        <v>31253.130860000001</v>
      </c>
      <c r="H948" s="29">
        <v>10.512936590000001</v>
      </c>
      <c r="I948" s="29">
        <v>8.4966335300000004</v>
      </c>
      <c r="J948" s="29">
        <v>11.18528461</v>
      </c>
      <c r="L948" s="30">
        <f t="shared" si="60"/>
        <v>1.393244488442158E-2</v>
      </c>
      <c r="M948" s="30">
        <f t="shared" si="60"/>
        <v>1.695071536231918E-2</v>
      </c>
      <c r="N948" s="30">
        <f t="shared" si="60"/>
        <v>2.3907317168145648E-2</v>
      </c>
      <c r="O948" s="30">
        <f t="shared" si="60"/>
        <v>-4.4163583859769817E-3</v>
      </c>
      <c r="P948" s="30">
        <f t="shared" si="60"/>
        <v>-5.8337819079785636E-3</v>
      </c>
      <c r="Q948" s="30">
        <f t="shared" si="60"/>
        <v>-7.5242591606649034E-3</v>
      </c>
      <c r="R948" s="30">
        <f t="shared" si="60"/>
        <v>1.8622895906752479E-3</v>
      </c>
      <c r="S948" s="30">
        <f t="shared" si="60"/>
        <v>1.1495498866129772E-3</v>
      </c>
      <c r="T948" s="30">
        <f t="shared" si="60"/>
        <v>1.7436487519919552E-3</v>
      </c>
      <c r="U948" s="63">
        <f t="shared" si="59"/>
        <v>3.0075461477239362E-3</v>
      </c>
    </row>
    <row r="949" spans="1:21">
      <c r="A949" s="28">
        <v>44701</v>
      </c>
      <c r="B949" s="29">
        <v>1841.8000489999999</v>
      </c>
      <c r="C949" s="29">
        <v>21.669000629999999</v>
      </c>
      <c r="D949" s="29">
        <v>113.2300034</v>
      </c>
      <c r="E949" s="29">
        <v>11835.62012</v>
      </c>
      <c r="F949" s="29">
        <v>3901.360107</v>
      </c>
      <c r="G949" s="29">
        <v>31261.900389999999</v>
      </c>
      <c r="H949" s="29">
        <v>10.55201817</v>
      </c>
      <c r="I949" s="29">
        <v>8.5258989330000006</v>
      </c>
      <c r="J949" s="29">
        <v>11.21448994</v>
      </c>
      <c r="L949" s="30">
        <f t="shared" si="60"/>
        <v>3.2592766455041833E-4</v>
      </c>
      <c r="M949" s="30">
        <f t="shared" si="60"/>
        <v>-1.0457579800463135E-2</v>
      </c>
      <c r="N949" s="30">
        <f t="shared" si="60"/>
        <v>9.09013731557895E-3</v>
      </c>
      <c r="O949" s="30">
        <f t="shared" si="60"/>
        <v>-3.3690642436896567E-3</v>
      </c>
      <c r="P949" s="30">
        <f t="shared" si="60"/>
        <v>1.4614167753213003E-4</v>
      </c>
      <c r="Q949" s="30">
        <f t="shared" si="60"/>
        <v>2.8059684769754512E-4</v>
      </c>
      <c r="R949" s="30">
        <f t="shared" si="60"/>
        <v>3.7174750998854034E-3</v>
      </c>
      <c r="S949" s="30">
        <f t="shared" si="60"/>
        <v>3.4443527423737574E-3</v>
      </c>
      <c r="T949" s="30">
        <f t="shared" si="60"/>
        <v>2.6110493401203527E-3</v>
      </c>
      <c r="U949" s="63">
        <f t="shared" si="59"/>
        <v>-3.7800459860960935E-4</v>
      </c>
    </row>
    <row r="950" spans="1:21">
      <c r="A950" s="28">
        <v>44704</v>
      </c>
      <c r="B950" s="29">
        <v>1847.8000489999999</v>
      </c>
      <c r="C950" s="29">
        <v>21.722999569999999</v>
      </c>
      <c r="D950" s="29">
        <v>110.2900009</v>
      </c>
      <c r="E950" s="29">
        <v>12034.280269999999</v>
      </c>
      <c r="F950" s="29">
        <v>3973.75</v>
      </c>
      <c r="G950" s="29">
        <v>31880.240229999999</v>
      </c>
      <c r="H950" s="29">
        <v>10.503166200000001</v>
      </c>
      <c r="I950" s="29">
        <v>8.4966335300000004</v>
      </c>
      <c r="J950" s="29">
        <v>11.17555046</v>
      </c>
      <c r="L950" s="30">
        <f t="shared" si="60"/>
        <v>3.2576826150361171E-3</v>
      </c>
      <c r="M950" s="30">
        <f t="shared" si="60"/>
        <v>2.4919903285820499E-3</v>
      </c>
      <c r="N950" s="30">
        <f t="shared" si="60"/>
        <v>-2.5964871603986972E-2</v>
      </c>
      <c r="O950" s="30">
        <f t="shared" si="60"/>
        <v>1.6784938007962991E-2</v>
      </c>
      <c r="P950" s="30">
        <f t="shared" si="60"/>
        <v>1.8555040041065451E-2</v>
      </c>
      <c r="Q950" s="30">
        <f t="shared" si="60"/>
        <v>1.9779342659469012E-2</v>
      </c>
      <c r="R950" s="30">
        <f t="shared" si="60"/>
        <v>-4.6296328543944387E-3</v>
      </c>
      <c r="S950" s="30">
        <f t="shared" si="60"/>
        <v>-3.4325298986042085E-3</v>
      </c>
      <c r="T950" s="30">
        <f t="shared" si="60"/>
        <v>-3.4722470846497711E-3</v>
      </c>
      <c r="U950" s="63">
        <f t="shared" si="59"/>
        <v>5.9002290591597647E-3</v>
      </c>
    </row>
    <row r="951" spans="1:21">
      <c r="A951" s="28">
        <v>44705</v>
      </c>
      <c r="B951" s="29">
        <v>1865.099976</v>
      </c>
      <c r="C951" s="29">
        <v>22.062999730000001</v>
      </c>
      <c r="D951" s="29">
        <v>109.7699966</v>
      </c>
      <c r="E951" s="29">
        <v>11769.839840000001</v>
      </c>
      <c r="F951" s="29">
        <v>3941.4799800000001</v>
      </c>
      <c r="G951" s="29">
        <v>31928.619139999999</v>
      </c>
      <c r="H951" s="29">
        <v>10.581328389999999</v>
      </c>
      <c r="I951" s="29">
        <v>8.5551624299999993</v>
      </c>
      <c r="J951" s="29">
        <v>11.24369431</v>
      </c>
      <c r="L951" s="30">
        <f t="shared" si="60"/>
        <v>9.3624453627232374E-3</v>
      </c>
      <c r="M951" s="30">
        <f t="shared" si="60"/>
        <v>1.5651621172499075E-2</v>
      </c>
      <c r="N951" s="30">
        <f t="shared" si="60"/>
        <v>-4.7148816371076485E-3</v>
      </c>
      <c r="O951" s="30">
        <f t="shared" si="60"/>
        <v>-2.19739298127547E-2</v>
      </c>
      <c r="P951" s="30">
        <f t="shared" si="60"/>
        <v>-8.1207977351368532E-3</v>
      </c>
      <c r="Q951" s="30">
        <f t="shared" si="60"/>
        <v>1.517520246113957E-3</v>
      </c>
      <c r="R951" s="30">
        <f t="shared" si="60"/>
        <v>7.4417740814192168E-3</v>
      </c>
      <c r="S951" s="30">
        <f t="shared" si="60"/>
        <v>6.8884811606084728E-3</v>
      </c>
      <c r="T951" s="30">
        <f t="shared" si="60"/>
        <v>6.0975833131355905E-3</v>
      </c>
      <c r="U951" s="63">
        <f t="shared" si="59"/>
        <v>-7.3462692408678718E-4</v>
      </c>
    </row>
    <row r="952" spans="1:21">
      <c r="A952" s="28">
        <v>44706</v>
      </c>
      <c r="B952" s="29">
        <v>1846.1999510000001</v>
      </c>
      <c r="C952" s="29">
        <v>21.86000061</v>
      </c>
      <c r="D952" s="29">
        <v>110.33000180000001</v>
      </c>
      <c r="E952" s="29">
        <v>11943.929690000001</v>
      </c>
      <c r="F952" s="29">
        <v>3978.7299800000001</v>
      </c>
      <c r="G952" s="29">
        <v>32120.279299999998</v>
      </c>
      <c r="H952" s="29">
        <v>10.620409970000001</v>
      </c>
      <c r="I952" s="29">
        <v>8.5844268800000005</v>
      </c>
      <c r="J952" s="29">
        <v>11.282635689999999</v>
      </c>
      <c r="L952" s="30">
        <f t="shared" si="60"/>
        <v>-1.0133518440407663E-2</v>
      </c>
      <c r="M952" s="30">
        <f t="shared" si="60"/>
        <v>-9.2008848517536324E-3</v>
      </c>
      <c r="N952" s="30">
        <f t="shared" si="60"/>
        <v>5.1016235523870801E-3</v>
      </c>
      <c r="O952" s="30">
        <f t="shared" si="60"/>
        <v>1.4791182579082518E-2</v>
      </c>
      <c r="P952" s="30">
        <f t="shared" si="60"/>
        <v>9.4507647353316848E-3</v>
      </c>
      <c r="Q952" s="30">
        <f t="shared" si="60"/>
        <v>6.0027700903573233E-3</v>
      </c>
      <c r="R952" s="30">
        <f t="shared" si="60"/>
        <v>3.6934474160101871E-3</v>
      </c>
      <c r="S952" s="30">
        <f t="shared" si="60"/>
        <v>3.4206773091041143E-3</v>
      </c>
      <c r="T952" s="30">
        <f t="shared" si="60"/>
        <v>3.4633972541715519E-3</v>
      </c>
      <c r="U952" s="63">
        <f t="shared" si="59"/>
        <v>4.157357909484175E-3</v>
      </c>
    </row>
    <row r="953" spans="1:21">
      <c r="A953" s="28">
        <v>44707</v>
      </c>
      <c r="B953" s="29">
        <v>1847.400024</v>
      </c>
      <c r="C953" s="29">
        <v>21.940999980000001</v>
      </c>
      <c r="D953" s="29">
        <v>114.0899963</v>
      </c>
      <c r="E953" s="29">
        <v>12276.79004</v>
      </c>
      <c r="F953" s="29">
        <v>4057.8400879999999</v>
      </c>
      <c r="G953" s="29">
        <v>32637.189450000002</v>
      </c>
      <c r="H953" s="29">
        <v>10.620409970000001</v>
      </c>
      <c r="I953" s="29">
        <v>8.5941820139999994</v>
      </c>
      <c r="J953" s="29">
        <v>11.30210304</v>
      </c>
      <c r="L953" s="30">
        <f t="shared" si="60"/>
        <v>6.5002330833663358E-4</v>
      </c>
      <c r="M953" s="30">
        <f t="shared" si="60"/>
        <v>3.7053690640314052E-3</v>
      </c>
      <c r="N953" s="30">
        <f t="shared" si="60"/>
        <v>3.4079529037041922E-2</v>
      </c>
      <c r="O953" s="30">
        <f t="shared" si="60"/>
        <v>2.7868579156044904E-2</v>
      </c>
      <c r="P953" s="30">
        <f t="shared" si="60"/>
        <v>1.9883256314870534E-2</v>
      </c>
      <c r="Q953" s="30">
        <f t="shared" si="60"/>
        <v>1.6092953151873868E-2</v>
      </c>
      <c r="R953" s="30">
        <f t="shared" si="60"/>
        <v>0</v>
      </c>
      <c r="S953" s="30">
        <f t="shared" si="60"/>
        <v>1.1363756877849074E-3</v>
      </c>
      <c r="T953" s="30">
        <f t="shared" si="60"/>
        <v>1.7254257369361259E-3</v>
      </c>
      <c r="U953" s="63">
        <f t="shared" si="59"/>
        <v>1.334250551696318E-2</v>
      </c>
    </row>
    <row r="954" spans="1:21">
      <c r="A954" s="28">
        <v>44708</v>
      </c>
      <c r="B954" s="29">
        <v>1851.3000489999999</v>
      </c>
      <c r="C954" s="29">
        <v>22.059999470000001</v>
      </c>
      <c r="D954" s="29">
        <v>115.0699997</v>
      </c>
      <c r="E954" s="29">
        <v>12681.41992</v>
      </c>
      <c r="F954" s="29">
        <v>4158.2402339999999</v>
      </c>
      <c r="G954" s="29">
        <v>33212.960939999997</v>
      </c>
      <c r="H954" s="29">
        <v>10.639950750000001</v>
      </c>
      <c r="I954" s="29">
        <v>8.6136941910000004</v>
      </c>
      <c r="J954" s="29">
        <v>11.32157421</v>
      </c>
      <c r="L954" s="30">
        <f t="shared" si="60"/>
        <v>2.1110885294650661E-3</v>
      </c>
      <c r="M954" s="30">
        <f t="shared" si="60"/>
        <v>5.4236128758249347E-3</v>
      </c>
      <c r="N954" s="30">
        <f t="shared" si="60"/>
        <v>8.5897399577705702E-3</v>
      </c>
      <c r="O954" s="30">
        <f t="shared" si="60"/>
        <v>3.2958931339677866E-2</v>
      </c>
      <c r="P954" s="30">
        <f t="shared" si="60"/>
        <v>2.474226283507508E-2</v>
      </c>
      <c r="Q954" s="30">
        <f t="shared" si="60"/>
        <v>1.7641576977149853E-2</v>
      </c>
      <c r="R954" s="30">
        <f t="shared" ref="R954:T954" si="61">(H954/H953)-1</f>
        <v>1.8399270889917219E-3</v>
      </c>
      <c r="S954" s="30">
        <f t="shared" si="61"/>
        <v>2.2703937347632319E-3</v>
      </c>
      <c r="T954" s="30">
        <f t="shared" si="61"/>
        <v>1.7227917610631582E-3</v>
      </c>
      <c r="U954" s="63">
        <f t="shared" si="59"/>
        <v>1.4109582149635432E-2</v>
      </c>
    </row>
    <row r="955" spans="1:21">
      <c r="A955" s="28">
        <v>44712</v>
      </c>
      <c r="B955" s="29">
        <v>1842.6999510000001</v>
      </c>
      <c r="C955" s="29">
        <v>21.650999070000001</v>
      </c>
      <c r="D955" s="29">
        <v>114.66999819999999</v>
      </c>
      <c r="E955" s="29">
        <v>12642.099609999999</v>
      </c>
      <c r="F955" s="29">
        <v>4132.1499020000001</v>
      </c>
      <c r="G955" s="29">
        <v>32990.121090000001</v>
      </c>
      <c r="H955" s="29">
        <v>10.599823000000001</v>
      </c>
      <c r="I955" s="29">
        <v>8.5775461199999992</v>
      </c>
      <c r="J955" s="29">
        <v>11.267916680000001</v>
      </c>
      <c r="L955" s="30">
        <f t="shared" ref="L955:T983" si="62">(B955/B954)-1</f>
        <v>-4.6454371373485515E-3</v>
      </c>
      <c r="M955" s="30">
        <f t="shared" si="62"/>
        <v>-1.8540363092764856E-2</v>
      </c>
      <c r="N955" s="30">
        <f t="shared" si="62"/>
        <v>-3.476157999850904E-3</v>
      </c>
      <c r="O955" s="30">
        <f t="shared" si="62"/>
        <v>-3.1006236090320716E-3</v>
      </c>
      <c r="P955" s="30">
        <f t="shared" si="62"/>
        <v>-6.2743686107097352E-3</v>
      </c>
      <c r="Q955" s="30">
        <f t="shared" si="62"/>
        <v>-6.709424384130136E-3</v>
      </c>
      <c r="R955" s="30">
        <f t="shared" si="62"/>
        <v>-3.7714225321954231E-3</v>
      </c>
      <c r="S955" s="30">
        <f t="shared" si="62"/>
        <v>-4.1965816522451238E-3</v>
      </c>
      <c r="T955" s="30">
        <f t="shared" si="62"/>
        <v>-4.7394054046481227E-3</v>
      </c>
      <c r="U955" s="63">
        <f t="shared" si="59"/>
        <v>-6.9714968039958957E-3</v>
      </c>
    </row>
    <row r="956" spans="1:21">
      <c r="A956" s="28">
        <v>44713</v>
      </c>
      <c r="B956" s="29">
        <v>1843.3000489999999</v>
      </c>
      <c r="C956" s="29">
        <v>21.884000780000001</v>
      </c>
      <c r="D956" s="29">
        <v>115.26000209999999</v>
      </c>
      <c r="E956" s="29">
        <v>12548.360350000001</v>
      </c>
      <c r="F956" s="29">
        <v>4101.2299800000001</v>
      </c>
      <c r="G956" s="29">
        <v>32813.230470000002</v>
      </c>
      <c r="H956" s="29">
        <v>10.560672759999999</v>
      </c>
      <c r="I956" s="29">
        <v>8.558009148</v>
      </c>
      <c r="J956" s="29">
        <v>11.228893279999999</v>
      </c>
      <c r="L956" s="30">
        <f t="shared" si="62"/>
        <v>3.2566235196029858E-4</v>
      </c>
      <c r="M956" s="30">
        <f t="shared" si="62"/>
        <v>1.0761707080891858E-2</v>
      </c>
      <c r="N956" s="30">
        <f t="shared" si="62"/>
        <v>5.1452333588681842E-3</v>
      </c>
      <c r="O956" s="30">
        <f t="shared" si="62"/>
        <v>-7.414849027597481E-3</v>
      </c>
      <c r="P956" s="30">
        <f t="shared" si="62"/>
        <v>-7.482768712004928E-3</v>
      </c>
      <c r="Q956" s="30">
        <f t="shared" si="62"/>
        <v>-5.3619269695138749E-3</v>
      </c>
      <c r="R956" s="30">
        <f t="shared" si="62"/>
        <v>-3.6934805420808514E-3</v>
      </c>
      <c r="S956" s="30">
        <f t="shared" si="62"/>
        <v>-2.2776877823420527E-3</v>
      </c>
      <c r="T956" s="30">
        <f t="shared" si="62"/>
        <v>-3.4632311462922116E-3</v>
      </c>
      <c r="U956" s="63">
        <f t="shared" si="59"/>
        <v>-2.0655285447854065E-3</v>
      </c>
    </row>
    <row r="957" spans="1:21">
      <c r="A957" s="28">
        <v>44714</v>
      </c>
      <c r="B957" s="29">
        <v>1866.5</v>
      </c>
      <c r="C957" s="29">
        <v>22.253999709999999</v>
      </c>
      <c r="D957" s="29">
        <v>116.8700027</v>
      </c>
      <c r="E957" s="29">
        <v>12892.889649999999</v>
      </c>
      <c r="F957" s="29">
        <v>4176.8198240000002</v>
      </c>
      <c r="G957" s="29">
        <v>33248.28125</v>
      </c>
      <c r="H957" s="29">
        <v>10.57045937</v>
      </c>
      <c r="I957" s="29">
        <v>8.5677785869999994</v>
      </c>
      <c r="J957" s="29">
        <v>11.238649369999999</v>
      </c>
      <c r="L957" s="30">
        <f t="shared" si="62"/>
        <v>1.258609579736425E-2</v>
      </c>
      <c r="M957" s="30">
        <f t="shared" si="62"/>
        <v>1.6907280059053065E-2</v>
      </c>
      <c r="N957" s="30">
        <f t="shared" si="62"/>
        <v>1.3968424177219552E-2</v>
      </c>
      <c r="O957" s="30">
        <f t="shared" si="62"/>
        <v>2.7456120990341004E-2</v>
      </c>
      <c r="P957" s="30">
        <f t="shared" si="62"/>
        <v>1.8431018101550123E-2</v>
      </c>
      <c r="Q957" s="30">
        <f t="shared" si="62"/>
        <v>1.3258395280457025E-2</v>
      </c>
      <c r="R957" s="30">
        <f t="shared" si="62"/>
        <v>9.2670327188515422E-4</v>
      </c>
      <c r="S957" s="30">
        <f t="shared" si="62"/>
        <v>1.1415551013149727E-3</v>
      </c>
      <c r="T957" s="30">
        <f t="shared" si="62"/>
        <v>8.6883807306081806E-4</v>
      </c>
      <c r="U957" s="63">
        <f t="shared" si="59"/>
        <v>1.3852904775885234E-2</v>
      </c>
    </row>
    <row r="958" spans="1:21">
      <c r="A958" s="28">
        <v>44715</v>
      </c>
      <c r="B958" s="29">
        <v>1845.400024</v>
      </c>
      <c r="C958" s="29">
        <v>21.88999939</v>
      </c>
      <c r="D958" s="29">
        <v>118.8700027</v>
      </c>
      <c r="E958" s="29">
        <v>12548.030269999999</v>
      </c>
      <c r="F958" s="29">
        <v>4108.5400390000004</v>
      </c>
      <c r="G958" s="29">
        <v>32899.699220000002</v>
      </c>
      <c r="H958" s="29">
        <v>10.5508852</v>
      </c>
      <c r="I958" s="29">
        <v>8.5482387539999998</v>
      </c>
      <c r="J958" s="29">
        <v>11.228893279999999</v>
      </c>
      <c r="L958" s="30">
        <f t="shared" si="62"/>
        <v>-1.130456790784895E-2</v>
      </c>
      <c r="M958" s="30">
        <f t="shared" si="62"/>
        <v>-1.6356624640218365E-2</v>
      </c>
      <c r="N958" s="30">
        <f t="shared" si="62"/>
        <v>1.7113031178187965E-2</v>
      </c>
      <c r="O958" s="30">
        <f t="shared" si="62"/>
        <v>-2.6748028515081512E-2</v>
      </c>
      <c r="P958" s="30">
        <f t="shared" si="62"/>
        <v>-1.6347313955862863E-2</v>
      </c>
      <c r="Q958" s="30">
        <f t="shared" si="62"/>
        <v>-1.0484212022237926E-2</v>
      </c>
      <c r="R958" s="30">
        <f t="shared" si="62"/>
        <v>-1.8517804491594569E-3</v>
      </c>
      <c r="S958" s="30">
        <f t="shared" si="62"/>
        <v>-2.2806183425010396E-3</v>
      </c>
      <c r="T958" s="30">
        <f t="shared" si="62"/>
        <v>-8.6808384876235767E-4</v>
      </c>
      <c r="U958" s="63">
        <f t="shared" si="59"/>
        <v>-1.0714366898217687E-2</v>
      </c>
    </row>
    <row r="959" spans="1:21">
      <c r="A959" s="28">
        <v>44718</v>
      </c>
      <c r="B959" s="29">
        <v>1839.1999510000001</v>
      </c>
      <c r="C959" s="29">
        <v>22.073999400000002</v>
      </c>
      <c r="D959" s="29">
        <v>118.5</v>
      </c>
      <c r="E959" s="29">
        <v>12599.62988</v>
      </c>
      <c r="F959" s="29">
        <v>4121.4301759999998</v>
      </c>
      <c r="G959" s="29">
        <v>32915.78125</v>
      </c>
      <c r="H959" s="29">
        <v>10.482373239999999</v>
      </c>
      <c r="I959" s="29">
        <v>8.4993915560000008</v>
      </c>
      <c r="J959" s="29">
        <v>11.16060162</v>
      </c>
      <c r="L959" s="30">
        <f t="shared" si="62"/>
        <v>-3.3597447270868885E-3</v>
      </c>
      <c r="M959" s="30">
        <f t="shared" si="62"/>
        <v>8.4056653781388047E-3</v>
      </c>
      <c r="N959" s="30">
        <f t="shared" si="62"/>
        <v>-3.1126667081332604E-3</v>
      </c>
      <c r="O959" s="30">
        <f t="shared" si="62"/>
        <v>4.1121681164066892E-3</v>
      </c>
      <c r="P959" s="30">
        <f t="shared" si="62"/>
        <v>3.1374008474156501E-3</v>
      </c>
      <c r="Q959" s="30">
        <f t="shared" si="62"/>
        <v>4.8881997043359604E-4</v>
      </c>
      <c r="R959" s="30">
        <f t="shared" si="62"/>
        <v>-6.49347980774162E-3</v>
      </c>
      <c r="S959" s="30">
        <f t="shared" si="62"/>
        <v>-5.7142996827436177E-3</v>
      </c>
      <c r="T959" s="30">
        <f t="shared" si="62"/>
        <v>-6.0817801271328964E-3</v>
      </c>
      <c r="U959" s="63">
        <f t="shared" si="59"/>
        <v>7.5111926826994788E-4</v>
      </c>
    </row>
    <row r="960" spans="1:21">
      <c r="A960" s="28">
        <v>44719</v>
      </c>
      <c r="B960" s="29">
        <v>1847.5</v>
      </c>
      <c r="C960" s="29">
        <v>22.1590004</v>
      </c>
      <c r="D960" s="29">
        <v>119.4100037</v>
      </c>
      <c r="E960" s="29">
        <v>12711.679690000001</v>
      </c>
      <c r="F960" s="29">
        <v>4160.6801759999998</v>
      </c>
      <c r="G960" s="29">
        <v>33180.140630000002</v>
      </c>
      <c r="H960" s="29">
        <v>10.51173496</v>
      </c>
      <c r="I960" s="29">
        <v>8.5189313890000005</v>
      </c>
      <c r="J960" s="29">
        <v>11.19962597</v>
      </c>
      <c r="L960" s="30">
        <f t="shared" si="62"/>
        <v>4.5128584281917128E-3</v>
      </c>
      <c r="M960" s="30">
        <f t="shared" si="62"/>
        <v>3.8507294695313554E-3</v>
      </c>
      <c r="N960" s="30">
        <f t="shared" si="62"/>
        <v>7.67935611814341E-3</v>
      </c>
      <c r="O960" s="30">
        <f t="shared" si="62"/>
        <v>8.8931032948724731E-3</v>
      </c>
      <c r="P960" s="30">
        <f t="shared" si="62"/>
        <v>9.523393172729655E-3</v>
      </c>
      <c r="Q960" s="30">
        <f t="shared" si="62"/>
        <v>8.0313870721206992E-3</v>
      </c>
      <c r="R960" s="30">
        <f t="shared" si="62"/>
        <v>2.8010565286835654E-3</v>
      </c>
      <c r="S960" s="30">
        <f t="shared" si="62"/>
        <v>2.298968446300842E-3</v>
      </c>
      <c r="T960" s="30">
        <f t="shared" si="62"/>
        <v>3.4966170578176747E-3</v>
      </c>
      <c r="U960" s="63">
        <f t="shared" si="59"/>
        <v>6.3727827784726444E-3</v>
      </c>
    </row>
    <row r="961" spans="1:21">
      <c r="A961" s="28">
        <v>44720</v>
      </c>
      <c r="B961" s="29">
        <v>1851.900024</v>
      </c>
      <c r="C961" s="29">
        <v>22.073999400000002</v>
      </c>
      <c r="D961" s="29">
        <v>122.11000060000001</v>
      </c>
      <c r="E961" s="29">
        <v>12615.12988</v>
      </c>
      <c r="F961" s="29">
        <v>4115.7700199999999</v>
      </c>
      <c r="G961" s="29">
        <v>32910.898439999997</v>
      </c>
      <c r="H961" s="29">
        <v>10.482373239999999</v>
      </c>
      <c r="I961" s="29">
        <v>8.4993915560000008</v>
      </c>
      <c r="J961" s="29">
        <v>11.17035866</v>
      </c>
      <c r="L961" s="30">
        <f t="shared" si="62"/>
        <v>2.3816097428959182E-3</v>
      </c>
      <c r="M961" s="30">
        <f t="shared" si="62"/>
        <v>-3.8359582321230157E-3</v>
      </c>
      <c r="N961" s="30">
        <f t="shared" si="62"/>
        <v>2.2611144932072502E-2</v>
      </c>
      <c r="O961" s="30">
        <f t="shared" si="62"/>
        <v>-7.595362088611668E-3</v>
      </c>
      <c r="P961" s="30">
        <f t="shared" si="62"/>
        <v>-1.0793945725281806E-2</v>
      </c>
      <c r="Q961" s="30">
        <f t="shared" si="62"/>
        <v>-8.1145584342873223E-3</v>
      </c>
      <c r="R961" s="30">
        <f t="shared" si="62"/>
        <v>-2.7932325264792279E-3</v>
      </c>
      <c r="S961" s="30">
        <f t="shared" si="62"/>
        <v>-2.29369531315049E-3</v>
      </c>
      <c r="T961" s="30">
        <f t="shared" si="62"/>
        <v>-2.6132399491194391E-3</v>
      </c>
      <c r="U961" s="63">
        <f t="shared" si="59"/>
        <v>-3.8561442080942343E-3</v>
      </c>
    </row>
    <row r="962" spans="1:21">
      <c r="A962" s="28">
        <v>44721</v>
      </c>
      <c r="B962" s="29">
        <v>1848.8000489999999</v>
      </c>
      <c r="C962" s="29">
        <v>21.79700089</v>
      </c>
      <c r="D962" s="29">
        <v>121.51000209999999</v>
      </c>
      <c r="E962" s="29">
        <v>12269.780269999999</v>
      </c>
      <c r="F962" s="29">
        <v>4017.820068</v>
      </c>
      <c r="G962" s="29">
        <v>32272.789059999999</v>
      </c>
      <c r="H962" s="29">
        <v>10.47258472</v>
      </c>
      <c r="I962" s="29">
        <v>8.4798517229999995</v>
      </c>
      <c r="J962" s="29">
        <v>11.16060162</v>
      </c>
      <c r="L962" s="30">
        <f t="shared" si="62"/>
        <v>-1.6739429557889318E-3</v>
      </c>
      <c r="M962" s="30">
        <f t="shared" si="62"/>
        <v>-1.2548632668713533E-2</v>
      </c>
      <c r="N962" s="30">
        <f t="shared" si="62"/>
        <v>-4.9135901814090222E-3</v>
      </c>
      <c r="O962" s="30">
        <f t="shared" si="62"/>
        <v>-2.7375826748127108E-2</v>
      </c>
      <c r="P962" s="30">
        <f t="shared" si="62"/>
        <v>-2.3798694174850921E-2</v>
      </c>
      <c r="Q962" s="30">
        <f t="shared" si="62"/>
        <v>-1.9388999092909587E-2</v>
      </c>
      <c r="R962" s="30">
        <f t="shared" si="62"/>
        <v>-9.3380761931338707E-4</v>
      </c>
      <c r="S962" s="30">
        <f t="shared" si="62"/>
        <v>-2.298968446301064E-3</v>
      </c>
      <c r="T962" s="30">
        <f t="shared" si="62"/>
        <v>-8.7347598201470422E-4</v>
      </c>
      <c r="U962" s="63">
        <f t="shared" si="59"/>
        <v>-1.388379017099111E-2</v>
      </c>
    </row>
    <row r="963" spans="1:21">
      <c r="A963" s="28">
        <v>44722</v>
      </c>
      <c r="B963" s="29">
        <v>1871.5</v>
      </c>
      <c r="C963" s="29">
        <v>21.913000109999999</v>
      </c>
      <c r="D963" s="29">
        <v>120.66999819999999</v>
      </c>
      <c r="E963" s="29">
        <v>11832.820309999999</v>
      </c>
      <c r="F963" s="29">
        <v>3900.860107</v>
      </c>
      <c r="G963" s="29">
        <v>31392.789059999999</v>
      </c>
      <c r="H963" s="29">
        <v>10.39428425</v>
      </c>
      <c r="I963" s="29">
        <v>8.4114675519999995</v>
      </c>
      <c r="J963" s="29">
        <v>11.063045499999999</v>
      </c>
      <c r="L963" s="30">
        <f t="shared" si="62"/>
        <v>1.2278207701410526E-2</v>
      </c>
      <c r="M963" s="30">
        <f t="shared" si="62"/>
        <v>5.3217972777721556E-3</v>
      </c>
      <c r="N963" s="30">
        <f t="shared" si="62"/>
        <v>-6.9130432514411533E-3</v>
      </c>
      <c r="O963" s="30">
        <f t="shared" si="62"/>
        <v>-3.5612696428507395E-2</v>
      </c>
      <c r="P963" s="30">
        <f t="shared" si="62"/>
        <v>-2.9110303353684142E-2</v>
      </c>
      <c r="Q963" s="30">
        <f t="shared" si="62"/>
        <v>-2.7267553429111691E-2</v>
      </c>
      <c r="R963" s="30">
        <f t="shared" si="62"/>
        <v>-7.4767091499834404E-3</v>
      </c>
      <c r="S963" s="30">
        <f t="shared" si="62"/>
        <v>-8.0643121169819976E-3</v>
      </c>
      <c r="T963" s="30">
        <f t="shared" si="62"/>
        <v>-8.7411165922434142E-3</v>
      </c>
      <c r="U963" s="63">
        <f t="shared" si="59"/>
        <v>-1.5122868322696707E-2</v>
      </c>
    </row>
    <row r="964" spans="1:21">
      <c r="A964" s="28">
        <v>44725</v>
      </c>
      <c r="B964" s="29">
        <v>1828</v>
      </c>
      <c r="C964" s="29">
        <v>21.236000059999999</v>
      </c>
      <c r="D964" s="29">
        <v>120.9300003</v>
      </c>
      <c r="E964" s="29">
        <v>11288.320309999999</v>
      </c>
      <c r="F964" s="29">
        <v>3749.6298830000001</v>
      </c>
      <c r="G964" s="29">
        <v>30516.740229999999</v>
      </c>
      <c r="H964" s="29">
        <v>10.218111990000001</v>
      </c>
      <c r="I964" s="29">
        <v>8.2746944429999996</v>
      </c>
      <c r="J964" s="29">
        <v>10.89719582</v>
      </c>
      <c r="L964" s="30">
        <f t="shared" si="62"/>
        <v>-2.3243387656959658E-2</v>
      </c>
      <c r="M964" s="30">
        <f t="shared" si="62"/>
        <v>-3.0894904695913827E-2</v>
      </c>
      <c r="N964" s="30">
        <f t="shared" si="62"/>
        <v>2.1546540472228148E-3</v>
      </c>
      <c r="O964" s="30">
        <f t="shared" si="62"/>
        <v>-4.6016079492041229E-2</v>
      </c>
      <c r="P964" s="30">
        <f t="shared" si="62"/>
        <v>-3.8768430513214436E-2</v>
      </c>
      <c r="Q964" s="30">
        <f t="shared" si="62"/>
        <v>-2.7906052830337424E-2</v>
      </c>
      <c r="R964" s="30">
        <f t="shared" si="62"/>
        <v>-1.6948955383820685E-2</v>
      </c>
      <c r="S964" s="30">
        <f t="shared" si="62"/>
        <v>-1.626031464241684E-2</v>
      </c>
      <c r="T964" s="30">
        <f t="shared" si="62"/>
        <v>-1.4991322235816451E-2</v>
      </c>
      <c r="U964" s="63">
        <f t="shared" ref="U964:U1027" si="63">SUMPRODUCT($L$2:$T$2,L964:T964)</f>
        <v>-2.8136502657113188E-2</v>
      </c>
    </row>
    <row r="965" spans="1:21">
      <c r="A965" s="28">
        <v>44726</v>
      </c>
      <c r="B965" s="29">
        <v>1809.5</v>
      </c>
      <c r="C965" s="29">
        <v>20.93600082</v>
      </c>
      <c r="D965" s="29">
        <v>118.9300003</v>
      </c>
      <c r="E965" s="29">
        <v>11311.690430000001</v>
      </c>
      <c r="F965" s="29">
        <v>3735.4799800000001</v>
      </c>
      <c r="G965" s="29">
        <v>30364.83008</v>
      </c>
      <c r="H965" s="29">
        <v>10.15938759</v>
      </c>
      <c r="I965" s="29">
        <v>8.2258481979999996</v>
      </c>
      <c r="J965" s="29">
        <v>10.838662149999999</v>
      </c>
      <c r="L965" s="30">
        <f t="shared" si="62"/>
        <v>-1.0120350109409149E-2</v>
      </c>
      <c r="M965" s="30">
        <f t="shared" si="62"/>
        <v>-1.412691840047009E-2</v>
      </c>
      <c r="N965" s="30">
        <f t="shared" si="62"/>
        <v>-1.6538493302228119E-2</v>
      </c>
      <c r="O965" s="30">
        <f t="shared" si="62"/>
        <v>2.0702920681032744E-3</v>
      </c>
      <c r="P965" s="30">
        <f t="shared" si="62"/>
        <v>-3.7736799208243355E-3</v>
      </c>
      <c r="Q965" s="30">
        <f t="shared" si="62"/>
        <v>-4.9779284699177362E-3</v>
      </c>
      <c r="R965" s="30">
        <f t="shared" si="62"/>
        <v>-5.7470890960552579E-3</v>
      </c>
      <c r="S965" s="30">
        <f t="shared" si="62"/>
        <v>-5.9030874597818528E-3</v>
      </c>
      <c r="T965" s="30">
        <f t="shared" si="62"/>
        <v>-5.3714433480741564E-3</v>
      </c>
      <c r="U965" s="63">
        <f t="shared" si="63"/>
        <v>-6.5256761548915234E-3</v>
      </c>
    </row>
    <row r="966" spans="1:21">
      <c r="A966" s="28">
        <v>44727</v>
      </c>
      <c r="B966" s="29">
        <v>1815.3000489999999</v>
      </c>
      <c r="C966" s="29">
        <v>21.402000430000001</v>
      </c>
      <c r="D966" s="29">
        <v>115.3099976</v>
      </c>
      <c r="E966" s="29">
        <v>11593.76953</v>
      </c>
      <c r="F966" s="29">
        <v>3789.98999</v>
      </c>
      <c r="G966" s="29">
        <v>30668.529299999998</v>
      </c>
      <c r="H966" s="29">
        <v>10.267048839999999</v>
      </c>
      <c r="I966" s="29">
        <v>8.3137741090000006</v>
      </c>
      <c r="J966" s="29">
        <v>10.94597626</v>
      </c>
      <c r="L966" s="30">
        <f t="shared" si="62"/>
        <v>3.2053324122685023E-3</v>
      </c>
      <c r="M966" s="30">
        <f t="shared" si="62"/>
        <v>2.2258291543188813E-2</v>
      </c>
      <c r="N966" s="30">
        <f t="shared" si="62"/>
        <v>-3.0438095441592261E-2</v>
      </c>
      <c r="O966" s="30">
        <f t="shared" si="62"/>
        <v>2.4936953653884597E-2</v>
      </c>
      <c r="P966" s="30">
        <f t="shared" si="62"/>
        <v>1.4592504923557348E-2</v>
      </c>
      <c r="Q966" s="30">
        <f t="shared" si="62"/>
        <v>1.0001676913714563E-2</v>
      </c>
      <c r="R966" s="30">
        <f t="shared" si="62"/>
        <v>1.0597218488442417E-2</v>
      </c>
      <c r="S966" s="30">
        <f t="shared" si="62"/>
        <v>1.0688978070538591E-2</v>
      </c>
      <c r="T966" s="30">
        <f t="shared" si="62"/>
        <v>9.9010476122276536E-3</v>
      </c>
      <c r="U966" s="63">
        <f t="shared" si="63"/>
        <v>1.1665521206917316E-2</v>
      </c>
    </row>
    <row r="967" spans="1:21">
      <c r="A967" s="28">
        <v>44728</v>
      </c>
      <c r="B967" s="29">
        <v>1845.6999510000001</v>
      </c>
      <c r="C967" s="29">
        <v>21.867000579999999</v>
      </c>
      <c r="D967" s="29">
        <v>117.5899963</v>
      </c>
      <c r="E967" s="29">
        <v>11127.570309999999</v>
      </c>
      <c r="F967" s="29">
        <v>3666.7700199999999</v>
      </c>
      <c r="G967" s="29">
        <v>29927.070309999999</v>
      </c>
      <c r="H967" s="29">
        <v>10.29641151</v>
      </c>
      <c r="I967" s="29">
        <v>8.3235416410000003</v>
      </c>
      <c r="J967" s="29">
        <v>10.95573139</v>
      </c>
      <c r="L967" s="30">
        <f t="shared" si="62"/>
        <v>1.6746488833483175E-2</v>
      </c>
      <c r="M967" s="30">
        <f t="shared" si="62"/>
        <v>2.1726947979507027E-2</v>
      </c>
      <c r="N967" s="30">
        <f t="shared" si="62"/>
        <v>1.9772775539455889E-2</v>
      </c>
      <c r="O967" s="30">
        <f t="shared" si="62"/>
        <v>-4.0211185740208544E-2</v>
      </c>
      <c r="P967" s="30">
        <f t="shared" si="62"/>
        <v>-3.2511951304652453E-2</v>
      </c>
      <c r="Q967" s="30">
        <f t="shared" si="62"/>
        <v>-2.4176542107612553E-2</v>
      </c>
      <c r="R967" s="30">
        <f t="shared" si="62"/>
        <v>2.8598938660548967E-3</v>
      </c>
      <c r="S967" s="30">
        <f t="shared" si="62"/>
        <v>1.174861365240254E-3</v>
      </c>
      <c r="T967" s="30">
        <f t="shared" si="62"/>
        <v>8.9120693927036143E-4</v>
      </c>
      <c r="U967" s="63">
        <f t="shared" si="63"/>
        <v>-9.3705320338903011E-3</v>
      </c>
    </row>
    <row r="968" spans="1:21">
      <c r="A968" s="28">
        <v>44729</v>
      </c>
      <c r="B968" s="29">
        <v>1835.599976</v>
      </c>
      <c r="C968" s="29">
        <v>21.57299995</v>
      </c>
      <c r="D968" s="29">
        <v>109.5599976</v>
      </c>
      <c r="E968" s="29">
        <v>11265.990229999999</v>
      </c>
      <c r="F968" s="29">
        <v>3674.8400879999999</v>
      </c>
      <c r="G968" s="29">
        <v>29888.779299999998</v>
      </c>
      <c r="H968" s="29">
        <v>10.286623000000001</v>
      </c>
      <c r="I968" s="29">
        <v>8.3235416410000003</v>
      </c>
      <c r="J968" s="29">
        <v>10.95573139</v>
      </c>
      <c r="L968" s="30">
        <f t="shared" si="62"/>
        <v>-5.4721651775132552E-3</v>
      </c>
      <c r="M968" s="30">
        <f t="shared" si="62"/>
        <v>-1.3444945452139367E-2</v>
      </c>
      <c r="N968" s="30">
        <f t="shared" si="62"/>
        <v>-6.8288110831414284E-2</v>
      </c>
      <c r="O968" s="30">
        <f t="shared" si="62"/>
        <v>1.2439366020056131E-2</v>
      </c>
      <c r="P968" s="30">
        <f t="shared" si="62"/>
        <v>2.2008655999647964E-3</v>
      </c>
      <c r="Q968" s="30">
        <f t="shared" si="62"/>
        <v>-1.279477396329276E-3</v>
      </c>
      <c r="R968" s="30">
        <f t="shared" si="62"/>
        <v>-9.5067198805065534E-4</v>
      </c>
      <c r="S968" s="30">
        <f t="shared" si="62"/>
        <v>0</v>
      </c>
      <c r="T968" s="30">
        <f t="shared" si="62"/>
        <v>0</v>
      </c>
      <c r="U968" s="63">
        <f t="shared" si="63"/>
        <v>-5.4683103451422877E-3</v>
      </c>
    </row>
    <row r="969" spans="1:21">
      <c r="A969" s="28">
        <v>44733</v>
      </c>
      <c r="B969" s="29">
        <v>1834.599976</v>
      </c>
      <c r="C969" s="29">
        <v>21.753999709999999</v>
      </c>
      <c r="D969" s="29">
        <v>110.6500015</v>
      </c>
      <c r="E969" s="29">
        <v>11546.759770000001</v>
      </c>
      <c r="F969" s="29">
        <v>3764.790039</v>
      </c>
      <c r="G969" s="29">
        <v>30530.25</v>
      </c>
      <c r="H969" s="29">
        <v>10.247474670000001</v>
      </c>
      <c r="I969" s="29">
        <v>8.2942333220000002</v>
      </c>
      <c r="J969" s="29">
        <v>10.926464080000001</v>
      </c>
      <c r="L969" s="30">
        <f t="shared" si="62"/>
        <v>-5.4478100516164307E-4</v>
      </c>
      <c r="M969" s="30">
        <f t="shared" si="62"/>
        <v>8.3901061706532776E-3</v>
      </c>
      <c r="N969" s="30">
        <f t="shared" si="62"/>
        <v>9.9489222697828339E-3</v>
      </c>
      <c r="O969" s="30">
        <f t="shared" si="62"/>
        <v>2.4921869650867068E-2</v>
      </c>
      <c r="P969" s="30">
        <f t="shared" si="62"/>
        <v>2.4477242232587848E-2</v>
      </c>
      <c r="Q969" s="30">
        <f t="shared" si="62"/>
        <v>2.1461923672473349E-2</v>
      </c>
      <c r="R969" s="30">
        <f t="shared" si="62"/>
        <v>-3.8057514113232216E-3</v>
      </c>
      <c r="S969" s="30">
        <f t="shared" si="62"/>
        <v>-3.5211356252047299E-3</v>
      </c>
      <c r="T969" s="30">
        <f t="shared" si="62"/>
        <v>-2.6714154407539992E-3</v>
      </c>
      <c r="U969" s="63">
        <f t="shared" si="63"/>
        <v>1.2234322762302421E-2</v>
      </c>
    </row>
    <row r="970" spans="1:21">
      <c r="A970" s="28">
        <v>44734</v>
      </c>
      <c r="B970" s="29">
        <v>1834.3000489999999</v>
      </c>
      <c r="C970" s="29">
        <v>21.406999590000002</v>
      </c>
      <c r="D970" s="29">
        <v>106.1900024</v>
      </c>
      <c r="E970" s="29">
        <v>11527.70996</v>
      </c>
      <c r="F970" s="29">
        <v>3759.889893</v>
      </c>
      <c r="G970" s="29">
        <v>30483.130860000001</v>
      </c>
      <c r="H970" s="29">
        <v>10.33556175</v>
      </c>
      <c r="I970" s="29">
        <v>8.3528499600000004</v>
      </c>
      <c r="J970" s="29">
        <v>10.99475574</v>
      </c>
      <c r="L970" s="30">
        <f t="shared" si="62"/>
        <v>-1.6348359529250178E-4</v>
      </c>
      <c r="M970" s="30">
        <f t="shared" si="62"/>
        <v>-1.5951095183681874E-2</v>
      </c>
      <c r="N970" s="30">
        <f t="shared" si="62"/>
        <v>-4.0307266511876216E-2</v>
      </c>
      <c r="O970" s="30">
        <f t="shared" si="62"/>
        <v>-1.6497970321938116E-3</v>
      </c>
      <c r="P970" s="30">
        <f t="shared" si="62"/>
        <v>-1.3015721857629892E-3</v>
      </c>
      <c r="Q970" s="30">
        <f t="shared" si="62"/>
        <v>-1.5433591274227609E-3</v>
      </c>
      <c r="R970" s="30">
        <f t="shared" si="62"/>
        <v>8.5959792862799755E-3</v>
      </c>
      <c r="S970" s="30">
        <f t="shared" si="62"/>
        <v>7.0671556639867461E-3</v>
      </c>
      <c r="T970" s="30">
        <f t="shared" si="62"/>
        <v>6.2501152705936036E-3</v>
      </c>
      <c r="U970" s="63">
        <f t="shared" si="63"/>
        <v>-4.2852803666305825E-3</v>
      </c>
    </row>
    <row r="971" spans="1:21">
      <c r="A971" s="28">
        <v>44735</v>
      </c>
      <c r="B971" s="29">
        <v>1825.6999510000001</v>
      </c>
      <c r="C971" s="29">
        <v>21.031999590000002</v>
      </c>
      <c r="D971" s="29">
        <v>104.2699966</v>
      </c>
      <c r="E971" s="29">
        <v>11697.679690000001</v>
      </c>
      <c r="F971" s="29">
        <v>3795.7299800000001</v>
      </c>
      <c r="G971" s="29">
        <v>30677.359380000002</v>
      </c>
      <c r="H971" s="29">
        <v>10.37471199</v>
      </c>
      <c r="I971" s="29">
        <v>8.3821582790000004</v>
      </c>
      <c r="J971" s="29">
        <v>11.033777239999999</v>
      </c>
      <c r="L971" s="30">
        <f t="shared" si="62"/>
        <v>-4.6884903070729678E-3</v>
      </c>
      <c r="M971" s="30">
        <f t="shared" si="62"/>
        <v>-1.7517634754156575E-2</v>
      </c>
      <c r="N971" s="30">
        <f t="shared" si="62"/>
        <v>-1.8080852779037149E-2</v>
      </c>
      <c r="O971" s="30">
        <f t="shared" si="62"/>
        <v>1.4744448861897075E-2</v>
      </c>
      <c r="P971" s="30">
        <f t="shared" si="62"/>
        <v>9.5322171712330928E-3</v>
      </c>
      <c r="Q971" s="30">
        <f t="shared" si="62"/>
        <v>6.3716722830091665E-3</v>
      </c>
      <c r="R971" s="30">
        <f t="shared" si="62"/>
        <v>3.7879160269154166E-3</v>
      </c>
      <c r="S971" s="30">
        <f t="shared" si="62"/>
        <v>3.508780732367045E-3</v>
      </c>
      <c r="T971" s="30">
        <f t="shared" si="62"/>
        <v>3.5491011280981422E-3</v>
      </c>
      <c r="U971" s="63">
        <f t="shared" si="63"/>
        <v>1.4960707102527986E-3</v>
      </c>
    </row>
    <row r="972" spans="1:21">
      <c r="A972" s="28">
        <v>44736</v>
      </c>
      <c r="B972" s="29">
        <v>1826.5</v>
      </c>
      <c r="C972" s="29">
        <v>21.115999219999999</v>
      </c>
      <c r="D972" s="29">
        <v>107.6200027</v>
      </c>
      <c r="E972" s="29">
        <v>12105.849609999999</v>
      </c>
      <c r="F972" s="29">
        <v>3911.73999</v>
      </c>
      <c r="G972" s="29">
        <v>31500.679690000001</v>
      </c>
      <c r="H972" s="29">
        <v>10.3453474</v>
      </c>
      <c r="I972" s="29">
        <v>8.3626203540000006</v>
      </c>
      <c r="J972" s="29">
        <v>11.00451088</v>
      </c>
      <c r="L972" s="30">
        <f t="shared" si="62"/>
        <v>4.3821494302043185E-4</v>
      </c>
      <c r="M972" s="30">
        <f t="shared" si="62"/>
        <v>3.9938965213719424E-3</v>
      </c>
      <c r="N972" s="30">
        <f t="shared" si="62"/>
        <v>3.2128188445725847E-2</v>
      </c>
      <c r="O972" s="30">
        <f t="shared" si="62"/>
        <v>3.4893237874253913E-2</v>
      </c>
      <c r="P972" s="30">
        <f t="shared" si="62"/>
        <v>3.0563293651357126E-2</v>
      </c>
      <c r="Q972" s="30">
        <f t="shared" si="62"/>
        <v>2.6838043646506327E-2</v>
      </c>
      <c r="R972" s="30">
        <f t="shared" si="62"/>
        <v>-2.8304004996286825E-3</v>
      </c>
      <c r="S972" s="30">
        <f t="shared" si="62"/>
        <v>-2.3308943054617393E-3</v>
      </c>
      <c r="T972" s="30">
        <f t="shared" si="62"/>
        <v>-2.6524334652962001E-3</v>
      </c>
      <c r="U972" s="63">
        <f t="shared" si="63"/>
        <v>1.6681683200975836E-2</v>
      </c>
    </row>
    <row r="973" spans="1:21">
      <c r="A973" s="28">
        <v>44739</v>
      </c>
      <c r="B973" s="29">
        <v>1820.900024</v>
      </c>
      <c r="C973" s="29">
        <v>21.1590004</v>
      </c>
      <c r="D973" s="29">
        <v>109.5699997</v>
      </c>
      <c r="E973" s="29">
        <v>12008.240229999999</v>
      </c>
      <c r="F973" s="29">
        <v>3900.110107</v>
      </c>
      <c r="G973" s="29">
        <v>31438.259770000001</v>
      </c>
      <c r="H973" s="29">
        <v>10.315985680000001</v>
      </c>
      <c r="I973" s="29">
        <v>8.3333101270000007</v>
      </c>
      <c r="J973" s="29">
        <v>10.97524261</v>
      </c>
      <c r="L973" s="30">
        <f t="shared" si="62"/>
        <v>-3.0659600328496461E-3</v>
      </c>
      <c r="M973" s="30">
        <f t="shared" si="62"/>
        <v>2.0364264817396283E-3</v>
      </c>
      <c r="N973" s="30">
        <f t="shared" si="62"/>
        <v>1.8119280348243283E-2</v>
      </c>
      <c r="O973" s="30">
        <f t="shared" si="62"/>
        <v>-8.0629929451105919E-3</v>
      </c>
      <c r="P973" s="30">
        <f t="shared" si="62"/>
        <v>-2.9730715818869768E-3</v>
      </c>
      <c r="Q973" s="30">
        <f t="shared" si="62"/>
        <v>-1.9815420052607946E-3</v>
      </c>
      <c r="R973" s="30">
        <f t="shared" si="62"/>
        <v>-2.8381569863955569E-3</v>
      </c>
      <c r="S973" s="30">
        <f t="shared" si="62"/>
        <v>-3.5049094373846845E-3</v>
      </c>
      <c r="T973" s="30">
        <f t="shared" si="62"/>
        <v>-2.6596611443396867E-3</v>
      </c>
      <c r="U973" s="63">
        <f t="shared" si="63"/>
        <v>-1.2090457652589532E-3</v>
      </c>
    </row>
    <row r="974" spans="1:21">
      <c r="A974" s="28">
        <v>44740</v>
      </c>
      <c r="B974" s="29">
        <v>1817.5</v>
      </c>
      <c r="C974" s="29">
        <v>20.79700089</v>
      </c>
      <c r="D974" s="29">
        <v>111.76000209999999</v>
      </c>
      <c r="E974" s="29">
        <v>11637.76953</v>
      </c>
      <c r="F974" s="29">
        <v>3821.5500489999999</v>
      </c>
      <c r="G974" s="29">
        <v>30946.990229999999</v>
      </c>
      <c r="H974" s="29">
        <v>10.315985680000001</v>
      </c>
      <c r="I974" s="29">
        <v>8.3333101270000007</v>
      </c>
      <c r="J974" s="29">
        <v>10.97524261</v>
      </c>
      <c r="L974" s="30">
        <f t="shared" si="62"/>
        <v>-1.8672216789427099E-3</v>
      </c>
      <c r="M974" s="30">
        <f t="shared" si="62"/>
        <v>-1.7108535524201773E-2</v>
      </c>
      <c r="N974" s="30">
        <f t="shared" si="62"/>
        <v>1.9987244738488341E-2</v>
      </c>
      <c r="O974" s="30">
        <f t="shared" si="62"/>
        <v>-3.0851373132464333E-2</v>
      </c>
      <c r="P974" s="30">
        <f t="shared" si="62"/>
        <v>-2.0143035925831665E-2</v>
      </c>
      <c r="Q974" s="30">
        <f t="shared" si="62"/>
        <v>-1.5626486440219467E-2</v>
      </c>
      <c r="R974" s="30">
        <f t="shared" si="62"/>
        <v>0</v>
      </c>
      <c r="S974" s="30">
        <f t="shared" si="62"/>
        <v>0</v>
      </c>
      <c r="T974" s="30">
        <f t="shared" si="62"/>
        <v>0</v>
      </c>
      <c r="U974" s="63">
        <f t="shared" si="63"/>
        <v>-1.1438849720458149E-2</v>
      </c>
    </row>
    <row r="975" spans="1:21">
      <c r="A975" s="28">
        <v>44741</v>
      </c>
      <c r="B975" s="29">
        <v>1813.6999510000001</v>
      </c>
      <c r="C975" s="29">
        <v>20.667999269999999</v>
      </c>
      <c r="D975" s="29">
        <v>109.7799988</v>
      </c>
      <c r="E975" s="29">
        <v>11658.259770000001</v>
      </c>
      <c r="F975" s="29">
        <v>3818.830078</v>
      </c>
      <c r="G975" s="29">
        <v>31029.310549999998</v>
      </c>
      <c r="H975" s="29">
        <v>10.37471199</v>
      </c>
      <c r="I975" s="29">
        <v>8.3821582790000004</v>
      </c>
      <c r="J975" s="29">
        <v>11.024023059999999</v>
      </c>
      <c r="L975" s="30">
        <f t="shared" si="62"/>
        <v>-2.0908110041265582E-3</v>
      </c>
      <c r="M975" s="30">
        <f t="shared" si="62"/>
        <v>-6.2028953444931423E-3</v>
      </c>
      <c r="N975" s="30">
        <f t="shared" si="62"/>
        <v>-1.7716564627730969E-2</v>
      </c>
      <c r="O975" s="30">
        <f t="shared" si="62"/>
        <v>1.7606672779677535E-3</v>
      </c>
      <c r="P975" s="30">
        <f t="shared" si="62"/>
        <v>-7.1174548681152139E-4</v>
      </c>
      <c r="Q975" s="30">
        <f t="shared" si="62"/>
        <v>2.6600428470811011E-3</v>
      </c>
      <c r="R975" s="30">
        <f t="shared" si="62"/>
        <v>5.6927483055597694E-3</v>
      </c>
      <c r="S975" s="30">
        <f t="shared" si="62"/>
        <v>5.8617945636909585E-3</v>
      </c>
      <c r="T975" s="30">
        <f t="shared" si="62"/>
        <v>4.4445896763642967E-3</v>
      </c>
      <c r="U975" s="63">
        <f t="shared" si="63"/>
        <v>-9.5601822190999547E-4</v>
      </c>
    </row>
    <row r="976" spans="1:21">
      <c r="A976" s="28">
        <v>44742</v>
      </c>
      <c r="B976" s="29">
        <v>1804.099976</v>
      </c>
      <c r="C976" s="29">
        <v>20.281999590000002</v>
      </c>
      <c r="D976" s="29">
        <v>105.76000209999999</v>
      </c>
      <c r="E976" s="29">
        <v>11503.719730000001</v>
      </c>
      <c r="F976" s="29">
        <v>3785.3798830000001</v>
      </c>
      <c r="G976" s="29">
        <v>30775.429690000001</v>
      </c>
      <c r="H976" s="29">
        <v>10.433547020000001</v>
      </c>
      <c r="I976" s="29">
        <v>8.4144468309999993</v>
      </c>
      <c r="J976" s="29">
        <v>11.06703854</v>
      </c>
      <c r="L976" s="30">
        <f t="shared" si="62"/>
        <v>-5.2930337207689471E-3</v>
      </c>
      <c r="M976" s="30">
        <f t="shared" si="62"/>
        <v>-1.8676199614555022E-2</v>
      </c>
      <c r="N976" s="30">
        <f t="shared" si="62"/>
        <v>-3.6618662269469859E-2</v>
      </c>
      <c r="O976" s="30">
        <f t="shared" si="62"/>
        <v>-1.3255841184605877E-2</v>
      </c>
      <c r="P976" s="30">
        <f t="shared" si="62"/>
        <v>-8.7592781864540559E-3</v>
      </c>
      <c r="Q976" s="30">
        <f t="shared" si="62"/>
        <v>-8.1819690963129688E-3</v>
      </c>
      <c r="R976" s="30">
        <f t="shared" si="62"/>
        <v>5.6710036921228113E-3</v>
      </c>
      <c r="S976" s="30">
        <f t="shared" si="62"/>
        <v>3.8520570627844641E-3</v>
      </c>
      <c r="T976" s="30">
        <f t="shared" si="62"/>
        <v>3.9019765983689947E-3</v>
      </c>
      <c r="U976" s="63">
        <f t="shared" si="63"/>
        <v>-9.2926771975492956E-3</v>
      </c>
    </row>
    <row r="977" spans="1:21">
      <c r="A977" s="28">
        <v>44743</v>
      </c>
      <c r="B977" s="29">
        <v>1798.900024</v>
      </c>
      <c r="C977" s="29">
        <v>19.597000120000001</v>
      </c>
      <c r="D977" s="29">
        <v>108.4300003</v>
      </c>
      <c r="E977" s="29">
        <v>11585.679690000001</v>
      </c>
      <c r="F977" s="29">
        <v>3825.330078</v>
      </c>
      <c r="G977" s="29">
        <v>31097.259770000001</v>
      </c>
      <c r="H977" s="29">
        <v>10.50218868</v>
      </c>
      <c r="I977" s="29">
        <v>8.4731521609999998</v>
      </c>
      <c r="J977" s="29">
        <v>11.13547421</v>
      </c>
      <c r="L977" s="30">
        <f t="shared" si="62"/>
        <v>-2.8822970285322658E-3</v>
      </c>
      <c r="M977" s="30">
        <f t="shared" si="62"/>
        <v>-3.3773764118294247E-2</v>
      </c>
      <c r="N977" s="30">
        <f t="shared" si="62"/>
        <v>2.5245822115958605E-2</v>
      </c>
      <c r="O977" s="30">
        <f t="shared" si="62"/>
        <v>7.1246485418330341E-3</v>
      </c>
      <c r="P977" s="30">
        <f t="shared" si="62"/>
        <v>1.0553813945969992E-2</v>
      </c>
      <c r="Q977" s="30">
        <f t="shared" si="62"/>
        <v>1.0457370806574717E-2</v>
      </c>
      <c r="R977" s="30">
        <f t="shared" si="62"/>
        <v>6.5789380992313795E-3</v>
      </c>
      <c r="S977" s="30">
        <f t="shared" si="62"/>
        <v>6.9767307559329694E-3</v>
      </c>
      <c r="T977" s="30">
        <f t="shared" si="62"/>
        <v>6.1837382921050565E-3</v>
      </c>
      <c r="U977" s="63">
        <f t="shared" si="63"/>
        <v>2.7752564713362446E-3</v>
      </c>
    </row>
    <row r="978" spans="1:21">
      <c r="A978" s="28">
        <v>44747</v>
      </c>
      <c r="B978" s="29">
        <v>1761.8000489999999</v>
      </c>
      <c r="C978" s="29">
        <v>19.05200005</v>
      </c>
      <c r="D978" s="29">
        <v>99.5</v>
      </c>
      <c r="E978" s="29">
        <v>11779.900390000001</v>
      </c>
      <c r="F978" s="29">
        <v>3831.389893</v>
      </c>
      <c r="G978" s="29">
        <v>30967.820309999999</v>
      </c>
      <c r="H978" s="29">
        <v>10.53160572</v>
      </c>
      <c r="I978" s="29">
        <v>8.4927186970000008</v>
      </c>
      <c r="J978" s="29">
        <v>11.155028339999999</v>
      </c>
      <c r="L978" s="30">
        <f t="shared" si="62"/>
        <v>-2.0623700319657212E-2</v>
      </c>
      <c r="M978" s="30">
        <f t="shared" si="62"/>
        <v>-2.7810382541345824E-2</v>
      </c>
      <c r="N978" s="30">
        <f t="shared" si="62"/>
        <v>-8.2357283734140196E-2</v>
      </c>
      <c r="O978" s="30">
        <f t="shared" si="62"/>
        <v>1.6763858935927356E-2</v>
      </c>
      <c r="P978" s="30">
        <f t="shared" si="62"/>
        <v>1.5841286572499946E-3</v>
      </c>
      <c r="Q978" s="30">
        <f t="shared" si="62"/>
        <v>-4.1624072653781985E-3</v>
      </c>
      <c r="R978" s="30">
        <f t="shared" si="62"/>
        <v>2.8010389925692269E-3</v>
      </c>
      <c r="S978" s="30">
        <f t="shared" si="62"/>
        <v>2.3092393041235226E-3</v>
      </c>
      <c r="T978" s="30">
        <f t="shared" si="62"/>
        <v>1.7560213091274424E-3</v>
      </c>
      <c r="U978" s="63">
        <f t="shared" si="63"/>
        <v>-8.7219039496794024E-3</v>
      </c>
    </row>
    <row r="979" spans="1:21">
      <c r="A979" s="28">
        <v>44748</v>
      </c>
      <c r="B979" s="29">
        <v>1734.900024</v>
      </c>
      <c r="C979" s="29">
        <v>19.084999079999999</v>
      </c>
      <c r="D979" s="29">
        <v>98.52999878</v>
      </c>
      <c r="E979" s="29">
        <v>11852.589840000001</v>
      </c>
      <c r="F979" s="29">
        <v>3845.080078</v>
      </c>
      <c r="G979" s="29">
        <v>31037.679690000001</v>
      </c>
      <c r="H979" s="29">
        <v>10.46296501</v>
      </c>
      <c r="I979" s="29">
        <v>8.4437999730000008</v>
      </c>
      <c r="J979" s="29">
        <v>11.09636879</v>
      </c>
      <c r="L979" s="30">
        <f t="shared" si="62"/>
        <v>-1.526848918824153E-2</v>
      </c>
      <c r="M979" s="30">
        <f t="shared" si="62"/>
        <v>1.7320506987925643E-3</v>
      </c>
      <c r="N979" s="30">
        <f t="shared" si="62"/>
        <v>-9.7487559798995482E-3</v>
      </c>
      <c r="O979" s="30">
        <f t="shared" si="62"/>
        <v>6.1706336720559474E-3</v>
      </c>
      <c r="P979" s="30">
        <f t="shared" si="62"/>
        <v>3.5731641473011333E-3</v>
      </c>
      <c r="Q979" s="30">
        <f t="shared" si="62"/>
        <v>2.2558701032453499E-3</v>
      </c>
      <c r="R979" s="30">
        <f t="shared" si="62"/>
        <v>-6.5175920771177731E-3</v>
      </c>
      <c r="S979" s="30">
        <f t="shared" si="62"/>
        <v>-5.7600782205680101E-3</v>
      </c>
      <c r="T979" s="30">
        <f t="shared" si="62"/>
        <v>-5.2585747173458097E-3</v>
      </c>
      <c r="U979" s="63">
        <f t="shared" si="63"/>
        <v>-9.2918636005896846E-4</v>
      </c>
    </row>
    <row r="980" spans="1:21">
      <c r="A980" s="28">
        <v>44749</v>
      </c>
      <c r="B980" s="29">
        <v>1737.900024</v>
      </c>
      <c r="C980" s="29">
        <v>19.12199974</v>
      </c>
      <c r="D980" s="29">
        <v>102.7300034</v>
      </c>
      <c r="E980" s="29">
        <v>12109.049800000001</v>
      </c>
      <c r="F980" s="29">
        <v>3902.6201169999999</v>
      </c>
      <c r="G980" s="29">
        <v>31384.550780000001</v>
      </c>
      <c r="H980" s="29">
        <v>10.433547020000001</v>
      </c>
      <c r="I980" s="29">
        <v>8.4242305759999994</v>
      </c>
      <c r="J980" s="29">
        <v>11.076815610000001</v>
      </c>
      <c r="L980" s="30">
        <f t="shared" si="62"/>
        <v>1.7292062703897493E-3</v>
      </c>
      <c r="M980" s="30">
        <f t="shared" si="62"/>
        <v>1.9387299860431639E-3</v>
      </c>
      <c r="N980" s="30">
        <f t="shared" si="62"/>
        <v>4.2626658601487177E-2</v>
      </c>
      <c r="O980" s="30">
        <f t="shared" si="62"/>
        <v>2.1637461808937442E-2</v>
      </c>
      <c r="P980" s="30">
        <f t="shared" si="62"/>
        <v>1.4964587949473751E-2</v>
      </c>
      <c r="Q980" s="30">
        <f t="shared" si="62"/>
        <v>1.1175806099698926E-2</v>
      </c>
      <c r="R980" s="30">
        <f t="shared" si="62"/>
        <v>-2.8116303525704822E-3</v>
      </c>
      <c r="S980" s="30">
        <f t="shared" si="62"/>
        <v>-2.3176054694067361E-3</v>
      </c>
      <c r="T980" s="30">
        <f t="shared" si="62"/>
        <v>-1.7621242020741112E-3</v>
      </c>
      <c r="U980" s="63">
        <f t="shared" si="63"/>
        <v>1.0509073036610753E-2</v>
      </c>
    </row>
    <row r="981" spans="1:21">
      <c r="A981" s="28">
        <v>44750</v>
      </c>
      <c r="B981" s="29">
        <v>1740.599976</v>
      </c>
      <c r="C981" s="29">
        <v>19.166999820000001</v>
      </c>
      <c r="D981" s="29">
        <v>104.7900009</v>
      </c>
      <c r="E981" s="29">
        <v>12125.690430000001</v>
      </c>
      <c r="F981" s="29">
        <v>3899.3798830000001</v>
      </c>
      <c r="G981" s="29">
        <v>31338.150389999999</v>
      </c>
      <c r="H981" s="29">
        <v>10.394324299999999</v>
      </c>
      <c r="I981" s="29">
        <v>8.3948774339999996</v>
      </c>
      <c r="J981" s="29">
        <v>11.03770924</v>
      </c>
      <c r="L981" s="30">
        <f t="shared" si="62"/>
        <v>1.5535715304184627E-3</v>
      </c>
      <c r="M981" s="30">
        <f t="shared" si="62"/>
        <v>2.3533145388485721E-3</v>
      </c>
      <c r="N981" s="30">
        <f t="shared" si="62"/>
        <v>2.005253997684564E-2</v>
      </c>
      <c r="O981" s="30">
        <f t="shared" si="62"/>
        <v>1.3742308665705139E-3</v>
      </c>
      <c r="P981" s="30">
        <f t="shared" si="62"/>
        <v>-8.3027143376968038E-4</v>
      </c>
      <c r="Q981" s="30">
        <f t="shared" si="62"/>
        <v>-1.4784468423735264E-3</v>
      </c>
      <c r="R981" s="30">
        <f t="shared" si="62"/>
        <v>-3.7592891396200923E-3</v>
      </c>
      <c r="S981" s="30">
        <f t="shared" si="62"/>
        <v>-3.484370677557691E-3</v>
      </c>
      <c r="T981" s="30">
        <f t="shared" si="62"/>
        <v>-3.5304704327384639E-3</v>
      </c>
      <c r="U981" s="63">
        <f t="shared" si="63"/>
        <v>8.8912753877587079E-4</v>
      </c>
    </row>
    <row r="982" spans="1:21">
      <c r="A982" s="28">
        <v>44753</v>
      </c>
      <c r="B982" s="29">
        <v>1730</v>
      </c>
      <c r="C982" s="29">
        <v>19.06699944</v>
      </c>
      <c r="D982" s="29">
        <v>104.0899963</v>
      </c>
      <c r="E982" s="29">
        <v>11860.280269999999</v>
      </c>
      <c r="F982" s="29">
        <v>3854.429932</v>
      </c>
      <c r="G982" s="29">
        <v>31173.839840000001</v>
      </c>
      <c r="H982" s="29">
        <v>10.45315933</v>
      </c>
      <c r="I982" s="29">
        <v>8.4340143199999993</v>
      </c>
      <c r="J982" s="29">
        <v>11.086591719999999</v>
      </c>
      <c r="L982" s="30">
        <f t="shared" si="62"/>
        <v>-6.0898403689280123E-3</v>
      </c>
      <c r="M982" s="30">
        <f t="shared" si="62"/>
        <v>-5.2173204434246001E-3</v>
      </c>
      <c r="N982" s="30">
        <f t="shared" si="62"/>
        <v>-6.6800705600528199E-3</v>
      </c>
      <c r="O982" s="30">
        <f t="shared" si="62"/>
        <v>-2.1888251356257049E-2</v>
      </c>
      <c r="P982" s="30">
        <f t="shared" si="62"/>
        <v>-1.1527461378145532E-2</v>
      </c>
      <c r="Q982" s="30">
        <f t="shared" si="62"/>
        <v>-5.243147663635872E-3</v>
      </c>
      <c r="R982" s="30">
        <f t="shared" si="62"/>
        <v>5.6603034792748197E-3</v>
      </c>
      <c r="S982" s="30">
        <f t="shared" si="62"/>
        <v>4.6619961170000224E-3</v>
      </c>
      <c r="T982" s="30">
        <f t="shared" si="62"/>
        <v>4.4286798045787279E-3</v>
      </c>
      <c r="U982" s="63">
        <f t="shared" si="63"/>
        <v>-6.6528156418538594E-3</v>
      </c>
    </row>
    <row r="983" spans="1:21">
      <c r="A983" s="28">
        <v>44754</v>
      </c>
      <c r="B983" s="29">
        <v>1723.3000489999999</v>
      </c>
      <c r="C983" s="29">
        <v>18.899000170000001</v>
      </c>
      <c r="D983" s="29">
        <v>95.839996339999999</v>
      </c>
      <c r="E983" s="29">
        <v>11744.990229999999</v>
      </c>
      <c r="F983" s="29">
        <v>3818.8000489999999</v>
      </c>
      <c r="G983" s="29">
        <v>30981.33008</v>
      </c>
      <c r="H983" s="29">
        <v>10.472770690000001</v>
      </c>
      <c r="I983" s="29">
        <v>8.4437999730000008</v>
      </c>
      <c r="J983" s="29">
        <v>11.106144909999999</v>
      </c>
      <c r="L983" s="30">
        <f t="shared" si="62"/>
        <v>-3.8728040462427948E-3</v>
      </c>
      <c r="M983" s="30">
        <f t="shared" si="62"/>
        <v>-8.810996744855415E-3</v>
      </c>
      <c r="N983" s="30">
        <f t="shared" si="62"/>
        <v>-7.9258336566969345E-2</v>
      </c>
      <c r="O983" s="30">
        <f t="shared" ref="O983:T1035" si="64">(E983/E982)-1</f>
        <v>-9.720684281940617E-3</v>
      </c>
      <c r="P983" s="30">
        <f t="shared" si="64"/>
        <v>-9.243878765105018E-3</v>
      </c>
      <c r="Q983" s="30">
        <f t="shared" si="64"/>
        <v>-6.1753624509544025E-3</v>
      </c>
      <c r="R983" s="30">
        <f t="shared" si="64"/>
        <v>1.8761179640414127E-3</v>
      </c>
      <c r="S983" s="30">
        <f t="shared" si="64"/>
        <v>1.1602604203311273E-3</v>
      </c>
      <c r="T983" s="30">
        <f t="shared" si="64"/>
        <v>1.7636790903670096E-3</v>
      </c>
      <c r="U983" s="63">
        <f t="shared" si="63"/>
        <v>-1.1335987580738076E-2</v>
      </c>
    </row>
    <row r="984" spans="1:21">
      <c r="A984" s="28">
        <v>44755</v>
      </c>
      <c r="B984" s="29">
        <v>1734.1999510000001</v>
      </c>
      <c r="C984" s="29">
        <v>19.13800049</v>
      </c>
      <c r="D984" s="29">
        <v>96.300003050000001</v>
      </c>
      <c r="E984" s="29">
        <v>11728.530269999999</v>
      </c>
      <c r="F984" s="29">
        <v>3801.780029</v>
      </c>
      <c r="G984" s="29">
        <v>30772.789059999999</v>
      </c>
      <c r="H984" s="29">
        <v>10.492381099999999</v>
      </c>
      <c r="I984" s="29">
        <v>8.4633684159999998</v>
      </c>
      <c r="J984" s="29">
        <v>11.125699040000001</v>
      </c>
      <c r="L984" s="30">
        <f t="shared" ref="L984:Q1028" si="65">(B984/B983)-1</f>
        <v>6.3250169384752031E-3</v>
      </c>
      <c r="M984" s="30">
        <f t="shared" si="65"/>
        <v>1.2646188573477213E-2</v>
      </c>
      <c r="N984" s="30">
        <f t="shared" si="65"/>
        <v>4.7997363059999465E-3</v>
      </c>
      <c r="O984" s="30">
        <f t="shared" si="64"/>
        <v>-1.4014451845142384E-3</v>
      </c>
      <c r="P984" s="30">
        <f t="shared" si="64"/>
        <v>-4.4569026347573981E-3</v>
      </c>
      <c r="Q984" s="30">
        <f t="shared" si="64"/>
        <v>-6.7311835696370892E-3</v>
      </c>
      <c r="R984" s="30">
        <f t="shared" si="64"/>
        <v>1.8725140252258132E-3</v>
      </c>
      <c r="S984" s="30">
        <f t="shared" si="64"/>
        <v>2.3174924870994484E-3</v>
      </c>
      <c r="T984" s="30">
        <f t="shared" si="64"/>
        <v>1.7606586406408997E-3</v>
      </c>
      <c r="U984" s="63">
        <f t="shared" si="63"/>
        <v>1.4337190195017173E-3</v>
      </c>
    </row>
    <row r="985" spans="1:21">
      <c r="A985" s="28">
        <v>44756</v>
      </c>
      <c r="B985" s="29">
        <v>1704.5</v>
      </c>
      <c r="C985" s="29">
        <v>18.169000629999999</v>
      </c>
      <c r="D985" s="29">
        <v>95.77999878</v>
      </c>
      <c r="E985" s="29">
        <v>11768.400390000001</v>
      </c>
      <c r="F985" s="29">
        <v>3790.3798830000001</v>
      </c>
      <c r="G985" s="29">
        <v>30630.16992</v>
      </c>
      <c r="H985" s="29">
        <v>10.45315933</v>
      </c>
      <c r="I985" s="29">
        <v>8.4340143199999993</v>
      </c>
      <c r="J985" s="29">
        <v>11.086591719999999</v>
      </c>
      <c r="L985" s="30">
        <f t="shared" si="65"/>
        <v>-1.7126024587230559E-2</v>
      </c>
      <c r="M985" s="30">
        <f t="shared" si="65"/>
        <v>-5.0632241362221886E-2</v>
      </c>
      <c r="N985" s="30">
        <f t="shared" si="65"/>
        <v>-5.399836485259657E-3</v>
      </c>
      <c r="O985" s="30">
        <f t="shared" si="64"/>
        <v>3.3994131474412992E-3</v>
      </c>
      <c r="P985" s="30">
        <f t="shared" si="64"/>
        <v>-2.9986337749789982E-3</v>
      </c>
      <c r="Q985" s="30">
        <f t="shared" si="64"/>
        <v>-4.6345860858411081E-3</v>
      </c>
      <c r="R985" s="30">
        <f t="shared" si="64"/>
        <v>-3.7381190814732568E-3</v>
      </c>
      <c r="S985" s="30">
        <f t="shared" si="64"/>
        <v>-3.4683703411170219E-3</v>
      </c>
      <c r="T985" s="30">
        <f t="shared" si="64"/>
        <v>-3.515043851123334E-3</v>
      </c>
      <c r="U985" s="63">
        <f t="shared" si="63"/>
        <v>-1.0630878337631437E-2</v>
      </c>
    </row>
    <row r="986" spans="1:21">
      <c r="A986" s="28">
        <v>44757</v>
      </c>
      <c r="B986" s="29">
        <v>1702.400024</v>
      </c>
      <c r="C986" s="29">
        <v>18.548000340000002</v>
      </c>
      <c r="D986" s="29">
        <v>97.589996339999999</v>
      </c>
      <c r="E986" s="29">
        <v>11983.62012</v>
      </c>
      <c r="F986" s="29">
        <v>3863.1599120000001</v>
      </c>
      <c r="G986" s="29">
        <v>31288.259770000001</v>
      </c>
      <c r="H986" s="29">
        <v>10.492381099999999</v>
      </c>
      <c r="I986" s="29">
        <v>8.4633684159999998</v>
      </c>
      <c r="J986" s="29">
        <v>11.125699040000001</v>
      </c>
      <c r="L986" s="30">
        <f t="shared" si="65"/>
        <v>-1.2320187738339428E-3</v>
      </c>
      <c r="M986" s="30">
        <f t="shared" si="65"/>
        <v>2.0859689408244675E-2</v>
      </c>
      <c r="N986" s="30">
        <f t="shared" si="65"/>
        <v>1.8897448142147555E-2</v>
      </c>
      <c r="O986" s="30">
        <f t="shared" si="64"/>
        <v>1.8287934032468645E-2</v>
      </c>
      <c r="P986" s="30">
        <f t="shared" si="64"/>
        <v>1.9201249280163424E-2</v>
      </c>
      <c r="Q986" s="30">
        <f t="shared" si="64"/>
        <v>2.1485021197035437E-2</v>
      </c>
      <c r="R986" s="30">
        <f t="shared" si="64"/>
        <v>3.7521450464679251E-3</v>
      </c>
      <c r="S986" s="30">
        <f t="shared" si="64"/>
        <v>3.4804418022378325E-3</v>
      </c>
      <c r="T986" s="30">
        <f t="shared" si="64"/>
        <v>3.5274429678375796E-3</v>
      </c>
      <c r="U986" s="63">
        <f t="shared" si="63"/>
        <v>1.4131842363210707E-2</v>
      </c>
    </row>
    <row r="987" spans="1:21">
      <c r="A987" s="28">
        <v>44760</v>
      </c>
      <c r="B987" s="29">
        <v>1709.1999510000001</v>
      </c>
      <c r="C987" s="29">
        <v>18.791000369999999</v>
      </c>
      <c r="D987" s="29">
        <v>102.5999985</v>
      </c>
      <c r="E987" s="29">
        <v>11877.5</v>
      </c>
      <c r="F987" s="29">
        <v>3830.8500979999999</v>
      </c>
      <c r="G987" s="29">
        <v>31072.609380000002</v>
      </c>
      <c r="H987" s="29">
        <v>10.472770690000001</v>
      </c>
      <c r="I987" s="29">
        <v>8.4535837170000008</v>
      </c>
      <c r="J987" s="29">
        <v>11.11592102</v>
      </c>
      <c r="L987" s="30">
        <f t="shared" si="65"/>
        <v>3.9943179653056937E-3</v>
      </c>
      <c r="M987" s="30">
        <f t="shared" si="65"/>
        <v>1.3101144357645422E-2</v>
      </c>
      <c r="N987" s="30">
        <f t="shared" si="65"/>
        <v>5.1337251233674941E-2</v>
      </c>
      <c r="O987" s="30">
        <f t="shared" si="64"/>
        <v>-8.8554309079683646E-3</v>
      </c>
      <c r="P987" s="30">
        <f t="shared" si="64"/>
        <v>-8.3635714637743108E-3</v>
      </c>
      <c r="Q987" s="30">
        <f t="shared" si="64"/>
        <v>-6.8923740593195282E-3</v>
      </c>
      <c r="R987" s="30">
        <f t="shared" si="64"/>
        <v>-1.8690142697922463E-3</v>
      </c>
      <c r="S987" s="30">
        <f t="shared" si="64"/>
        <v>-1.1561234864242431E-3</v>
      </c>
      <c r="T987" s="30">
        <f t="shared" si="64"/>
        <v>-8.788679223521445E-4</v>
      </c>
      <c r="U987" s="63">
        <f t="shared" si="63"/>
        <v>1.9769997319221857E-3</v>
      </c>
    </row>
    <row r="988" spans="1:21">
      <c r="A988" s="28">
        <v>44761</v>
      </c>
      <c r="B988" s="29">
        <v>1710</v>
      </c>
      <c r="C988" s="29">
        <v>18.670000080000001</v>
      </c>
      <c r="D988" s="29">
        <v>104.2200012</v>
      </c>
      <c r="E988" s="29">
        <v>12249.41992</v>
      </c>
      <c r="F988" s="29">
        <v>3936.6899410000001</v>
      </c>
      <c r="G988" s="29">
        <v>31827.050780000001</v>
      </c>
      <c r="H988" s="29">
        <v>10.44335175</v>
      </c>
      <c r="I988" s="29">
        <v>8.4340143199999993</v>
      </c>
      <c r="J988" s="29">
        <v>11.09636879</v>
      </c>
      <c r="L988" s="30">
        <f t="shared" si="65"/>
        <v>4.6808391231922819E-4</v>
      </c>
      <c r="M988" s="30">
        <f t="shared" si="65"/>
        <v>-6.4392681399323415E-3</v>
      </c>
      <c r="N988" s="30">
        <f t="shared" si="65"/>
        <v>1.5789500230840581E-2</v>
      </c>
      <c r="O988" s="30">
        <f t="shared" si="65"/>
        <v>3.1312980004209567E-2</v>
      </c>
      <c r="P988" s="30">
        <f t="shared" si="65"/>
        <v>2.7628291447701514E-2</v>
      </c>
      <c r="Q988" s="30">
        <f t="shared" si="65"/>
        <v>2.4279949931903744E-2</v>
      </c>
      <c r="R988" s="30">
        <f t="shared" si="64"/>
        <v>-2.8090885278422295E-3</v>
      </c>
      <c r="S988" s="30">
        <f t="shared" si="64"/>
        <v>-2.3149231917639623E-3</v>
      </c>
      <c r="T988" s="30">
        <f t="shared" si="64"/>
        <v>-1.7589392696135686E-3</v>
      </c>
      <c r="U988" s="63">
        <f t="shared" si="63"/>
        <v>1.2559625418232976E-2</v>
      </c>
    </row>
    <row r="989" spans="1:21">
      <c r="A989" s="28">
        <v>44762</v>
      </c>
      <c r="B989" s="29">
        <v>1699.5</v>
      </c>
      <c r="C989" s="29">
        <v>18.638999940000001</v>
      </c>
      <c r="D989" s="29">
        <v>102.26000209999999</v>
      </c>
      <c r="E989" s="29">
        <v>12439.679690000001</v>
      </c>
      <c r="F989" s="29">
        <v>3959.8999020000001</v>
      </c>
      <c r="G989" s="29">
        <v>31874.839840000001</v>
      </c>
      <c r="H989" s="29">
        <v>10.44335175</v>
      </c>
      <c r="I989" s="29">
        <v>8.4340143199999993</v>
      </c>
      <c r="J989" s="29">
        <v>11.09636879</v>
      </c>
      <c r="L989" s="30">
        <f t="shared" si="65"/>
        <v>-6.1403508771930015E-3</v>
      </c>
      <c r="M989" s="30">
        <f t="shared" si="65"/>
        <v>-1.6604252740849423E-3</v>
      </c>
      <c r="N989" s="30">
        <f t="shared" si="65"/>
        <v>-1.8806362285860412E-2</v>
      </c>
      <c r="O989" s="30">
        <f t="shared" si="65"/>
        <v>1.5532145296885291E-2</v>
      </c>
      <c r="P989" s="30">
        <f t="shared" si="65"/>
        <v>5.8958062097478336E-3</v>
      </c>
      <c r="Q989" s="30">
        <f t="shared" si="65"/>
        <v>1.501523352896772E-3</v>
      </c>
      <c r="R989" s="30">
        <f t="shared" si="64"/>
        <v>0</v>
      </c>
      <c r="S989" s="30">
        <f t="shared" si="64"/>
        <v>0</v>
      </c>
      <c r="T989" s="30">
        <f t="shared" si="64"/>
        <v>0</v>
      </c>
      <c r="U989" s="63">
        <f t="shared" si="63"/>
        <v>1.6485361399498715E-3</v>
      </c>
    </row>
    <row r="990" spans="1:21">
      <c r="A990" s="28">
        <v>44763</v>
      </c>
      <c r="B990" s="29">
        <v>1712.6999510000001</v>
      </c>
      <c r="C990" s="29">
        <v>18.687000269999999</v>
      </c>
      <c r="D990" s="29">
        <v>96.349998470000003</v>
      </c>
      <c r="E990" s="29">
        <v>12619.410159999999</v>
      </c>
      <c r="F990" s="29">
        <v>3998.9499510000001</v>
      </c>
      <c r="G990" s="29">
        <v>32036.900389999999</v>
      </c>
      <c r="H990" s="29">
        <v>10.53160572</v>
      </c>
      <c r="I990" s="29">
        <v>8.5025033949999997</v>
      </c>
      <c r="J990" s="29">
        <v>11.174581529999999</v>
      </c>
      <c r="L990" s="30">
        <f t="shared" si="65"/>
        <v>7.7669614592528191E-3</v>
      </c>
      <c r="M990" s="30">
        <f t="shared" si="65"/>
        <v>2.5752631661843939E-3</v>
      </c>
      <c r="N990" s="30">
        <f t="shared" si="65"/>
        <v>-5.7793893102218052E-2</v>
      </c>
      <c r="O990" s="30">
        <f t="shared" si="65"/>
        <v>1.4448158994357474E-2</v>
      </c>
      <c r="P990" s="30">
        <f t="shared" si="65"/>
        <v>9.8613727534571094E-3</v>
      </c>
      <c r="Q990" s="30">
        <f t="shared" si="65"/>
        <v>5.0842780956228406E-3</v>
      </c>
      <c r="R990" s="30">
        <f t="shared" si="64"/>
        <v>8.4507323044060723E-3</v>
      </c>
      <c r="S990" s="30">
        <f t="shared" si="64"/>
        <v>8.1205784578275431E-3</v>
      </c>
      <c r="T990" s="30">
        <f t="shared" si="64"/>
        <v>7.0484986106882364E-3</v>
      </c>
      <c r="U990" s="63">
        <f t="shared" si="63"/>
        <v>3.3620560997292513E-3</v>
      </c>
    </row>
    <row r="991" spans="1:21">
      <c r="A991" s="28">
        <v>44764</v>
      </c>
      <c r="B991" s="29">
        <v>1727.099976</v>
      </c>
      <c r="C991" s="29">
        <v>18.584999079999999</v>
      </c>
      <c r="D991" s="29">
        <v>94.699996949999999</v>
      </c>
      <c r="E991" s="29">
        <v>12396.469730000001</v>
      </c>
      <c r="F991" s="29">
        <v>3961.6298830000001</v>
      </c>
      <c r="G991" s="29">
        <v>31899.289059999999</v>
      </c>
      <c r="H991" s="29">
        <v>10.61005402</v>
      </c>
      <c r="I991" s="29">
        <v>8.5709953310000007</v>
      </c>
      <c r="J991" s="29">
        <v>11.252794270000001</v>
      </c>
      <c r="L991" s="30">
        <f t="shared" si="65"/>
        <v>8.4077920312848331E-3</v>
      </c>
      <c r="M991" s="30">
        <f t="shared" si="65"/>
        <v>-5.4584036242431022E-3</v>
      </c>
      <c r="N991" s="30">
        <f t="shared" si="65"/>
        <v>-1.712508091542686E-2</v>
      </c>
      <c r="O991" s="30">
        <f t="shared" si="65"/>
        <v>-1.7666469920017192E-2</v>
      </c>
      <c r="P991" s="30">
        <f t="shared" si="65"/>
        <v>-9.3324668868804972E-3</v>
      </c>
      <c r="Q991" s="30">
        <f t="shared" si="65"/>
        <v>-4.2954008760146545E-3</v>
      </c>
      <c r="R991" s="30">
        <f t="shared" si="64"/>
        <v>7.4488451320413596E-3</v>
      </c>
      <c r="S991" s="30">
        <f t="shared" si="64"/>
        <v>8.0555023406727599E-3</v>
      </c>
      <c r="T991" s="30">
        <f t="shared" si="64"/>
        <v>6.9991650058685018E-3</v>
      </c>
      <c r="U991" s="63">
        <f t="shared" si="63"/>
        <v>-4.7277249847879031E-3</v>
      </c>
    </row>
    <row r="992" spans="1:21">
      <c r="A992" s="28">
        <v>44767</v>
      </c>
      <c r="B992" s="29">
        <v>1719</v>
      </c>
      <c r="C992" s="29">
        <v>18.294000629999999</v>
      </c>
      <c r="D992" s="29">
        <v>96.699996949999999</v>
      </c>
      <c r="E992" s="29">
        <v>12328.410159999999</v>
      </c>
      <c r="F992" s="29">
        <v>3966.8400879999999</v>
      </c>
      <c r="G992" s="29">
        <v>31990.039059999999</v>
      </c>
      <c r="H992" s="29">
        <v>10.58063602</v>
      </c>
      <c r="I992" s="29">
        <v>8.5416412350000002</v>
      </c>
      <c r="J992" s="29">
        <v>11.223462100000001</v>
      </c>
      <c r="L992" s="30">
        <f t="shared" si="65"/>
        <v>-4.6899288475237277E-3</v>
      </c>
      <c r="M992" s="30">
        <f t="shared" si="65"/>
        <v>-1.5657705913644793E-2</v>
      </c>
      <c r="N992" s="30">
        <f t="shared" si="65"/>
        <v>2.1119324861815558E-2</v>
      </c>
      <c r="O992" s="30">
        <f t="shared" si="65"/>
        <v>-5.4902380663499617E-3</v>
      </c>
      <c r="P992" s="30">
        <f t="shared" si="65"/>
        <v>1.3151670281865702E-3</v>
      </c>
      <c r="Q992" s="30">
        <f t="shared" si="65"/>
        <v>2.8448909889278173E-3</v>
      </c>
      <c r="R992" s="30">
        <f t="shared" si="64"/>
        <v>-2.7726531782540365E-3</v>
      </c>
      <c r="S992" s="30">
        <f t="shared" si="64"/>
        <v>-3.4248176397706498E-3</v>
      </c>
      <c r="T992" s="30">
        <f t="shared" si="64"/>
        <v>-2.6066565598021896E-3</v>
      </c>
      <c r="U992" s="63">
        <f t="shared" si="63"/>
        <v>-1.9693691941229099E-3</v>
      </c>
    </row>
    <row r="993" spans="1:21">
      <c r="A993" s="28">
        <v>44768</v>
      </c>
      <c r="B993" s="29">
        <v>1717.6999510000001</v>
      </c>
      <c r="C993" s="29">
        <v>18.48699951</v>
      </c>
      <c r="D993" s="29">
        <v>94.980003359999998</v>
      </c>
      <c r="E993" s="29">
        <v>12086.900390000001</v>
      </c>
      <c r="F993" s="29">
        <v>3921.0500489999999</v>
      </c>
      <c r="G993" s="29">
        <v>31761.539059999999</v>
      </c>
      <c r="H993" s="29">
        <v>10.57082939</v>
      </c>
      <c r="I993" s="29">
        <v>8.5318584439999992</v>
      </c>
      <c r="J993" s="29">
        <v>11.21368599</v>
      </c>
      <c r="L993" s="30">
        <f t="shared" si="65"/>
        <v>-7.5628214077949618E-4</v>
      </c>
      <c r="M993" s="30">
        <f t="shared" si="65"/>
        <v>1.0549845487788367E-2</v>
      </c>
      <c r="N993" s="30">
        <f t="shared" si="65"/>
        <v>-1.7786904283868199E-2</v>
      </c>
      <c r="O993" s="30">
        <f t="shared" si="65"/>
        <v>-1.9589692982764806E-2</v>
      </c>
      <c r="P993" s="30">
        <f t="shared" si="65"/>
        <v>-1.154320264598474E-2</v>
      </c>
      <c r="Q993" s="30">
        <f t="shared" si="65"/>
        <v>-7.1428484213923449E-3</v>
      </c>
      <c r="R993" s="30">
        <f t="shared" si="64"/>
        <v>-9.268469288106207E-4</v>
      </c>
      <c r="S993" s="30">
        <f t="shared" si="64"/>
        <v>-1.1453057709700509E-3</v>
      </c>
      <c r="T993" s="30">
        <f t="shared" si="64"/>
        <v>-8.7104227847845106E-4</v>
      </c>
      <c r="U993" s="63">
        <f t="shared" si="63"/>
        <v>-6.1054727492829567E-3</v>
      </c>
    </row>
    <row r="994" spans="1:21">
      <c r="A994" s="28">
        <v>44769</v>
      </c>
      <c r="B994" s="29">
        <v>1719.099976</v>
      </c>
      <c r="C994" s="29">
        <v>18.552999499999999</v>
      </c>
      <c r="D994" s="29">
        <v>97.260002139999997</v>
      </c>
      <c r="E994" s="29">
        <v>12601.469730000001</v>
      </c>
      <c r="F994" s="29">
        <v>4023.610107</v>
      </c>
      <c r="G994" s="29">
        <v>32197.589840000001</v>
      </c>
      <c r="H994" s="29">
        <v>10.600249290000001</v>
      </c>
      <c r="I994" s="29">
        <v>8.5612096789999992</v>
      </c>
      <c r="J994" s="29">
        <v>11.243015290000001</v>
      </c>
      <c r="L994" s="30">
        <f t="shared" si="65"/>
        <v>8.1505794954761512E-4</v>
      </c>
      <c r="M994" s="30">
        <f t="shared" si="65"/>
        <v>3.5700758235157615E-3</v>
      </c>
      <c r="N994" s="30">
        <f t="shared" si="65"/>
        <v>2.4005040001506162E-2</v>
      </c>
      <c r="O994" s="30">
        <f t="shared" si="65"/>
        <v>4.25724812314765E-2</v>
      </c>
      <c r="P994" s="30">
        <f t="shared" si="65"/>
        <v>2.6156273630364879E-2</v>
      </c>
      <c r="Q994" s="30">
        <f t="shared" si="65"/>
        <v>1.3728893274858933E-2</v>
      </c>
      <c r="R994" s="30">
        <f t="shared" si="64"/>
        <v>2.7831212589459753E-3</v>
      </c>
      <c r="S994" s="30">
        <f t="shared" si="64"/>
        <v>3.440192449587709E-3</v>
      </c>
      <c r="T994" s="30">
        <f t="shared" si="64"/>
        <v>2.615491465175257E-3</v>
      </c>
      <c r="U994" s="63">
        <f t="shared" si="63"/>
        <v>1.6636938776215849E-2</v>
      </c>
    </row>
    <row r="995" spans="1:21">
      <c r="A995" s="28">
        <v>44770</v>
      </c>
      <c r="B995" s="29">
        <v>1750.3000489999999</v>
      </c>
      <c r="C995" s="29">
        <v>19.826999659999998</v>
      </c>
      <c r="D995" s="29">
        <v>96.41999817</v>
      </c>
      <c r="E995" s="29">
        <v>12717.87012</v>
      </c>
      <c r="F995" s="29">
        <v>4072.429932</v>
      </c>
      <c r="G995" s="29">
        <v>32529.630860000001</v>
      </c>
      <c r="H995" s="29">
        <v>10.65908432</v>
      </c>
      <c r="I995" s="29">
        <v>8.6199150089999996</v>
      </c>
      <c r="J995" s="29">
        <v>11.311451910000001</v>
      </c>
      <c r="L995" s="30">
        <f t="shared" si="65"/>
        <v>1.814907418741063E-2</v>
      </c>
      <c r="M995" s="30">
        <f t="shared" si="65"/>
        <v>6.8668150397998895E-2</v>
      </c>
      <c r="N995" s="30">
        <f t="shared" si="65"/>
        <v>-8.6366846752775617E-3</v>
      </c>
      <c r="O995" s="30">
        <f t="shared" si="65"/>
        <v>9.2370487327273487E-3</v>
      </c>
      <c r="P995" s="30">
        <f t="shared" si="65"/>
        <v>1.2133338892619472E-2</v>
      </c>
      <c r="Q995" s="30">
        <f t="shared" si="65"/>
        <v>1.0312604814522341E-2</v>
      </c>
      <c r="R995" s="30">
        <f t="shared" si="64"/>
        <v>5.5503439957305112E-3</v>
      </c>
      <c r="S995" s="30">
        <f t="shared" si="64"/>
        <v>6.8571302655979771E-3</v>
      </c>
      <c r="T995" s="30">
        <f t="shared" si="64"/>
        <v>6.0870343261802962E-3</v>
      </c>
      <c r="U995" s="63">
        <f t="shared" si="63"/>
        <v>1.7569412658643271E-2</v>
      </c>
    </row>
    <row r="996" spans="1:21">
      <c r="A996" s="28">
        <v>44771</v>
      </c>
      <c r="B996" s="29">
        <v>1762.900024</v>
      </c>
      <c r="C996" s="29">
        <v>20.15600014</v>
      </c>
      <c r="D996" s="29">
        <v>98.620002749999998</v>
      </c>
      <c r="E996" s="29">
        <v>12947.969730000001</v>
      </c>
      <c r="F996" s="29">
        <v>4130.2900390000004</v>
      </c>
      <c r="G996" s="29">
        <v>32845.128909999999</v>
      </c>
      <c r="H996" s="29">
        <v>10.689540859999999</v>
      </c>
      <c r="I996" s="29">
        <v>8.6454000470000008</v>
      </c>
      <c r="J996" s="29">
        <v>11.32811356</v>
      </c>
      <c r="L996" s="30">
        <f t="shared" si="65"/>
        <v>7.1987514410452036E-3</v>
      </c>
      <c r="M996" s="30">
        <f t="shared" si="65"/>
        <v>1.6593558563666289E-2</v>
      </c>
      <c r="N996" s="30">
        <f t="shared" si="65"/>
        <v>2.2816890912205956E-2</v>
      </c>
      <c r="O996" s="30">
        <f t="shared" si="65"/>
        <v>1.8092621471117898E-2</v>
      </c>
      <c r="P996" s="30">
        <f t="shared" si="65"/>
        <v>1.4207759977735268E-2</v>
      </c>
      <c r="Q996" s="30">
        <f t="shared" si="65"/>
        <v>9.6987897390483635E-3</v>
      </c>
      <c r="R996" s="30">
        <f t="shared" si="64"/>
        <v>2.8573317449842595E-3</v>
      </c>
      <c r="S996" s="30">
        <f t="shared" si="64"/>
        <v>2.956530078706443E-3</v>
      </c>
      <c r="T996" s="30">
        <f t="shared" si="64"/>
        <v>1.4729895094429679E-3</v>
      </c>
      <c r="U996" s="63">
        <f t="shared" si="63"/>
        <v>1.2047903277481717E-2</v>
      </c>
    </row>
    <row r="997" spans="1:21">
      <c r="A997" s="28">
        <v>44774</v>
      </c>
      <c r="B997" s="29">
        <v>1769</v>
      </c>
      <c r="C997" s="29">
        <v>20.322000500000001</v>
      </c>
      <c r="D997" s="29">
        <v>93.88999939</v>
      </c>
      <c r="E997" s="29">
        <v>12940.780269999999</v>
      </c>
      <c r="F997" s="29">
        <v>4118.6298829999996</v>
      </c>
      <c r="G997" s="29">
        <v>32798.398439999997</v>
      </c>
      <c r="H997" s="29">
        <v>10.738665579999999</v>
      </c>
      <c r="I997" s="29">
        <v>8.6748065949999997</v>
      </c>
      <c r="J997" s="29">
        <v>11.37710762</v>
      </c>
      <c r="L997" s="30">
        <f t="shared" si="65"/>
        <v>3.4601939514182778E-3</v>
      </c>
      <c r="M997" s="30">
        <f t="shared" si="65"/>
        <v>8.235778867185628E-3</v>
      </c>
      <c r="N997" s="30">
        <f t="shared" si="65"/>
        <v>-4.7961906592017378E-2</v>
      </c>
      <c r="O997" s="30">
        <f t="shared" si="65"/>
        <v>-5.5525770834508048E-4</v>
      </c>
      <c r="P997" s="30">
        <f t="shared" si="65"/>
        <v>-2.8230840667121671E-3</v>
      </c>
      <c r="Q997" s="30">
        <f t="shared" si="65"/>
        <v>-1.4227519133217514E-3</v>
      </c>
      <c r="R997" s="30">
        <f t="shared" si="64"/>
        <v>4.5955874666070429E-3</v>
      </c>
      <c r="S997" s="30">
        <f t="shared" si="64"/>
        <v>3.4014097485521866E-3</v>
      </c>
      <c r="T997" s="30">
        <f t="shared" si="64"/>
        <v>4.324997250468865E-3</v>
      </c>
      <c r="U997" s="63">
        <f t="shared" si="63"/>
        <v>-2.1496911978185367E-3</v>
      </c>
    </row>
    <row r="998" spans="1:21">
      <c r="A998" s="28">
        <v>44775</v>
      </c>
      <c r="B998" s="29">
        <v>1771.099976</v>
      </c>
      <c r="C998" s="29">
        <v>20.104999540000001</v>
      </c>
      <c r="D998" s="29">
        <v>94.41999817</v>
      </c>
      <c r="E998" s="29">
        <v>12901.599609999999</v>
      </c>
      <c r="F998" s="29">
        <v>4091.1899410000001</v>
      </c>
      <c r="G998" s="29">
        <v>32396.16992</v>
      </c>
      <c r="H998" s="29">
        <v>10.620766639999999</v>
      </c>
      <c r="I998" s="29">
        <v>8.5865888600000009</v>
      </c>
      <c r="J998" s="29">
        <v>11.26931381</v>
      </c>
      <c r="L998" s="30">
        <f t="shared" si="65"/>
        <v>1.1870977953645223E-3</v>
      </c>
      <c r="M998" s="30">
        <f t="shared" si="65"/>
        <v>-1.0678129842581208E-2</v>
      </c>
      <c r="N998" s="30">
        <f t="shared" si="65"/>
        <v>5.644890653353718E-3</v>
      </c>
      <c r="O998" s="30">
        <f t="shared" si="65"/>
        <v>-3.0276891487626134E-3</v>
      </c>
      <c r="P998" s="30">
        <f t="shared" si="65"/>
        <v>-6.6623956945633944E-3</v>
      </c>
      <c r="Q998" s="30">
        <f t="shared" si="65"/>
        <v>-1.226366344490315E-2</v>
      </c>
      <c r="R998" s="30">
        <f t="shared" si="64"/>
        <v>-1.0978919039957624E-2</v>
      </c>
      <c r="S998" s="30">
        <f t="shared" si="64"/>
        <v>-1.0169418076807157E-2</v>
      </c>
      <c r="T998" s="30">
        <f t="shared" si="64"/>
        <v>-9.4746233929006163E-3</v>
      </c>
      <c r="U998" s="63">
        <f t="shared" si="63"/>
        <v>-6.5163776314654028E-3</v>
      </c>
    </row>
    <row r="999" spans="1:21">
      <c r="A999" s="28">
        <v>44776</v>
      </c>
      <c r="B999" s="29">
        <v>1758</v>
      </c>
      <c r="C999" s="29">
        <v>19.864999770000001</v>
      </c>
      <c r="D999" s="29">
        <v>90.660003660000001</v>
      </c>
      <c r="E999" s="29">
        <v>13253.259770000001</v>
      </c>
      <c r="F999" s="29">
        <v>4155.169922</v>
      </c>
      <c r="G999" s="29">
        <v>32812.5</v>
      </c>
      <c r="H999" s="29">
        <v>10.6698904</v>
      </c>
      <c r="I999" s="29">
        <v>8.6257972719999998</v>
      </c>
      <c r="J999" s="29">
        <v>11.308511729999999</v>
      </c>
      <c r="L999" s="30">
        <f t="shared" si="65"/>
        <v>-7.3965197772664082E-3</v>
      </c>
      <c r="M999" s="30">
        <f t="shared" si="65"/>
        <v>-1.193731785581531E-2</v>
      </c>
      <c r="N999" s="30">
        <f t="shared" si="65"/>
        <v>-3.9822014222349988E-2</v>
      </c>
      <c r="O999" s="30">
        <f t="shared" si="65"/>
        <v>2.7257097618145654E-2</v>
      </c>
      <c r="P999" s="30">
        <f t="shared" si="65"/>
        <v>1.5638477294545039E-2</v>
      </c>
      <c r="Q999" s="30">
        <f t="shared" si="65"/>
        <v>1.2851212999194006E-2</v>
      </c>
      <c r="R999" s="30">
        <f t="shared" si="64"/>
        <v>4.6252555644137328E-3</v>
      </c>
      <c r="S999" s="30">
        <f t="shared" si="64"/>
        <v>4.5662384259073097E-3</v>
      </c>
      <c r="T999" s="30">
        <f t="shared" si="64"/>
        <v>3.478288089308279E-3</v>
      </c>
      <c r="U999" s="63">
        <f t="shared" si="63"/>
        <v>4.2185867368247738E-3</v>
      </c>
    </row>
    <row r="1000" spans="1:21">
      <c r="A1000" s="28">
        <v>44777</v>
      </c>
      <c r="B1000" s="29">
        <v>1788.5</v>
      </c>
      <c r="C1000" s="29">
        <v>20.099000929999999</v>
      </c>
      <c r="D1000" s="29">
        <v>88.540000919999997</v>
      </c>
      <c r="E1000" s="29">
        <v>13311.04004</v>
      </c>
      <c r="F1000" s="29">
        <v>4151.9399409999996</v>
      </c>
      <c r="G1000" s="29">
        <v>32726.820309999999</v>
      </c>
      <c r="H1000" s="29">
        <v>10.689540859999999</v>
      </c>
      <c r="I1000" s="29">
        <v>8.635597229</v>
      </c>
      <c r="J1000" s="29">
        <v>11.33791065</v>
      </c>
      <c r="L1000" s="30">
        <f t="shared" si="65"/>
        <v>1.7349260523321863E-2</v>
      </c>
      <c r="M1000" s="30">
        <f t="shared" si="65"/>
        <v>1.1779570234548231E-2</v>
      </c>
      <c r="N1000" s="30">
        <f t="shared" si="65"/>
        <v>-2.3384101637041632E-2</v>
      </c>
      <c r="O1000" s="30">
        <f t="shared" si="65"/>
        <v>4.3597025186807858E-3</v>
      </c>
      <c r="P1000" s="30">
        <f t="shared" si="65"/>
        <v>-7.7734029188525344E-4</v>
      </c>
      <c r="Q1000" s="30">
        <f t="shared" si="65"/>
        <v>-2.6111905523810153E-3</v>
      </c>
      <c r="R1000" s="30">
        <f t="shared" si="64"/>
        <v>1.841674025067741E-3</v>
      </c>
      <c r="S1000" s="30">
        <f t="shared" si="64"/>
        <v>1.1361218784740057E-3</v>
      </c>
      <c r="T1000" s="30">
        <f t="shared" si="64"/>
        <v>2.5997160989812418E-3</v>
      </c>
      <c r="U1000" s="63">
        <f t="shared" si="63"/>
        <v>1.6330024952928087E-3</v>
      </c>
    </row>
    <row r="1001" spans="1:21">
      <c r="A1001" s="28">
        <v>44778</v>
      </c>
      <c r="B1001" s="29">
        <v>1772.900024</v>
      </c>
      <c r="C1001" s="29">
        <v>19.819000240000001</v>
      </c>
      <c r="D1001" s="29">
        <v>89.010002139999997</v>
      </c>
      <c r="E1001" s="29">
        <v>13207.690430000001</v>
      </c>
      <c r="F1001" s="29">
        <v>4145.1899409999996</v>
      </c>
      <c r="G1001" s="29">
        <v>32803.46875</v>
      </c>
      <c r="H1001" s="29">
        <v>10.571640009999999</v>
      </c>
      <c r="I1001" s="29">
        <v>8.5473804470000001</v>
      </c>
      <c r="J1001" s="29">
        <v>11.22031784</v>
      </c>
      <c r="L1001" s="30">
        <f t="shared" si="65"/>
        <v>-8.7223796477494675E-3</v>
      </c>
      <c r="M1001" s="30">
        <f t="shared" si="65"/>
        <v>-1.3931075030802487E-2</v>
      </c>
      <c r="N1001" s="30">
        <f t="shared" si="65"/>
        <v>5.308348939646601E-3</v>
      </c>
      <c r="O1001" s="30">
        <f t="shared" si="65"/>
        <v>-7.7642024732426096E-3</v>
      </c>
      <c r="P1001" s="30">
        <f t="shared" si="65"/>
        <v>-1.6257460598946283E-3</v>
      </c>
      <c r="Q1001" s="30">
        <f t="shared" si="65"/>
        <v>2.3420680430901175E-3</v>
      </c>
      <c r="R1001" s="30">
        <f t="shared" si="64"/>
        <v>-1.1029552302024626E-2</v>
      </c>
      <c r="S1001" s="30">
        <f t="shared" si="64"/>
        <v>-1.0215481299168383E-2</v>
      </c>
      <c r="T1001" s="30">
        <f t="shared" si="64"/>
        <v>-1.0371647266421147E-2</v>
      </c>
      <c r="U1001" s="63">
        <f t="shared" si="63"/>
        <v>-6.2606532852050329E-3</v>
      </c>
    </row>
    <row r="1002" spans="1:21">
      <c r="A1002" s="28">
        <v>44781</v>
      </c>
      <c r="B1002" s="29">
        <v>1786.8000489999999</v>
      </c>
      <c r="C1002" s="29">
        <v>20.591999049999998</v>
      </c>
      <c r="D1002" s="29">
        <v>90.760002139999997</v>
      </c>
      <c r="E1002" s="29">
        <v>13159.160159999999</v>
      </c>
      <c r="F1002" s="29">
        <v>4140.0600590000004</v>
      </c>
      <c r="G1002" s="29">
        <v>32832.539060000003</v>
      </c>
      <c r="H1002" s="29">
        <v>10.620766639999999</v>
      </c>
      <c r="I1002" s="29">
        <v>8.5865888600000009</v>
      </c>
      <c r="J1002" s="29">
        <v>11.26931381</v>
      </c>
      <c r="L1002" s="30">
        <f t="shared" si="65"/>
        <v>7.8402757131441625E-3</v>
      </c>
      <c r="M1002" s="30">
        <f t="shared" si="65"/>
        <v>3.9002916425616707E-2</v>
      </c>
      <c r="N1002" s="30">
        <f t="shared" si="65"/>
        <v>1.9660711806831488E-2</v>
      </c>
      <c r="O1002" s="30">
        <f t="shared" si="65"/>
        <v>-3.6743948729877074E-3</v>
      </c>
      <c r="P1002" s="30">
        <f t="shared" si="65"/>
        <v>-1.2375505279649257E-3</v>
      </c>
      <c r="Q1002" s="30">
        <f t="shared" si="65"/>
        <v>8.8619621972152451E-4</v>
      </c>
      <c r="R1002" s="30">
        <f t="shared" si="64"/>
        <v>4.6470207038387112E-3</v>
      </c>
      <c r="S1002" s="30">
        <f t="shared" si="64"/>
        <v>4.5871847220468887E-3</v>
      </c>
      <c r="T1002" s="30">
        <f t="shared" si="64"/>
        <v>4.366718545648629E-3</v>
      </c>
      <c r="U1002" s="63">
        <f t="shared" si="63"/>
        <v>8.2356335558317513E-3</v>
      </c>
    </row>
    <row r="1003" spans="1:21">
      <c r="A1003" s="28">
        <v>44782</v>
      </c>
      <c r="B1003" s="29">
        <v>1794</v>
      </c>
      <c r="C1003" s="29">
        <v>20.458000179999999</v>
      </c>
      <c r="D1003" s="29">
        <v>90.5</v>
      </c>
      <c r="E1003" s="29">
        <v>13008.16992</v>
      </c>
      <c r="F1003" s="29">
        <v>4122.4702150000003</v>
      </c>
      <c r="G1003" s="29">
        <v>32774.410159999999</v>
      </c>
      <c r="H1003" s="29">
        <v>10.59129143</v>
      </c>
      <c r="I1003" s="29">
        <v>8.5669841770000001</v>
      </c>
      <c r="J1003" s="29">
        <v>11.2399168</v>
      </c>
      <c r="L1003" s="30">
        <f t="shared" si="65"/>
        <v>4.0295224997501933E-3</v>
      </c>
      <c r="M1003" s="30">
        <f t="shared" si="65"/>
        <v>-6.5073269319133598E-3</v>
      </c>
      <c r="N1003" s="30">
        <f t="shared" si="65"/>
        <v>-2.8647216160146982E-3</v>
      </c>
      <c r="O1003" s="30">
        <f t="shared" si="65"/>
        <v>-1.1474154745753862E-2</v>
      </c>
      <c r="P1003" s="30">
        <f t="shared" si="65"/>
        <v>-4.2486929535627826E-3</v>
      </c>
      <c r="Q1003" s="30">
        <f t="shared" si="65"/>
        <v>-1.7704661797180998E-3</v>
      </c>
      <c r="R1003" s="30">
        <f t="shared" si="64"/>
        <v>-2.7752431626724139E-3</v>
      </c>
      <c r="S1003" s="30">
        <f t="shared" si="64"/>
        <v>-2.2831747646994138E-3</v>
      </c>
      <c r="T1003" s="30">
        <f t="shared" si="64"/>
        <v>-2.608589173718312E-3</v>
      </c>
      <c r="U1003" s="63">
        <f t="shared" si="63"/>
        <v>-4.3219082003794615E-3</v>
      </c>
    </row>
    <row r="1004" spans="1:21">
      <c r="A1004" s="28">
        <v>44783</v>
      </c>
      <c r="B1004" s="29">
        <v>1795.599976</v>
      </c>
      <c r="C1004" s="29">
        <v>20.718000409999998</v>
      </c>
      <c r="D1004" s="29">
        <v>91.930000309999997</v>
      </c>
      <c r="E1004" s="29">
        <v>13378.320309999999</v>
      </c>
      <c r="F1004" s="29">
        <v>4210.2402339999999</v>
      </c>
      <c r="G1004" s="29">
        <v>33309.511720000002</v>
      </c>
      <c r="H1004" s="29">
        <v>10.61094093</v>
      </c>
      <c r="I1004" s="29">
        <v>8.5767860410000001</v>
      </c>
      <c r="J1004" s="29">
        <v>11.259513849999999</v>
      </c>
      <c r="L1004" s="30">
        <f t="shared" si="65"/>
        <v>8.9184838350053752E-4</v>
      </c>
      <c r="M1004" s="30">
        <f t="shared" si="65"/>
        <v>1.2708975838908287E-2</v>
      </c>
      <c r="N1004" s="30">
        <f t="shared" si="65"/>
        <v>1.5801108397790031E-2</v>
      </c>
      <c r="O1004" s="30">
        <f t="shared" si="65"/>
        <v>2.8455224084280584E-2</v>
      </c>
      <c r="P1004" s="30">
        <f t="shared" si="65"/>
        <v>2.1290637511616195E-2</v>
      </c>
      <c r="Q1004" s="30">
        <f t="shared" si="65"/>
        <v>1.6326809769808603E-2</v>
      </c>
      <c r="R1004" s="30">
        <f t="shared" si="64"/>
        <v>1.855250620745208E-3</v>
      </c>
      <c r="S1004" s="30">
        <f t="shared" si="64"/>
        <v>1.1441440532031777E-3</v>
      </c>
      <c r="T1004" s="30">
        <f t="shared" si="64"/>
        <v>1.7435226922675184E-3</v>
      </c>
      <c r="U1004" s="63">
        <f t="shared" si="63"/>
        <v>1.391962988506708E-2</v>
      </c>
    </row>
    <row r="1005" spans="1:21">
      <c r="A1005" s="28">
        <v>44784</v>
      </c>
      <c r="B1005" s="29">
        <v>1789.6999510000001</v>
      </c>
      <c r="C1005" s="29">
        <v>20.32600021</v>
      </c>
      <c r="D1005" s="29">
        <v>94.339996339999999</v>
      </c>
      <c r="E1005" s="29">
        <v>13291.990229999999</v>
      </c>
      <c r="F1005" s="29">
        <v>4207.2700199999999</v>
      </c>
      <c r="G1005" s="29">
        <v>33336.671880000002</v>
      </c>
      <c r="H1005" s="29">
        <v>10.561816220000001</v>
      </c>
      <c r="I1005" s="29">
        <v>8.5473804470000001</v>
      </c>
      <c r="J1005" s="29">
        <v>11.22031784</v>
      </c>
      <c r="L1005" s="30">
        <f t="shared" si="65"/>
        <v>-3.2858237240251942E-3</v>
      </c>
      <c r="M1005" s="30">
        <f t="shared" si="65"/>
        <v>-1.892075452468811E-2</v>
      </c>
      <c r="N1005" s="30">
        <f t="shared" si="65"/>
        <v>2.6215555551758696E-2</v>
      </c>
      <c r="O1005" s="30">
        <f t="shared" si="65"/>
        <v>-6.4529834836941635E-3</v>
      </c>
      <c r="P1005" s="30">
        <f t="shared" si="65"/>
        <v>-7.0547375800877887E-4</v>
      </c>
      <c r="Q1005" s="30">
        <f t="shared" si="65"/>
        <v>8.1538751538312582E-4</v>
      </c>
      <c r="R1005" s="30">
        <f t="shared" si="64"/>
        <v>-4.6296280720129479E-3</v>
      </c>
      <c r="S1005" s="30">
        <f t="shared" si="64"/>
        <v>-3.4285096840973583E-3</v>
      </c>
      <c r="T1005" s="30">
        <f t="shared" si="64"/>
        <v>-3.4811458578204446E-3</v>
      </c>
      <c r="U1005" s="63">
        <f t="shared" si="63"/>
        <v>-2.9516663341806267E-3</v>
      </c>
    </row>
    <row r="1006" spans="1:21">
      <c r="A1006" s="28">
        <v>44785</v>
      </c>
      <c r="B1006" s="29">
        <v>1798.599976</v>
      </c>
      <c r="C1006" s="29">
        <v>20.67700005</v>
      </c>
      <c r="D1006" s="29">
        <v>92.089996339999999</v>
      </c>
      <c r="E1006" s="29">
        <v>13565.87012</v>
      </c>
      <c r="F1006" s="29">
        <v>4280.1499020000001</v>
      </c>
      <c r="G1006" s="29">
        <v>33761.050779999998</v>
      </c>
      <c r="H1006" s="29">
        <v>10.59129143</v>
      </c>
      <c r="I1006" s="29">
        <v>8.5767860410000001</v>
      </c>
      <c r="J1006" s="29">
        <v>11.259513849999999</v>
      </c>
      <c r="L1006" s="30">
        <f t="shared" si="65"/>
        <v>4.9729145910895056E-3</v>
      </c>
      <c r="M1006" s="30">
        <f t="shared" si="65"/>
        <v>1.7268515023792785E-2</v>
      </c>
      <c r="N1006" s="30">
        <f t="shared" si="65"/>
        <v>-2.3849905525658799E-2</v>
      </c>
      <c r="O1006" s="30">
        <f t="shared" si="65"/>
        <v>2.0604881982372536E-2</v>
      </c>
      <c r="P1006" s="30">
        <f t="shared" si="65"/>
        <v>1.7322368579518965E-2</v>
      </c>
      <c r="Q1006" s="30">
        <f t="shared" si="65"/>
        <v>1.2730091999813453E-2</v>
      </c>
      <c r="R1006" s="30">
        <f t="shared" si="64"/>
        <v>2.7907330885179604E-3</v>
      </c>
      <c r="S1006" s="30">
        <f t="shared" si="64"/>
        <v>3.4403048024287397E-3</v>
      </c>
      <c r="T1006" s="30">
        <f t="shared" si="64"/>
        <v>3.4933065675080144E-3</v>
      </c>
      <c r="U1006" s="63">
        <f t="shared" si="63"/>
        <v>1.0096271911041151E-2</v>
      </c>
    </row>
    <row r="1007" spans="1:21">
      <c r="A1007" s="28">
        <v>44788</v>
      </c>
      <c r="B1007" s="29">
        <v>1781.400024</v>
      </c>
      <c r="C1007" s="29">
        <v>20.250999449999998</v>
      </c>
      <c r="D1007" s="29">
        <v>89.410003660000001</v>
      </c>
      <c r="E1007" s="29">
        <v>13667.179690000001</v>
      </c>
      <c r="F1007" s="29">
        <v>4297.1401370000003</v>
      </c>
      <c r="G1007" s="29">
        <v>33912.441409999999</v>
      </c>
      <c r="H1007" s="29">
        <v>10.620766639999999</v>
      </c>
      <c r="I1007" s="29">
        <v>8.5963916779999998</v>
      </c>
      <c r="J1007" s="29">
        <v>11.28891277</v>
      </c>
      <c r="L1007" s="30">
        <f t="shared" si="65"/>
        <v>-9.5629668795236267E-3</v>
      </c>
      <c r="M1007" s="30">
        <f t="shared" si="65"/>
        <v>-2.0602630892773144E-2</v>
      </c>
      <c r="N1007" s="30">
        <f t="shared" si="65"/>
        <v>-2.9101887137722882E-2</v>
      </c>
      <c r="O1007" s="30">
        <f t="shared" si="65"/>
        <v>7.467974343248418E-3</v>
      </c>
      <c r="P1007" s="30">
        <f t="shared" si="65"/>
        <v>3.9695420461935971E-3</v>
      </c>
      <c r="Q1007" s="30">
        <f t="shared" si="65"/>
        <v>4.4841800389010533E-3</v>
      </c>
      <c r="R1007" s="30">
        <f t="shared" si="64"/>
        <v>2.7829665716223584E-3</v>
      </c>
      <c r="S1007" s="30">
        <f t="shared" si="64"/>
        <v>2.2858955448203933E-3</v>
      </c>
      <c r="T1007" s="30">
        <f t="shared" si="64"/>
        <v>2.6110292497221188E-3</v>
      </c>
      <c r="U1007" s="63">
        <f t="shared" si="63"/>
        <v>-2.9883647749242718E-3</v>
      </c>
    </row>
    <row r="1008" spans="1:21">
      <c r="A1008" s="28">
        <v>44789</v>
      </c>
      <c r="B1008" s="29">
        <v>1773.1999510000001</v>
      </c>
      <c r="C1008" s="29">
        <v>20.065000529999999</v>
      </c>
      <c r="D1008" s="29">
        <v>86.52999878</v>
      </c>
      <c r="E1008" s="29">
        <v>13635.20996</v>
      </c>
      <c r="F1008" s="29">
        <v>4305.2001950000003</v>
      </c>
      <c r="G1008" s="29">
        <v>34152.011720000002</v>
      </c>
      <c r="H1008" s="29">
        <v>10.61094093</v>
      </c>
      <c r="I1008" s="29">
        <v>8.5865888600000009</v>
      </c>
      <c r="J1008" s="29">
        <v>11.279114720000001</v>
      </c>
      <c r="L1008" s="30">
        <f t="shared" si="65"/>
        <v>-4.6031620576647558E-3</v>
      </c>
      <c r="M1008" s="30">
        <f t="shared" si="65"/>
        <v>-9.1846785369400497E-3</v>
      </c>
      <c r="N1008" s="30">
        <f t="shared" si="65"/>
        <v>-3.221121532386706E-2</v>
      </c>
      <c r="O1008" s="30">
        <f t="shared" si="65"/>
        <v>-2.3391607284853899E-3</v>
      </c>
      <c r="P1008" s="30">
        <f t="shared" si="65"/>
        <v>1.8756795782850499E-3</v>
      </c>
      <c r="Q1008" s="30">
        <f t="shared" si="65"/>
        <v>7.0643781467576439E-3</v>
      </c>
      <c r="R1008" s="30">
        <f t="shared" si="64"/>
        <v>-9.2514131352761098E-4</v>
      </c>
      <c r="S1008" s="30">
        <f t="shared" si="64"/>
        <v>-1.1403410136704428E-3</v>
      </c>
      <c r="T1008" s="30">
        <f t="shared" si="64"/>
        <v>-8.6793566392295851E-4</v>
      </c>
      <c r="U1008" s="63">
        <f t="shared" si="63"/>
        <v>-3.8459616299712797E-3</v>
      </c>
    </row>
    <row r="1009" spans="1:21">
      <c r="A1009" s="28">
        <v>44790</v>
      </c>
      <c r="B1009" s="29">
        <v>1760.3000489999999</v>
      </c>
      <c r="C1009" s="29">
        <v>19.711000439999999</v>
      </c>
      <c r="D1009" s="29">
        <v>88.11000061</v>
      </c>
      <c r="E1009" s="29">
        <v>13470.860350000001</v>
      </c>
      <c r="F1009" s="29">
        <v>4274.0400390000004</v>
      </c>
      <c r="G1009" s="29">
        <v>33980.320310000003</v>
      </c>
      <c r="H1009" s="29">
        <v>10.55199146</v>
      </c>
      <c r="I1009" s="29">
        <v>8.5375776289999994</v>
      </c>
      <c r="J1009" s="29">
        <v>11.210517879999999</v>
      </c>
      <c r="L1009" s="30">
        <f t="shared" si="65"/>
        <v>-7.2749280151542806E-3</v>
      </c>
      <c r="M1009" s="30">
        <f t="shared" si="65"/>
        <v>-1.7642665370016797E-2</v>
      </c>
      <c r="N1009" s="30">
        <f t="shared" si="65"/>
        <v>1.825958456346588E-2</v>
      </c>
      <c r="O1009" s="30">
        <f t="shared" si="65"/>
        <v>-1.2053324479940675E-2</v>
      </c>
      <c r="P1009" s="30">
        <f t="shared" si="65"/>
        <v>-7.2377948965506311E-3</v>
      </c>
      <c r="Q1009" s="30">
        <f t="shared" si="65"/>
        <v>-5.0272707624849922E-3</v>
      </c>
      <c r="R1009" s="30">
        <f t="shared" si="64"/>
        <v>-5.5555365343080698E-3</v>
      </c>
      <c r="S1009" s="30">
        <f t="shared" si="64"/>
        <v>-5.707881418233085E-3</v>
      </c>
      <c r="T1009" s="30">
        <f t="shared" si="64"/>
        <v>-6.0817574519714812E-3</v>
      </c>
      <c r="U1009" s="63">
        <f t="shared" si="63"/>
        <v>-7.0074621377992832E-3</v>
      </c>
    </row>
    <row r="1010" spans="1:21">
      <c r="A1010" s="28">
        <v>44791</v>
      </c>
      <c r="B1010" s="29">
        <v>1755.3000489999999</v>
      </c>
      <c r="C1010" s="29">
        <v>19.44799995</v>
      </c>
      <c r="D1010" s="29">
        <v>90.5</v>
      </c>
      <c r="E1010" s="29">
        <v>13505.990229999999</v>
      </c>
      <c r="F1010" s="29">
        <v>4283.7402339999999</v>
      </c>
      <c r="G1010" s="29">
        <v>33999.039060000003</v>
      </c>
      <c r="H1010" s="29">
        <v>10.561816220000001</v>
      </c>
      <c r="I1010" s="29">
        <v>8.5571813579999993</v>
      </c>
      <c r="J1010" s="29">
        <v>11.230116840000001</v>
      </c>
      <c r="L1010" s="30">
        <f t="shared" si="65"/>
        <v>-2.8404248485026651E-3</v>
      </c>
      <c r="M1010" s="30">
        <f t="shared" si="65"/>
        <v>-1.3342828072099633E-2</v>
      </c>
      <c r="N1010" s="30">
        <f t="shared" si="65"/>
        <v>2.7125177317598892E-2</v>
      </c>
      <c r="O1010" s="30">
        <f t="shared" si="65"/>
        <v>2.6078423417104091E-3</v>
      </c>
      <c r="P1010" s="30">
        <f t="shared" si="65"/>
        <v>2.26956109710863E-3</v>
      </c>
      <c r="Q1010" s="30">
        <f t="shared" si="65"/>
        <v>5.5087032226985855E-4</v>
      </c>
      <c r="R1010" s="30">
        <f t="shared" si="64"/>
        <v>9.3108111745965338E-4</v>
      </c>
      <c r="S1010" s="30">
        <f t="shared" si="64"/>
        <v>2.2961699268666536E-3</v>
      </c>
      <c r="T1010" s="30">
        <f t="shared" si="64"/>
        <v>1.7482653531080139E-3</v>
      </c>
      <c r="U1010" s="63">
        <f t="shared" si="63"/>
        <v>1.3998779644008945E-3</v>
      </c>
    </row>
    <row r="1011" spans="1:21">
      <c r="A1011" s="28">
        <v>44792</v>
      </c>
      <c r="B1011" s="29">
        <v>1747.599976</v>
      </c>
      <c r="C1011" s="29">
        <v>19.05800056</v>
      </c>
      <c r="D1011" s="29">
        <v>90.769996640000002</v>
      </c>
      <c r="E1011" s="29">
        <v>13242.900390000001</v>
      </c>
      <c r="F1011" s="29">
        <v>4228.4799800000001</v>
      </c>
      <c r="G1011" s="29">
        <v>33706.738279999998</v>
      </c>
      <c r="H1011" s="29">
        <v>10.50286674</v>
      </c>
      <c r="I1011" s="29">
        <v>8.4983701709999995</v>
      </c>
      <c r="J1011" s="29">
        <v>11.161520960000001</v>
      </c>
      <c r="L1011" s="30">
        <f t="shared" si="65"/>
        <v>-4.3867559876082929E-3</v>
      </c>
      <c r="M1011" s="30">
        <f t="shared" si="65"/>
        <v>-2.005344462169234E-2</v>
      </c>
      <c r="N1011" s="30">
        <f t="shared" si="65"/>
        <v>2.9833882872929429E-3</v>
      </c>
      <c r="O1011" s="30">
        <f t="shared" si="65"/>
        <v>-1.9479492841303458E-2</v>
      </c>
      <c r="P1011" s="30">
        <f t="shared" si="65"/>
        <v>-1.2900001162862273E-2</v>
      </c>
      <c r="Q1011" s="30">
        <f t="shared" si="65"/>
        <v>-8.5973247503897676E-3</v>
      </c>
      <c r="R1011" s="30">
        <f t="shared" si="64"/>
        <v>-5.5813771771916487E-3</v>
      </c>
      <c r="S1011" s="30">
        <f t="shared" si="64"/>
        <v>-6.8727288273513487E-3</v>
      </c>
      <c r="T1011" s="30">
        <f t="shared" si="64"/>
        <v>-6.1082071520103254E-3</v>
      </c>
      <c r="U1011" s="63">
        <f t="shared" si="63"/>
        <v>-1.1240270140707631E-2</v>
      </c>
    </row>
    <row r="1012" spans="1:21">
      <c r="A1012" s="28">
        <v>44795</v>
      </c>
      <c r="B1012" s="29">
        <v>1734</v>
      </c>
      <c r="C1012" s="29">
        <v>18.872999190000002</v>
      </c>
      <c r="D1012" s="29">
        <v>90.230003359999998</v>
      </c>
      <c r="E1012" s="29">
        <v>12890.54004</v>
      </c>
      <c r="F1012" s="29">
        <v>4137.9902339999999</v>
      </c>
      <c r="G1012" s="29">
        <v>33063.609380000002</v>
      </c>
      <c r="H1012" s="29">
        <v>10.453742979999999</v>
      </c>
      <c r="I1012" s="29">
        <v>8.4591617580000005</v>
      </c>
      <c r="J1012" s="29">
        <v>11.12232494</v>
      </c>
      <c r="L1012" s="30">
        <f t="shared" si="65"/>
        <v>-7.7820875410677948E-3</v>
      </c>
      <c r="M1012" s="30">
        <f t="shared" si="65"/>
        <v>-9.7072811713674323E-3</v>
      </c>
      <c r="N1012" s="30">
        <f t="shared" si="65"/>
        <v>-5.9490283131953259E-3</v>
      </c>
      <c r="O1012" s="30">
        <f t="shared" si="65"/>
        <v>-2.660749077793223E-2</v>
      </c>
      <c r="P1012" s="30">
        <f t="shared" si="65"/>
        <v>-2.1400064899917082E-2</v>
      </c>
      <c r="Q1012" s="30">
        <f t="shared" si="65"/>
        <v>-1.9080128568286892E-2</v>
      </c>
      <c r="R1012" s="30">
        <f t="shared" si="64"/>
        <v>-4.6771763572809322E-3</v>
      </c>
      <c r="S1012" s="30">
        <f t="shared" si="64"/>
        <v>-4.6136391109197206E-3</v>
      </c>
      <c r="T1012" s="30">
        <f t="shared" si="64"/>
        <v>-3.5117095725993863E-3</v>
      </c>
      <c r="U1012" s="63">
        <f t="shared" si="63"/>
        <v>-1.3714924328580694E-2</v>
      </c>
    </row>
    <row r="1013" spans="1:21">
      <c r="A1013" s="28">
        <v>44796</v>
      </c>
      <c r="B1013" s="29">
        <v>1746.8000489999999</v>
      </c>
      <c r="C1013" s="29">
        <v>19.01199913</v>
      </c>
      <c r="D1013" s="29">
        <v>93.739997860000003</v>
      </c>
      <c r="E1013" s="29">
        <v>12881.79004</v>
      </c>
      <c r="F1013" s="29">
        <v>4128.7299800000001</v>
      </c>
      <c r="G1013" s="29">
        <v>32909.589840000001</v>
      </c>
      <c r="H1013" s="29">
        <v>10.44391727</v>
      </c>
      <c r="I1013" s="29">
        <v>8.4493589399999998</v>
      </c>
      <c r="J1013" s="29">
        <v>11.112524029999999</v>
      </c>
      <c r="L1013" s="30">
        <f t="shared" si="65"/>
        <v>7.3818044982698616E-3</v>
      </c>
      <c r="M1013" s="30">
        <f t="shared" si="65"/>
        <v>7.3650159468903187E-3</v>
      </c>
      <c r="N1013" s="30">
        <f t="shared" si="65"/>
        <v>3.8900524983866092E-2</v>
      </c>
      <c r="O1013" s="30">
        <f t="shared" si="65"/>
        <v>-6.7879235259715731E-4</v>
      </c>
      <c r="P1013" s="30">
        <f t="shared" si="65"/>
        <v>-2.2378627005720242E-3</v>
      </c>
      <c r="Q1013" s="30">
        <f t="shared" si="65"/>
        <v>-4.6582796883986033E-3</v>
      </c>
      <c r="R1013" s="30">
        <f t="shared" si="64"/>
        <v>-9.3992266873199615E-4</v>
      </c>
      <c r="S1013" s="30">
        <f t="shared" si="64"/>
        <v>-1.158840353269075E-3</v>
      </c>
      <c r="T1013" s="30">
        <f t="shared" si="64"/>
        <v>-8.8119256116614419E-4</v>
      </c>
      <c r="U1013" s="63">
        <f t="shared" si="63"/>
        <v>3.3014945693772176E-3</v>
      </c>
    </row>
    <row r="1014" spans="1:21">
      <c r="A1014" s="28">
        <v>44797</v>
      </c>
      <c r="B1014" s="29">
        <v>1747.8000489999999</v>
      </c>
      <c r="C1014" s="29">
        <v>18.895000459999999</v>
      </c>
      <c r="D1014" s="29">
        <v>94.88999939</v>
      </c>
      <c r="E1014" s="29">
        <v>12917.860350000001</v>
      </c>
      <c r="F1014" s="29">
        <v>4140.7700199999999</v>
      </c>
      <c r="G1014" s="29">
        <v>32969.230470000002</v>
      </c>
      <c r="H1014" s="29">
        <v>10.41444302</v>
      </c>
      <c r="I1014" s="29">
        <v>8.4297552109999998</v>
      </c>
      <c r="J1014" s="29">
        <v>11.083125109999999</v>
      </c>
      <c r="L1014" s="30">
        <f t="shared" si="65"/>
        <v>5.7247536749982508E-4</v>
      </c>
      <c r="M1014" s="30">
        <f t="shared" si="65"/>
        <v>-6.1539383207409593E-3</v>
      </c>
      <c r="N1014" s="30">
        <f t="shared" si="65"/>
        <v>1.2267991852501492E-2</v>
      </c>
      <c r="O1014" s="30">
        <f t="shared" si="65"/>
        <v>2.8001007536992972E-3</v>
      </c>
      <c r="P1014" s="30">
        <f t="shared" si="65"/>
        <v>2.916160673699375E-3</v>
      </c>
      <c r="Q1014" s="30">
        <f t="shared" si="65"/>
        <v>1.8122568616005807E-3</v>
      </c>
      <c r="R1014" s="30">
        <f t="shared" si="64"/>
        <v>-2.8221451049468271E-3</v>
      </c>
      <c r="S1014" s="30">
        <f t="shared" si="64"/>
        <v>-2.3201439469205942E-3</v>
      </c>
      <c r="T1014" s="30">
        <f t="shared" si="64"/>
        <v>-2.6455663826358E-3</v>
      </c>
      <c r="U1014" s="63">
        <f t="shared" si="63"/>
        <v>6.5027477817624507E-4</v>
      </c>
    </row>
    <row r="1015" spans="1:21">
      <c r="A1015" s="28">
        <v>44798</v>
      </c>
      <c r="B1015" s="29">
        <v>1757.6999510000001</v>
      </c>
      <c r="C1015" s="29">
        <v>19.111000059999999</v>
      </c>
      <c r="D1015" s="29">
        <v>92.519996640000002</v>
      </c>
      <c r="E1015" s="29">
        <v>13143.58008</v>
      </c>
      <c r="F1015" s="29">
        <v>4199.1201170000004</v>
      </c>
      <c r="G1015" s="29">
        <v>33291.78125</v>
      </c>
      <c r="H1015" s="29">
        <v>10.463566780000001</v>
      </c>
      <c r="I1015" s="29">
        <v>8.4689645769999995</v>
      </c>
      <c r="J1015" s="29">
        <v>11.13212395</v>
      </c>
      <c r="L1015" s="30">
        <f t="shared" si="65"/>
        <v>5.6642074164401368E-3</v>
      </c>
      <c r="M1015" s="30">
        <f t="shared" si="65"/>
        <v>1.1431574212303675E-2</v>
      </c>
      <c r="N1015" s="30">
        <f t="shared" si="65"/>
        <v>-2.4976317475345677E-2</v>
      </c>
      <c r="O1015" s="30">
        <f t="shared" si="65"/>
        <v>1.7473461075153907E-2</v>
      </c>
      <c r="P1015" s="30">
        <f t="shared" si="65"/>
        <v>1.4091605357981374E-2</v>
      </c>
      <c r="Q1015" s="30">
        <f t="shared" si="65"/>
        <v>9.7833881895879049E-3</v>
      </c>
      <c r="R1015" s="30">
        <f t="shared" si="64"/>
        <v>4.7168878744319187E-3</v>
      </c>
      <c r="S1015" s="30">
        <f t="shared" si="64"/>
        <v>4.6513054078765048E-3</v>
      </c>
      <c r="T1015" s="30">
        <f t="shared" si="64"/>
        <v>4.4210310281340703E-3</v>
      </c>
      <c r="U1015" s="63">
        <f t="shared" si="63"/>
        <v>8.0319058936764651E-3</v>
      </c>
    </row>
    <row r="1016" spans="1:21">
      <c r="A1016" s="28">
        <v>44799</v>
      </c>
      <c r="B1016" s="29">
        <v>1736.099976</v>
      </c>
      <c r="C1016" s="29">
        <v>18.739999770000001</v>
      </c>
      <c r="D1016" s="29">
        <v>93.059997559999999</v>
      </c>
      <c r="E1016" s="29">
        <v>12605.16992</v>
      </c>
      <c r="F1016" s="29">
        <v>4057.6599120000001</v>
      </c>
      <c r="G1016" s="29">
        <v>32283.400389999999</v>
      </c>
      <c r="H1016" s="29">
        <v>10.463566780000001</v>
      </c>
      <c r="I1016" s="29">
        <v>8.4689645769999995</v>
      </c>
      <c r="J1016" s="29">
        <v>11.12232494</v>
      </c>
      <c r="L1016" s="30">
        <f t="shared" si="65"/>
        <v>-1.228877260178074E-2</v>
      </c>
      <c r="M1016" s="30">
        <f t="shared" si="65"/>
        <v>-1.9412918676951607E-2</v>
      </c>
      <c r="N1016" s="30">
        <f t="shared" si="65"/>
        <v>5.8365860312465934E-3</v>
      </c>
      <c r="O1016" s="30">
        <f t="shared" si="65"/>
        <v>-4.0963737179893212E-2</v>
      </c>
      <c r="P1016" s="30">
        <f t="shared" si="65"/>
        <v>-3.3688058702417978E-2</v>
      </c>
      <c r="Q1016" s="30">
        <f t="shared" si="65"/>
        <v>-3.0289183159882827E-2</v>
      </c>
      <c r="R1016" s="30">
        <f t="shared" si="64"/>
        <v>0</v>
      </c>
      <c r="S1016" s="30">
        <f t="shared" si="64"/>
        <v>0</v>
      </c>
      <c r="T1016" s="30">
        <f t="shared" si="64"/>
        <v>-8.8024621752436083E-4</v>
      </c>
      <c r="U1016" s="63">
        <f t="shared" si="63"/>
        <v>-1.9315806106696923E-2</v>
      </c>
    </row>
    <row r="1017" spans="1:21">
      <c r="A1017" s="28">
        <v>44802</v>
      </c>
      <c r="B1017" s="29">
        <v>1736.599976</v>
      </c>
      <c r="C1017" s="29">
        <v>18.55500031</v>
      </c>
      <c r="D1017" s="29">
        <v>97.010002139999997</v>
      </c>
      <c r="E1017" s="29">
        <v>12484.320309999999</v>
      </c>
      <c r="F1017" s="29">
        <v>4030.610107</v>
      </c>
      <c r="G1017" s="29">
        <v>32098.990229999999</v>
      </c>
      <c r="H1017" s="29">
        <v>10.404619220000001</v>
      </c>
      <c r="I1017" s="29">
        <v>8.4297552109999998</v>
      </c>
      <c r="J1017" s="29">
        <v>11.07332802</v>
      </c>
      <c r="L1017" s="30">
        <f t="shared" si="65"/>
        <v>2.8800184719313116E-4</v>
      </c>
      <c r="M1017" s="30">
        <f t="shared" si="65"/>
        <v>-9.8719030026968024E-3</v>
      </c>
      <c r="N1017" s="30">
        <f t="shared" si="65"/>
        <v>4.244578426356882E-2</v>
      </c>
      <c r="O1017" s="30">
        <f t="shared" si="65"/>
        <v>-9.5873051110763052E-3</v>
      </c>
      <c r="P1017" s="30">
        <f t="shared" si="65"/>
        <v>-6.666355876697283E-3</v>
      </c>
      <c r="Q1017" s="30">
        <f t="shared" si="65"/>
        <v>-5.7122285066699696E-3</v>
      </c>
      <c r="R1017" s="30">
        <f t="shared" si="64"/>
        <v>-5.6336009736824844E-3</v>
      </c>
      <c r="S1017" s="30">
        <f t="shared" si="64"/>
        <v>-4.629770929315824E-3</v>
      </c>
      <c r="T1017" s="30">
        <f t="shared" si="64"/>
        <v>-4.4052767981799246E-3</v>
      </c>
      <c r="U1017" s="63">
        <f t="shared" si="63"/>
        <v>-2.8330785328485155E-3</v>
      </c>
    </row>
    <row r="1018" spans="1:21">
      <c r="A1018" s="28">
        <v>44803</v>
      </c>
      <c r="B1018" s="29">
        <v>1723.1999510000001</v>
      </c>
      <c r="C1018" s="29">
        <v>18.1590004</v>
      </c>
      <c r="D1018" s="29">
        <v>91.63999939</v>
      </c>
      <c r="E1018" s="29">
        <v>12342.700199999999</v>
      </c>
      <c r="F1018" s="29">
        <v>3986.1599120000001</v>
      </c>
      <c r="G1018" s="29">
        <v>31790.869139999999</v>
      </c>
      <c r="H1018" s="29">
        <v>10.41444302</v>
      </c>
      <c r="I1018" s="29">
        <v>8.4199533459999998</v>
      </c>
      <c r="J1018" s="29">
        <v>11.07332802</v>
      </c>
      <c r="L1018" s="30">
        <f t="shared" si="65"/>
        <v>-7.7162416130310829E-3</v>
      </c>
      <c r="M1018" s="30">
        <f t="shared" si="65"/>
        <v>-2.1341951138991955E-2</v>
      </c>
      <c r="N1018" s="30">
        <f t="shared" si="65"/>
        <v>-5.5355145155550844E-2</v>
      </c>
      <c r="O1018" s="30">
        <f t="shared" si="65"/>
        <v>-1.1343838229347702E-2</v>
      </c>
      <c r="P1018" s="30">
        <f t="shared" si="65"/>
        <v>-1.1028155495070746E-2</v>
      </c>
      <c r="Q1018" s="30">
        <f t="shared" si="65"/>
        <v>-9.5990898091251609E-3</v>
      </c>
      <c r="R1018" s="30">
        <f t="shared" si="64"/>
        <v>9.4417679227665197E-4</v>
      </c>
      <c r="S1018" s="30">
        <f t="shared" si="64"/>
        <v>-1.162769826009824E-3</v>
      </c>
      <c r="T1018" s="30">
        <f t="shared" si="64"/>
        <v>0</v>
      </c>
      <c r="U1018" s="63">
        <f t="shared" si="63"/>
        <v>-1.2977355789902825E-2</v>
      </c>
    </row>
    <row r="1019" spans="1:21">
      <c r="A1019" s="28">
        <v>44804</v>
      </c>
      <c r="B1019" s="29">
        <v>1712.8000489999999</v>
      </c>
      <c r="C1019" s="29">
        <v>17.76199913</v>
      </c>
      <c r="D1019" s="29">
        <v>89.550003050000001</v>
      </c>
      <c r="E1019" s="29">
        <v>12272.030269999999</v>
      </c>
      <c r="F1019" s="29">
        <v>3955</v>
      </c>
      <c r="G1019" s="29">
        <v>31510.429690000001</v>
      </c>
      <c r="H1019" s="29">
        <v>10.385894779999999</v>
      </c>
      <c r="I1019" s="29">
        <v>8.408166885</v>
      </c>
      <c r="J1019" s="29">
        <v>11.024199490000001</v>
      </c>
      <c r="L1019" s="30">
        <f t="shared" si="65"/>
        <v>-6.0352264947343137E-3</v>
      </c>
      <c r="M1019" s="30">
        <f t="shared" si="65"/>
        <v>-2.1862506815077842E-2</v>
      </c>
      <c r="N1019" s="30">
        <f t="shared" si="65"/>
        <v>-2.2806594870275254E-2</v>
      </c>
      <c r="O1019" s="30">
        <f t="shared" si="65"/>
        <v>-5.7256458355846584E-3</v>
      </c>
      <c r="P1019" s="30">
        <f t="shared" si="65"/>
        <v>-7.8170250787470419E-3</v>
      </c>
      <c r="Q1019" s="30">
        <f t="shared" si="65"/>
        <v>-8.8213835477414237E-3</v>
      </c>
      <c r="R1019" s="30">
        <f t="shared" si="64"/>
        <v>-2.7412162076432267E-3</v>
      </c>
      <c r="S1019" s="30">
        <f t="shared" si="64"/>
        <v>-1.399824977129982E-3</v>
      </c>
      <c r="T1019" s="30">
        <f t="shared" si="64"/>
        <v>-4.4366544467269176E-3</v>
      </c>
      <c r="U1019" s="63">
        <f t="shared" si="63"/>
        <v>-9.4334790626131124E-3</v>
      </c>
    </row>
    <row r="1020" spans="1:21">
      <c r="A1020" s="28">
        <v>44805</v>
      </c>
      <c r="B1020" s="29">
        <v>1696.599976</v>
      </c>
      <c r="C1020" s="29">
        <v>17.551000599999998</v>
      </c>
      <c r="D1020" s="29">
        <v>86.61000061</v>
      </c>
      <c r="E1020" s="29">
        <v>12274.62012</v>
      </c>
      <c r="F1020" s="29">
        <v>3966.8500979999999</v>
      </c>
      <c r="G1020" s="29">
        <v>31656.41992</v>
      </c>
      <c r="H1020" s="29">
        <v>10.32682705</v>
      </c>
      <c r="I1020" s="29">
        <v>8.3590536120000003</v>
      </c>
      <c r="J1020" s="29">
        <v>10.965246199999999</v>
      </c>
      <c r="L1020" s="30">
        <f t="shared" si="65"/>
        <v>-9.4582394538452741E-3</v>
      </c>
      <c r="M1020" s="30">
        <f t="shared" si="65"/>
        <v>-1.1879210693329312E-2</v>
      </c>
      <c r="N1020" s="30">
        <f t="shared" si="65"/>
        <v>-3.2830846899675192E-2</v>
      </c>
      <c r="O1020" s="30">
        <f t="shared" si="65"/>
        <v>2.110368001888574E-4</v>
      </c>
      <c r="P1020" s="30">
        <f t="shared" si="65"/>
        <v>2.9962321112515511E-3</v>
      </c>
      <c r="Q1020" s="30">
        <f t="shared" si="65"/>
        <v>4.6330764586917095E-3</v>
      </c>
      <c r="R1020" s="30">
        <f t="shared" si="64"/>
        <v>-5.6873029480083437E-3</v>
      </c>
      <c r="S1020" s="30">
        <f t="shared" si="64"/>
        <v>-5.8411391771513443E-3</v>
      </c>
      <c r="T1020" s="30">
        <f t="shared" si="64"/>
        <v>-5.347625471897377E-3</v>
      </c>
      <c r="U1020" s="63">
        <f t="shared" si="63"/>
        <v>-5.2076171849326381E-3</v>
      </c>
    </row>
    <row r="1021" spans="1:21">
      <c r="A1021" s="28">
        <v>44806</v>
      </c>
      <c r="B1021" s="29">
        <v>1709.8000489999999</v>
      </c>
      <c r="C1021" s="29">
        <v>17.775999070000001</v>
      </c>
      <c r="D1021" s="29">
        <v>86.870002749999998</v>
      </c>
      <c r="E1021" s="29">
        <v>12098.440430000001</v>
      </c>
      <c r="F1021" s="29">
        <v>3924.26001</v>
      </c>
      <c r="G1021" s="29">
        <v>31318.439450000002</v>
      </c>
      <c r="H1021" s="29">
        <v>10.366205219999999</v>
      </c>
      <c r="I1021" s="29">
        <v>8.3885211940000008</v>
      </c>
      <c r="J1021" s="29">
        <v>11.014372829999999</v>
      </c>
      <c r="L1021" s="30">
        <f t="shared" si="65"/>
        <v>7.7803095524739962E-3</v>
      </c>
      <c r="M1021" s="30">
        <f t="shared" si="65"/>
        <v>1.2819694735809017E-2</v>
      </c>
      <c r="N1021" s="30">
        <f t="shared" si="65"/>
        <v>3.0019875091651382E-3</v>
      </c>
      <c r="O1021" s="30">
        <f t="shared" si="65"/>
        <v>-1.4353168430274676E-2</v>
      </c>
      <c r="P1021" s="30">
        <f t="shared" si="65"/>
        <v>-1.0736500484722855E-2</v>
      </c>
      <c r="Q1021" s="30">
        <f t="shared" si="65"/>
        <v>-1.0676522198470928E-2</v>
      </c>
      <c r="R1021" s="30">
        <f t="shared" si="64"/>
        <v>3.8131915843404585E-3</v>
      </c>
      <c r="S1021" s="30">
        <f t="shared" si="64"/>
        <v>3.5252294539298568E-3</v>
      </c>
      <c r="T1021" s="30">
        <f t="shared" si="64"/>
        <v>4.4802122181260007E-3</v>
      </c>
      <c r="U1021" s="63">
        <f t="shared" si="63"/>
        <v>-1.6550518211491327E-3</v>
      </c>
    </row>
    <row r="1022" spans="1:21">
      <c r="A1022" s="28">
        <v>44810</v>
      </c>
      <c r="B1022" s="29">
        <v>1700.400024</v>
      </c>
      <c r="C1022" s="29">
        <v>17.795000080000001</v>
      </c>
      <c r="D1022" s="29">
        <v>86.879997250000002</v>
      </c>
      <c r="E1022" s="29">
        <v>12011.309569999999</v>
      </c>
      <c r="F1022" s="29">
        <v>3908.1899410000001</v>
      </c>
      <c r="G1022" s="29">
        <v>31145.300780000001</v>
      </c>
      <c r="H1022" s="29">
        <v>10.26776218</v>
      </c>
      <c r="I1022" s="29">
        <v>8.3099393839999998</v>
      </c>
      <c r="J1022" s="29">
        <v>10.916118620000001</v>
      </c>
      <c r="L1022" s="30">
        <f t="shared" si="65"/>
        <v>-5.4977334955029766E-3</v>
      </c>
      <c r="M1022" s="30">
        <f t="shared" si="65"/>
        <v>1.068913759793455E-3</v>
      </c>
      <c r="N1022" s="30">
        <f t="shared" si="65"/>
        <v>1.1505122232779996E-4</v>
      </c>
      <c r="O1022" s="30">
        <f t="shared" si="65"/>
        <v>-7.2018257645792838E-3</v>
      </c>
      <c r="P1022" s="30">
        <f t="shared" si="65"/>
        <v>-4.0950571468376662E-3</v>
      </c>
      <c r="Q1022" s="30">
        <f t="shared" si="65"/>
        <v>-5.5283300522178669E-3</v>
      </c>
      <c r="R1022" s="30">
        <f t="shared" si="64"/>
        <v>-9.4965358982155301E-3</v>
      </c>
      <c r="S1022" s="30">
        <f t="shared" si="64"/>
        <v>-9.3677786802527363E-3</v>
      </c>
      <c r="T1022" s="30">
        <f t="shared" si="64"/>
        <v>-8.920545138292546E-3</v>
      </c>
      <c r="U1022" s="63">
        <f t="shared" si="63"/>
        <v>-4.8111802063009268E-3</v>
      </c>
    </row>
    <row r="1023" spans="1:21">
      <c r="A1023" s="28">
        <v>44811</v>
      </c>
      <c r="B1023" s="29">
        <v>1715.3000489999999</v>
      </c>
      <c r="C1023" s="29">
        <v>18.13699913</v>
      </c>
      <c r="D1023" s="29">
        <v>81.940002440000001</v>
      </c>
      <c r="E1023" s="29">
        <v>12259.389649999999</v>
      </c>
      <c r="F1023" s="29">
        <v>3979.8701169999999</v>
      </c>
      <c r="G1023" s="29">
        <v>31581.279299999998</v>
      </c>
      <c r="H1023" s="29">
        <v>10.32682705</v>
      </c>
      <c r="I1023" s="29">
        <v>8.3590536120000003</v>
      </c>
      <c r="J1023" s="29">
        <v>10.97507191</v>
      </c>
      <c r="L1023" s="30">
        <f t="shared" si="65"/>
        <v>8.7626586624889313E-3</v>
      </c>
      <c r="M1023" s="30">
        <f t="shared" si="65"/>
        <v>1.9218828236161389E-2</v>
      </c>
      <c r="N1023" s="30">
        <f t="shared" si="65"/>
        <v>-5.685997889462413E-2</v>
      </c>
      <c r="O1023" s="30">
        <f t="shared" si="65"/>
        <v>2.0653874463415267E-2</v>
      </c>
      <c r="P1023" s="30">
        <f t="shared" si="65"/>
        <v>1.8341016450612591E-2</v>
      </c>
      <c r="Q1023" s="30">
        <f t="shared" si="65"/>
        <v>1.3998211899753477E-2</v>
      </c>
      <c r="R1023" s="30">
        <f t="shared" si="64"/>
        <v>5.7524579323671166E-3</v>
      </c>
      <c r="S1023" s="30">
        <f t="shared" si="64"/>
        <v>5.9102991887720613E-3</v>
      </c>
      <c r="T1023" s="30">
        <f t="shared" si="64"/>
        <v>5.4005724976264879E-3</v>
      </c>
      <c r="U1023" s="63">
        <f t="shared" si="63"/>
        <v>9.0706664675464198E-3</v>
      </c>
    </row>
    <row r="1024" spans="1:21">
      <c r="A1024" s="28">
        <v>44812</v>
      </c>
      <c r="B1024" s="29">
        <v>1708</v>
      </c>
      <c r="C1024" s="29">
        <v>18.329999919999999</v>
      </c>
      <c r="D1024" s="29">
        <v>83.540000919999997</v>
      </c>
      <c r="E1024" s="29">
        <v>12321.190430000001</v>
      </c>
      <c r="F1024" s="29">
        <v>4006.179932</v>
      </c>
      <c r="G1024" s="29">
        <v>31774.519530000001</v>
      </c>
      <c r="H1024" s="29">
        <v>10.287449840000001</v>
      </c>
      <c r="I1024" s="29">
        <v>8.3295850750000007</v>
      </c>
      <c r="J1024" s="29">
        <v>10.94559669</v>
      </c>
      <c r="L1024" s="30">
        <f t="shared" si="65"/>
        <v>-4.2558437541325711E-3</v>
      </c>
      <c r="M1024" s="30">
        <f t="shared" si="65"/>
        <v>1.0641274701323811E-2</v>
      </c>
      <c r="N1024" s="30">
        <f t="shared" si="65"/>
        <v>1.9526463660671567E-2</v>
      </c>
      <c r="O1024" s="30">
        <f t="shared" si="65"/>
        <v>5.0410976210386593E-3</v>
      </c>
      <c r="P1024" s="30">
        <f t="shared" si="65"/>
        <v>6.6107220151778723E-3</v>
      </c>
      <c r="Q1024" s="30">
        <f t="shared" si="65"/>
        <v>6.1188221086407868E-3</v>
      </c>
      <c r="R1024" s="30">
        <f t="shared" si="64"/>
        <v>-3.8130986225821673E-3</v>
      </c>
      <c r="S1024" s="30">
        <f t="shared" si="64"/>
        <v>-3.5253437013127442E-3</v>
      </c>
      <c r="T1024" s="30">
        <f t="shared" si="64"/>
        <v>-2.685651651461507E-3</v>
      </c>
      <c r="U1024" s="63">
        <f t="shared" si="63"/>
        <v>4.8125890884238211E-3</v>
      </c>
    </row>
    <row r="1025" spans="1:21">
      <c r="A1025" s="28">
        <v>44813</v>
      </c>
      <c r="B1025" s="29">
        <v>1716.1999510000001</v>
      </c>
      <c r="C1025" s="29">
        <v>18.658000950000002</v>
      </c>
      <c r="D1025" s="29">
        <v>86.790000919999997</v>
      </c>
      <c r="E1025" s="29">
        <v>12588.29004</v>
      </c>
      <c r="F1025" s="29">
        <v>4067.360107</v>
      </c>
      <c r="G1025" s="29">
        <v>32151.710940000001</v>
      </c>
      <c r="H1025" s="29">
        <v>10.287449840000001</v>
      </c>
      <c r="I1025" s="29">
        <v>8.3295850750000007</v>
      </c>
      <c r="J1025" s="29">
        <v>10.93577003</v>
      </c>
      <c r="L1025" s="30">
        <f t="shared" si="65"/>
        <v>4.80090807962541E-3</v>
      </c>
      <c r="M1025" s="30">
        <f t="shared" si="65"/>
        <v>1.7894218845146748E-2</v>
      </c>
      <c r="N1025" s="30">
        <f t="shared" si="65"/>
        <v>3.8903518843772522E-2</v>
      </c>
      <c r="O1025" s="30">
        <f t="shared" si="65"/>
        <v>2.1678068488387048E-2</v>
      </c>
      <c r="P1025" s="30">
        <f t="shared" si="65"/>
        <v>1.5271449619951749E-2</v>
      </c>
      <c r="Q1025" s="30">
        <f t="shared" si="65"/>
        <v>1.1870876903232963E-2</v>
      </c>
      <c r="R1025" s="30">
        <f t="shared" si="64"/>
        <v>0</v>
      </c>
      <c r="S1025" s="30">
        <f t="shared" si="64"/>
        <v>0</v>
      </c>
      <c r="T1025" s="30">
        <f t="shared" si="64"/>
        <v>-8.9777289245251968E-4</v>
      </c>
      <c r="U1025" s="63">
        <f t="shared" si="63"/>
        <v>1.3416205778370062E-2</v>
      </c>
    </row>
    <row r="1026" spans="1:21">
      <c r="A1026" s="28">
        <v>44816</v>
      </c>
      <c r="B1026" s="29">
        <v>1728.099976</v>
      </c>
      <c r="C1026" s="29">
        <v>19.754999160000001</v>
      </c>
      <c r="D1026" s="29">
        <v>87.77999878</v>
      </c>
      <c r="E1026" s="29">
        <v>12739.719730000001</v>
      </c>
      <c r="F1026" s="29">
        <v>4110.4101559999999</v>
      </c>
      <c r="G1026" s="29">
        <v>32381.339840000001</v>
      </c>
      <c r="H1026" s="29">
        <v>10.2776041</v>
      </c>
      <c r="I1026" s="29">
        <v>8.3197631839999993</v>
      </c>
      <c r="J1026" s="29">
        <v>10.92594433</v>
      </c>
      <c r="L1026" s="30">
        <f t="shared" si="65"/>
        <v>6.933938550147456E-3</v>
      </c>
      <c r="M1026" s="30">
        <f t="shared" si="65"/>
        <v>5.8795055962305387E-2</v>
      </c>
      <c r="N1026" s="30">
        <f t="shared" si="65"/>
        <v>1.1406819328329654E-2</v>
      </c>
      <c r="O1026" s="30">
        <f t="shared" si="65"/>
        <v>1.202940903957761E-2</v>
      </c>
      <c r="P1026" s="30">
        <f t="shared" si="65"/>
        <v>1.0584272812704798E-2</v>
      </c>
      <c r="Q1026" s="30">
        <f t="shared" si="65"/>
        <v>7.1420429360204984E-3</v>
      </c>
      <c r="R1026" s="30">
        <f t="shared" si="64"/>
        <v>-9.5706323268951454E-4</v>
      </c>
      <c r="S1026" s="30">
        <f t="shared" si="64"/>
        <v>-1.1791572943387063E-3</v>
      </c>
      <c r="T1026" s="30">
        <f t="shared" si="64"/>
        <v>-8.984918275571907E-4</v>
      </c>
      <c r="U1026" s="63">
        <f t="shared" si="63"/>
        <v>1.4766816026698423E-2</v>
      </c>
    </row>
    <row r="1027" spans="1:21">
      <c r="A1027" s="28">
        <v>44817</v>
      </c>
      <c r="B1027" s="29">
        <v>1705</v>
      </c>
      <c r="C1027" s="29">
        <v>19.38999939</v>
      </c>
      <c r="D1027" s="29">
        <v>87.309997559999999</v>
      </c>
      <c r="E1027" s="29">
        <v>12033.62012</v>
      </c>
      <c r="F1027" s="29">
        <v>3932.6899410000001</v>
      </c>
      <c r="G1027" s="29">
        <v>31104.970700000002</v>
      </c>
      <c r="H1027" s="29">
        <v>10.22838211</v>
      </c>
      <c r="I1027" s="29">
        <v>8.2706489560000005</v>
      </c>
      <c r="J1027" s="29">
        <v>10.87681675</v>
      </c>
      <c r="L1027" s="30">
        <f t="shared" si="65"/>
        <v>-1.3367268283556721E-2</v>
      </c>
      <c r="M1027" s="30">
        <f t="shared" si="65"/>
        <v>-1.847632424804424E-2</v>
      </c>
      <c r="N1027" s="30">
        <f t="shared" si="65"/>
        <v>-5.3543088007775852E-3</v>
      </c>
      <c r="O1027" s="30">
        <f t="shared" si="65"/>
        <v>-5.5425050547795784E-2</v>
      </c>
      <c r="P1027" s="30">
        <f t="shared" si="65"/>
        <v>-4.3236613441259619E-2</v>
      </c>
      <c r="Q1027" s="30">
        <f t="shared" si="65"/>
        <v>-3.9416810617061815E-2</v>
      </c>
      <c r="R1027" s="30">
        <f t="shared" si="64"/>
        <v>-4.7892475251113398E-3</v>
      </c>
      <c r="S1027" s="30">
        <f t="shared" si="64"/>
        <v>-5.9033204327800792E-3</v>
      </c>
      <c r="T1027" s="30">
        <f t="shared" si="64"/>
        <v>-4.4964150023268923E-3</v>
      </c>
      <c r="U1027" s="63">
        <f t="shared" si="63"/>
        <v>-2.6253826137497566E-2</v>
      </c>
    </row>
    <row r="1028" spans="1:21">
      <c r="A1028" s="28">
        <v>44818</v>
      </c>
      <c r="B1028" s="29">
        <v>1696.5</v>
      </c>
      <c r="C1028" s="29">
        <v>19.471000669999999</v>
      </c>
      <c r="D1028" s="29">
        <v>88.480003359999998</v>
      </c>
      <c r="E1028" s="29">
        <v>12134.400390000001</v>
      </c>
      <c r="F1028" s="29">
        <v>3946.01001</v>
      </c>
      <c r="G1028" s="29">
        <v>31135.089840000001</v>
      </c>
      <c r="H1028" s="29">
        <v>10.22838211</v>
      </c>
      <c r="I1028" s="29">
        <v>8.2706489560000005</v>
      </c>
      <c r="J1028" s="29">
        <v>10.87681675</v>
      </c>
      <c r="L1028" s="30">
        <f t="shared" si="65"/>
        <v>-4.9853372434017773E-3</v>
      </c>
      <c r="M1028" s="30">
        <f t="shared" si="65"/>
        <v>4.1774771814471201E-3</v>
      </c>
      <c r="N1028" s="30">
        <f t="shared" si="65"/>
        <v>1.3400593662781457E-2</v>
      </c>
      <c r="O1028" s="30">
        <f t="shared" ref="L1028:T1059" si="66">(E1028/E1027)-1</f>
        <v>8.3748920935691196E-3</v>
      </c>
      <c r="P1028" s="30">
        <f t="shared" si="66"/>
        <v>3.3870122485712972E-3</v>
      </c>
      <c r="Q1028" s="30">
        <f t="shared" si="66"/>
        <v>9.6830632925160032E-4</v>
      </c>
      <c r="R1028" s="30">
        <f t="shared" si="64"/>
        <v>0</v>
      </c>
      <c r="S1028" s="30">
        <f t="shared" si="64"/>
        <v>0</v>
      </c>
      <c r="T1028" s="30">
        <f t="shared" si="64"/>
        <v>0</v>
      </c>
      <c r="U1028" s="63">
        <f t="shared" ref="U1028:U1091" si="67">SUMPRODUCT($L$2:$T$2,L1028:T1028)</f>
        <v>3.4173914068290857E-3</v>
      </c>
    </row>
    <row r="1029" spans="1:21">
      <c r="A1029" s="28">
        <v>44819</v>
      </c>
      <c r="B1029" s="29">
        <v>1665.400024</v>
      </c>
      <c r="C1029" s="29">
        <v>19.174999239999998</v>
      </c>
      <c r="D1029" s="29">
        <v>85.099998470000003</v>
      </c>
      <c r="E1029" s="29">
        <v>11927.490229999999</v>
      </c>
      <c r="F1029" s="29">
        <v>3901.3500979999999</v>
      </c>
      <c r="G1029" s="29">
        <v>30961.820309999999</v>
      </c>
      <c r="H1029" s="29">
        <v>10.198848720000001</v>
      </c>
      <c r="I1029" s="29">
        <v>8.2411823270000006</v>
      </c>
      <c r="J1029" s="29">
        <v>10.847340579999999</v>
      </c>
      <c r="L1029" s="30">
        <f t="shared" si="66"/>
        <v>-1.8331845564397264E-2</v>
      </c>
      <c r="M1029" s="30">
        <f t="shared" si="66"/>
        <v>-1.5202168343410594E-2</v>
      </c>
      <c r="N1029" s="30">
        <f t="shared" si="66"/>
        <v>-3.8200777143370113E-2</v>
      </c>
      <c r="O1029" s="30">
        <f t="shared" si="66"/>
        <v>-1.7051535580655197E-2</v>
      </c>
      <c r="P1029" s="30">
        <f t="shared" si="66"/>
        <v>-1.1317739155963236E-2</v>
      </c>
      <c r="Q1029" s="30">
        <f t="shared" si="66"/>
        <v>-5.5650884866693673E-3</v>
      </c>
      <c r="R1029" s="30">
        <f t="shared" si="64"/>
        <v>-2.8873960399978804E-3</v>
      </c>
      <c r="S1029" s="30">
        <f t="shared" si="64"/>
        <v>-3.5627952723858991E-3</v>
      </c>
      <c r="T1029" s="30">
        <f t="shared" si="64"/>
        <v>-2.7099996880981525E-3</v>
      </c>
      <c r="U1029" s="63">
        <f t="shared" si="67"/>
        <v>-1.2687909906176431E-2</v>
      </c>
    </row>
    <row r="1030" spans="1:21">
      <c r="A1030" s="28">
        <v>44820</v>
      </c>
      <c r="B1030" s="29">
        <v>1671.6999510000001</v>
      </c>
      <c r="C1030" s="29">
        <v>19.29599953</v>
      </c>
      <c r="D1030" s="29">
        <v>85.11000061</v>
      </c>
      <c r="E1030" s="29">
        <v>11861.37988</v>
      </c>
      <c r="F1030" s="29">
        <v>3873.330078</v>
      </c>
      <c r="G1030" s="29">
        <v>30822.41992</v>
      </c>
      <c r="H1030" s="29">
        <v>10.1890049</v>
      </c>
      <c r="I1030" s="29">
        <v>8.2313594820000002</v>
      </c>
      <c r="J1030" s="29">
        <v>10.837513919999999</v>
      </c>
      <c r="L1030" s="30">
        <f t="shared" si="66"/>
        <v>3.7828310971610435E-3</v>
      </c>
      <c r="M1030" s="30">
        <f t="shared" si="66"/>
        <v>6.3103152435901588E-3</v>
      </c>
      <c r="N1030" s="30">
        <f t="shared" si="66"/>
        <v>1.1753396216018785E-4</v>
      </c>
      <c r="O1030" s="30">
        <f t="shared" si="66"/>
        <v>-5.5426874158084338E-3</v>
      </c>
      <c r="P1030" s="30">
        <f t="shared" si="66"/>
        <v>-7.1821342089662954E-3</v>
      </c>
      <c r="Q1030" s="30">
        <f t="shared" si="66"/>
        <v>-4.5023318591825845E-3</v>
      </c>
      <c r="R1030" s="30">
        <f t="shared" si="64"/>
        <v>-9.651893336447559E-4</v>
      </c>
      <c r="S1030" s="30">
        <f t="shared" si="64"/>
        <v>-1.1919218153708666E-3</v>
      </c>
      <c r="T1030" s="30">
        <f t="shared" si="64"/>
        <v>-9.0590499371967503E-4</v>
      </c>
      <c r="U1030" s="63">
        <f t="shared" si="67"/>
        <v>-2.1062230869541921E-3</v>
      </c>
    </row>
    <row r="1031" spans="1:21">
      <c r="A1031" s="28">
        <v>44823</v>
      </c>
      <c r="B1031" s="29">
        <v>1666.1999510000001</v>
      </c>
      <c r="C1031" s="29">
        <v>19.273000719999999</v>
      </c>
      <c r="D1031" s="29">
        <v>85.730003359999998</v>
      </c>
      <c r="E1031" s="29">
        <v>11953.26953</v>
      </c>
      <c r="F1031" s="29">
        <v>3899.889893</v>
      </c>
      <c r="G1031" s="29">
        <v>31019.679690000001</v>
      </c>
      <c r="H1031" s="29">
        <v>10.169316289999999</v>
      </c>
      <c r="I1031" s="29">
        <v>8.2117137909999993</v>
      </c>
      <c r="J1031" s="29">
        <v>10.81786346</v>
      </c>
      <c r="L1031" s="30">
        <f t="shared" si="66"/>
        <v>-3.2900641031363698E-3</v>
      </c>
      <c r="M1031" s="30">
        <f t="shared" si="66"/>
        <v>-1.19189524047425E-3</v>
      </c>
      <c r="N1031" s="30">
        <f t="shared" si="66"/>
        <v>7.2847226595735837E-3</v>
      </c>
      <c r="O1031" s="30">
        <f t="shared" si="66"/>
        <v>7.7469612245484321E-3</v>
      </c>
      <c r="P1031" s="30">
        <f t="shared" si="66"/>
        <v>6.85710085769764E-3</v>
      </c>
      <c r="Q1031" s="30">
        <f t="shared" si="66"/>
        <v>6.3998793901318685E-3</v>
      </c>
      <c r="R1031" s="30">
        <f t="shared" si="64"/>
        <v>-1.9323388489096427E-3</v>
      </c>
      <c r="S1031" s="30">
        <f t="shared" si="64"/>
        <v>-2.3866884981711411E-3</v>
      </c>
      <c r="T1031" s="30">
        <f t="shared" si="64"/>
        <v>-1.8131889052280803E-3</v>
      </c>
      <c r="U1031" s="63">
        <f t="shared" si="67"/>
        <v>2.8395466016381231E-3</v>
      </c>
    </row>
    <row r="1032" spans="1:21">
      <c r="A1032" s="28">
        <v>44824</v>
      </c>
      <c r="B1032" s="29">
        <v>1659.6999510000001</v>
      </c>
      <c r="C1032" s="29">
        <v>19.101999280000001</v>
      </c>
      <c r="D1032" s="29">
        <v>84.449996949999999</v>
      </c>
      <c r="E1032" s="29">
        <v>11851.54004</v>
      </c>
      <c r="F1032" s="29">
        <v>3855.929932</v>
      </c>
      <c r="G1032" s="29">
        <v>30706.230469999999</v>
      </c>
      <c r="H1032" s="29">
        <v>10.129938129999999</v>
      </c>
      <c r="I1032" s="29">
        <v>8.1822452549999998</v>
      </c>
      <c r="J1032" s="29">
        <v>10.778561590000001</v>
      </c>
      <c r="L1032" s="30">
        <f t="shared" si="66"/>
        <v>-3.9010924205699071E-3</v>
      </c>
      <c r="M1032" s="30">
        <f t="shared" si="66"/>
        <v>-8.8725903394246686E-3</v>
      </c>
      <c r="N1032" s="30">
        <f t="shared" si="66"/>
        <v>-1.4930670241840027E-2</v>
      </c>
      <c r="O1032" s="30">
        <f t="shared" si="66"/>
        <v>-8.5105995263204948E-3</v>
      </c>
      <c r="P1032" s="30">
        <f t="shared" si="66"/>
        <v>-1.127210311216853E-2</v>
      </c>
      <c r="Q1032" s="30">
        <f t="shared" si="66"/>
        <v>-1.0104850312205205E-2</v>
      </c>
      <c r="R1032" s="30">
        <f t="shared" si="64"/>
        <v>-3.8722524579870576E-3</v>
      </c>
      <c r="S1032" s="30">
        <f t="shared" si="64"/>
        <v>-3.5885975510127066E-3</v>
      </c>
      <c r="T1032" s="30">
        <f t="shared" si="64"/>
        <v>-3.633052880110843E-3</v>
      </c>
      <c r="U1032" s="63">
        <f t="shared" si="67"/>
        <v>-8.4241087775846837E-3</v>
      </c>
    </row>
    <row r="1033" spans="1:21">
      <c r="A1033" s="28">
        <v>44825</v>
      </c>
      <c r="B1033" s="29">
        <v>1664.599976</v>
      </c>
      <c r="C1033" s="29">
        <v>19.4109993</v>
      </c>
      <c r="D1033" s="29">
        <v>82.940002440000001</v>
      </c>
      <c r="E1033" s="29">
        <v>11637.79004</v>
      </c>
      <c r="F1033" s="29">
        <v>3789.929932</v>
      </c>
      <c r="G1033" s="29">
        <v>30183.779299999998</v>
      </c>
      <c r="H1033" s="29">
        <v>10.169316289999999</v>
      </c>
      <c r="I1033" s="29">
        <v>8.2117137909999993</v>
      </c>
      <c r="J1033" s="29">
        <v>10.81786346</v>
      </c>
      <c r="L1033" s="30">
        <f t="shared" si="66"/>
        <v>2.9523559346058548E-3</v>
      </c>
      <c r="M1033" s="30">
        <f t="shared" si="66"/>
        <v>1.6176318272795864E-2</v>
      </c>
      <c r="N1033" s="30">
        <f t="shared" si="66"/>
        <v>-1.7880338241977878E-2</v>
      </c>
      <c r="O1033" s="30">
        <f t="shared" si="66"/>
        <v>-1.8035630751663922E-2</v>
      </c>
      <c r="P1033" s="30">
        <f t="shared" si="66"/>
        <v>-1.7116493599189209E-2</v>
      </c>
      <c r="Q1033" s="30">
        <f t="shared" si="66"/>
        <v>-1.701450037999408E-2</v>
      </c>
      <c r="R1033" s="30">
        <f t="shared" si="64"/>
        <v>3.8873050846559565E-3</v>
      </c>
      <c r="S1033" s="30">
        <f t="shared" si="64"/>
        <v>3.6015219639122797E-3</v>
      </c>
      <c r="T1033" s="30">
        <f t="shared" si="64"/>
        <v>3.6463000811224333E-3</v>
      </c>
      <c r="U1033" s="63">
        <f t="shared" si="67"/>
        <v>-5.6556466712719558E-3</v>
      </c>
    </row>
    <row r="1034" spans="1:21">
      <c r="A1034" s="28">
        <v>44826</v>
      </c>
      <c r="B1034" s="29">
        <v>1670.8000489999999</v>
      </c>
      <c r="C1034" s="29">
        <v>19.548000340000002</v>
      </c>
      <c r="D1034" s="29">
        <v>83.489997860000003</v>
      </c>
      <c r="E1034" s="29">
        <v>11501.650390000001</v>
      </c>
      <c r="F1034" s="29">
        <v>3757.98999</v>
      </c>
      <c r="G1034" s="29">
        <v>30076.679690000001</v>
      </c>
      <c r="H1034" s="29">
        <v>10.051183699999999</v>
      </c>
      <c r="I1034" s="29">
        <v>8.1134891509999996</v>
      </c>
      <c r="J1034" s="29">
        <v>10.690132139999999</v>
      </c>
      <c r="L1034" s="30">
        <f t="shared" si="66"/>
        <v>3.7246624350546487E-3</v>
      </c>
      <c r="M1034" s="30">
        <f t="shared" si="66"/>
        <v>7.0579076266310548E-3</v>
      </c>
      <c r="N1034" s="30">
        <f t="shared" si="66"/>
        <v>6.6312443190230663E-3</v>
      </c>
      <c r="O1034" s="30">
        <f t="shared" si="66"/>
        <v>-1.1698067204518714E-2</v>
      </c>
      <c r="P1034" s="30">
        <f t="shared" si="66"/>
        <v>-8.4275811355554175E-3</v>
      </c>
      <c r="Q1034" s="30">
        <f t="shared" si="66"/>
        <v>-3.5482505002280007E-3</v>
      </c>
      <c r="R1034" s="30">
        <f t="shared" si="64"/>
        <v>-1.1616571520758567E-2</v>
      </c>
      <c r="S1034" s="30">
        <f t="shared" si="64"/>
        <v>-1.1961527459426691E-2</v>
      </c>
      <c r="T1034" s="30">
        <f t="shared" si="64"/>
        <v>-1.1807444276986656E-2</v>
      </c>
      <c r="U1034" s="63">
        <f t="shared" si="67"/>
        <v>-5.4135803984453014E-3</v>
      </c>
    </row>
    <row r="1035" spans="1:21">
      <c r="A1035" s="28">
        <v>44827</v>
      </c>
      <c r="B1035" s="29">
        <v>1645.3000489999999</v>
      </c>
      <c r="C1035" s="29">
        <v>18.8409996</v>
      </c>
      <c r="D1035" s="29">
        <v>78.739997860000003</v>
      </c>
      <c r="E1035" s="29">
        <v>11311.240229999999</v>
      </c>
      <c r="F1035" s="29">
        <v>3693.2299800000001</v>
      </c>
      <c r="G1035" s="29">
        <v>29590.410159999999</v>
      </c>
      <c r="H1035" s="29">
        <v>10.02164936</v>
      </c>
      <c r="I1035" s="29">
        <v>8.0840187070000002</v>
      </c>
      <c r="J1035" s="29">
        <v>10.67048168</v>
      </c>
      <c r="L1035" s="30">
        <f t="shared" si="66"/>
        <v>-1.5262149420729454E-2</v>
      </c>
      <c r="M1035" s="30">
        <f t="shared" si="66"/>
        <v>-3.6167420078937917E-2</v>
      </c>
      <c r="N1035" s="30">
        <f t="shared" si="66"/>
        <v>-5.6893042541036221E-2</v>
      </c>
      <c r="O1035" s="30">
        <f t="shared" si="66"/>
        <v>-1.6555029369137442E-2</v>
      </c>
      <c r="P1035" s="30">
        <f t="shared" si="66"/>
        <v>-1.7232619078902833E-2</v>
      </c>
      <c r="Q1035" s="30">
        <f t="shared" si="66"/>
        <v>-1.6167659961537462E-2</v>
      </c>
      <c r="R1035" s="30">
        <f t="shared" si="64"/>
        <v>-2.938394211221107E-3</v>
      </c>
      <c r="S1035" s="30">
        <f t="shared" si="64"/>
        <v>-3.6322774889477882E-3</v>
      </c>
      <c r="T1035" s="30">
        <f t="shared" si="64"/>
        <v>-1.8381868196438722E-3</v>
      </c>
      <c r="U1035" s="63">
        <f t="shared" si="67"/>
        <v>-1.9110478058953256E-2</v>
      </c>
    </row>
    <row r="1036" spans="1:21">
      <c r="A1036" s="28">
        <v>44830</v>
      </c>
      <c r="B1036" s="29">
        <v>1623.3000489999999</v>
      </c>
      <c r="C1036" s="29">
        <v>18.40600014</v>
      </c>
      <c r="D1036" s="29">
        <v>76.709999080000003</v>
      </c>
      <c r="E1036" s="29">
        <v>11254.110350000001</v>
      </c>
      <c r="F1036" s="29">
        <v>3655.040039</v>
      </c>
      <c r="G1036" s="29">
        <v>29260.810549999998</v>
      </c>
      <c r="H1036" s="29">
        <v>9.8936700819999999</v>
      </c>
      <c r="I1036" s="29">
        <v>7.9759716989999996</v>
      </c>
      <c r="J1036" s="29">
        <v>10.53292465</v>
      </c>
      <c r="L1036" s="30">
        <f t="shared" si="66"/>
        <v>-1.3371421227010516E-2</v>
      </c>
      <c r="M1036" s="30">
        <f t="shared" si="66"/>
        <v>-2.308791832891921E-2</v>
      </c>
      <c r="N1036" s="30">
        <f t="shared" si="66"/>
        <v>-2.5781036768750543E-2</v>
      </c>
      <c r="O1036" s="30">
        <f t="shared" si="66"/>
        <v>-5.0507175904970225E-3</v>
      </c>
      <c r="P1036" s="30">
        <f t="shared" si="66"/>
        <v>-1.0340526099595904E-2</v>
      </c>
      <c r="Q1036" s="30">
        <f t="shared" si="66"/>
        <v>-1.1138730697472732E-2</v>
      </c>
      <c r="R1036" s="30">
        <f t="shared" si="66"/>
        <v>-1.2770280959021663E-2</v>
      </c>
      <c r="S1036" s="30">
        <f t="shared" si="66"/>
        <v>-1.3365506923733617E-2</v>
      </c>
      <c r="T1036" s="30">
        <f t="shared" si="66"/>
        <v>-1.2891360870599389E-2</v>
      </c>
      <c r="U1036" s="63">
        <f t="shared" si="67"/>
        <v>-1.3752249334064196E-2</v>
      </c>
    </row>
    <row r="1037" spans="1:21">
      <c r="A1037" s="28">
        <v>44831</v>
      </c>
      <c r="B1037" s="29">
        <v>1626.6999510000001</v>
      </c>
      <c r="C1037" s="29">
        <v>18.256999969999999</v>
      </c>
      <c r="D1037" s="29">
        <v>78.5</v>
      </c>
      <c r="E1037" s="29">
        <v>11271.75</v>
      </c>
      <c r="F1037" s="29">
        <v>3647.290039</v>
      </c>
      <c r="G1037" s="29">
        <v>29134.990229999999</v>
      </c>
      <c r="H1037" s="29">
        <v>9.8542947769999998</v>
      </c>
      <c r="I1037" s="29">
        <v>7.9366803170000004</v>
      </c>
      <c r="J1037" s="29">
        <v>10.48379707</v>
      </c>
      <c r="L1037" s="30">
        <f t="shared" si="66"/>
        <v>2.0944384262753246E-3</v>
      </c>
      <c r="M1037" s="30">
        <f t="shared" si="66"/>
        <v>-8.0951955268213638E-3</v>
      </c>
      <c r="N1037" s="30">
        <f t="shared" si="66"/>
        <v>2.3334649217414682E-2</v>
      </c>
      <c r="O1037" s="30">
        <f t="shared" si="66"/>
        <v>1.5673962180404732E-3</v>
      </c>
      <c r="P1037" s="30">
        <f t="shared" si="66"/>
        <v>-2.1203598092787157E-3</v>
      </c>
      <c r="Q1037" s="30">
        <f t="shared" si="66"/>
        <v>-4.2999601731811277E-3</v>
      </c>
      <c r="R1037" s="30">
        <f t="shared" si="66"/>
        <v>-3.9798481932036278E-3</v>
      </c>
      <c r="S1037" s="30">
        <f t="shared" si="66"/>
        <v>-4.9262188336156587E-3</v>
      </c>
      <c r="T1037" s="30">
        <f t="shared" si="66"/>
        <v>-4.6641917257046472E-3</v>
      </c>
      <c r="U1037" s="63">
        <f t="shared" si="67"/>
        <v>-1.176475957827315E-3</v>
      </c>
    </row>
    <row r="1038" spans="1:21">
      <c r="A1038" s="28">
        <v>44832</v>
      </c>
      <c r="B1038" s="29">
        <v>1660.400024</v>
      </c>
      <c r="C1038" s="29">
        <v>18.79599953</v>
      </c>
      <c r="D1038" s="29">
        <v>82.150001529999997</v>
      </c>
      <c r="E1038" s="29">
        <v>11493.83008</v>
      </c>
      <c r="F1038" s="29">
        <v>3719.040039</v>
      </c>
      <c r="G1038" s="29">
        <v>29683.740229999999</v>
      </c>
      <c r="H1038" s="29">
        <v>10.00196075</v>
      </c>
      <c r="I1038" s="29">
        <v>8.0545520780000004</v>
      </c>
      <c r="J1038" s="29">
        <v>10.64100552</v>
      </c>
      <c r="L1038" s="30">
        <f t="shared" si="66"/>
        <v>2.0716834090566794E-2</v>
      </c>
      <c r="M1038" s="30">
        <f t="shared" si="66"/>
        <v>2.952289866274227E-2</v>
      </c>
      <c r="N1038" s="30">
        <f t="shared" si="66"/>
        <v>4.6496834777070006E-2</v>
      </c>
      <c r="O1038" s="30">
        <f t="shared" si="66"/>
        <v>1.9702360325592805E-2</v>
      </c>
      <c r="P1038" s="30">
        <f t="shared" si="66"/>
        <v>1.9672139926572019E-2</v>
      </c>
      <c r="Q1038" s="30">
        <f t="shared" si="66"/>
        <v>1.8834741170942859E-2</v>
      </c>
      <c r="R1038" s="30">
        <f t="shared" si="66"/>
        <v>1.4984935638890473E-2</v>
      </c>
      <c r="S1038" s="30">
        <f t="shared" si="66"/>
        <v>1.4851519311861905E-2</v>
      </c>
      <c r="T1038" s="30">
        <f t="shared" si="66"/>
        <v>1.4995373236464271E-2</v>
      </c>
      <c r="U1038" s="63">
        <f t="shared" si="67"/>
        <v>2.1987790472707516E-2</v>
      </c>
    </row>
    <row r="1039" spans="1:21">
      <c r="A1039" s="28">
        <v>44833</v>
      </c>
      <c r="B1039" s="29">
        <v>1658.5</v>
      </c>
      <c r="C1039" s="29">
        <v>18.611000059999999</v>
      </c>
      <c r="D1039" s="29">
        <v>81.230003359999998</v>
      </c>
      <c r="E1039" s="29">
        <v>11164.780269999999</v>
      </c>
      <c r="F1039" s="29">
        <v>3640.469971</v>
      </c>
      <c r="G1039" s="29">
        <v>29225.609380000002</v>
      </c>
      <c r="H1039" s="29">
        <v>9.9527378080000002</v>
      </c>
      <c r="I1039" s="29">
        <v>8.0054378509999999</v>
      </c>
      <c r="J1039" s="29">
        <v>10.582053180000001</v>
      </c>
      <c r="L1039" s="30">
        <f t="shared" si="66"/>
        <v>-1.144317015500107E-3</v>
      </c>
      <c r="M1039" s="30">
        <f t="shared" si="66"/>
        <v>-9.8424917336652484E-3</v>
      </c>
      <c r="N1039" s="30">
        <f t="shared" si="66"/>
        <v>-1.1199003686737985E-2</v>
      </c>
      <c r="O1039" s="30">
        <f t="shared" si="66"/>
        <v>-2.8628386509086168E-2</v>
      </c>
      <c r="P1039" s="30">
        <f t="shared" si="66"/>
        <v>-2.1126437783962726E-2</v>
      </c>
      <c r="Q1039" s="30">
        <f t="shared" si="66"/>
        <v>-1.5433730603025109E-2</v>
      </c>
      <c r="R1039" s="30">
        <f t="shared" si="66"/>
        <v>-4.9213292503672568E-3</v>
      </c>
      <c r="S1039" s="30">
        <f t="shared" si="66"/>
        <v>-6.0976981121209084E-3</v>
      </c>
      <c r="T1039" s="30">
        <f t="shared" si="66"/>
        <v>-5.5401098974338092E-3</v>
      </c>
      <c r="U1039" s="63">
        <f t="shared" si="67"/>
        <v>-1.4214537410482012E-2</v>
      </c>
    </row>
    <row r="1040" spans="1:21">
      <c r="A1040" s="28">
        <v>44834</v>
      </c>
      <c r="B1040" s="29">
        <v>1662.400024</v>
      </c>
      <c r="C1040" s="29">
        <v>18.959999079999999</v>
      </c>
      <c r="D1040" s="29">
        <v>79.489997860000003</v>
      </c>
      <c r="E1040" s="29">
        <v>10971.219730000001</v>
      </c>
      <c r="F1040" s="29">
        <v>3585.6201169999999</v>
      </c>
      <c r="G1040" s="29">
        <v>28725.509770000001</v>
      </c>
      <c r="H1040" s="29">
        <v>9.9438581470000003</v>
      </c>
      <c r="I1040" s="29">
        <v>8.0034694670000004</v>
      </c>
      <c r="J1040" s="29">
        <v>10.55743122</v>
      </c>
      <c r="L1040" s="30">
        <f t="shared" si="66"/>
        <v>2.351536930961684E-3</v>
      </c>
      <c r="M1040" s="30">
        <f t="shared" si="66"/>
        <v>1.8752298042816751E-2</v>
      </c>
      <c r="N1040" s="30">
        <f t="shared" si="66"/>
        <v>-2.1420724215515996E-2</v>
      </c>
      <c r="O1040" s="30">
        <f t="shared" si="66"/>
        <v>-1.7336708409757096E-2</v>
      </c>
      <c r="P1040" s="30">
        <f t="shared" si="66"/>
        <v>-1.5066695903807492E-2</v>
      </c>
      <c r="Q1040" s="30">
        <f t="shared" si="66"/>
        <v>-1.7111691444909094E-2</v>
      </c>
      <c r="R1040" s="30">
        <f t="shared" si="66"/>
        <v>-8.9218275124880453E-4</v>
      </c>
      <c r="S1040" s="30">
        <f t="shared" si="66"/>
        <v>-2.4588086706012202E-4</v>
      </c>
      <c r="T1040" s="30">
        <f t="shared" si="66"/>
        <v>-2.3267658535809366E-3</v>
      </c>
      <c r="U1040" s="63">
        <f t="shared" si="67"/>
        <v>-6.1046264095371405E-3</v>
      </c>
    </row>
    <row r="1041" spans="1:21">
      <c r="A1041" s="28">
        <v>44837</v>
      </c>
      <c r="B1041" s="29">
        <v>1692.900024</v>
      </c>
      <c r="C1041" s="29">
        <v>20.518999099999998</v>
      </c>
      <c r="D1041" s="29">
        <v>83.629997250000002</v>
      </c>
      <c r="E1041" s="29">
        <v>11229.73047</v>
      </c>
      <c r="F1041" s="29">
        <v>3678.429932</v>
      </c>
      <c r="G1041" s="29">
        <v>29490.890630000002</v>
      </c>
      <c r="H1041" s="29">
        <v>10.022779460000001</v>
      </c>
      <c r="I1041" s="29">
        <v>8.0723800659999991</v>
      </c>
      <c r="J1041" s="29">
        <v>10.63621807</v>
      </c>
      <c r="L1041" s="30">
        <f t="shared" si="66"/>
        <v>1.834696797381663E-2</v>
      </c>
      <c r="M1041" s="30">
        <f t="shared" si="66"/>
        <v>8.2225743441333599E-2</v>
      </c>
      <c r="N1041" s="30">
        <f t="shared" si="66"/>
        <v>5.2082016624173111E-2</v>
      </c>
      <c r="O1041" s="30">
        <f t="shared" si="66"/>
        <v>2.3562625338103604E-2</v>
      </c>
      <c r="P1041" s="30">
        <f t="shared" si="66"/>
        <v>2.5883895106448618E-2</v>
      </c>
      <c r="Q1041" s="30">
        <f t="shared" si="66"/>
        <v>2.6644639768911516E-2</v>
      </c>
      <c r="R1041" s="30">
        <f t="shared" si="66"/>
        <v>7.9366893446495279E-3</v>
      </c>
      <c r="S1041" s="30">
        <f t="shared" si="66"/>
        <v>8.6100908217532357E-3</v>
      </c>
      <c r="T1041" s="30">
        <f t="shared" si="66"/>
        <v>7.4626912890274344E-3</v>
      </c>
      <c r="U1041" s="63">
        <f t="shared" si="67"/>
        <v>3.1060655834533879E-2</v>
      </c>
    </row>
    <row r="1042" spans="1:21">
      <c r="A1042" s="28">
        <v>44838</v>
      </c>
      <c r="B1042" s="29">
        <v>1721.099976</v>
      </c>
      <c r="C1042" s="29">
        <v>21.03700066</v>
      </c>
      <c r="D1042" s="29">
        <v>86.519996640000002</v>
      </c>
      <c r="E1042" s="29">
        <v>11582.54004</v>
      </c>
      <c r="F1042" s="29">
        <v>3790.929932</v>
      </c>
      <c r="G1042" s="29">
        <v>30316.320309999999</v>
      </c>
      <c r="H1042" s="29">
        <v>10.05237389</v>
      </c>
      <c r="I1042" s="29">
        <v>8.0920696260000007</v>
      </c>
      <c r="J1042" s="29">
        <v>10.675612449999999</v>
      </c>
      <c r="L1042" s="30">
        <f t="shared" si="66"/>
        <v>1.6657777541622787E-2</v>
      </c>
      <c r="M1042" s="30">
        <f t="shared" si="66"/>
        <v>2.5244972109775166E-2</v>
      </c>
      <c r="N1042" s="30">
        <f t="shared" si="66"/>
        <v>3.4556971003607106E-2</v>
      </c>
      <c r="O1042" s="30">
        <f t="shared" si="66"/>
        <v>3.1417456629304175E-2</v>
      </c>
      <c r="P1042" s="30">
        <f t="shared" si="66"/>
        <v>3.0583700676563463E-2</v>
      </c>
      <c r="Q1042" s="30">
        <f t="shared" si="66"/>
        <v>2.7989309999350009E-2</v>
      </c>
      <c r="R1042" s="30">
        <f t="shared" si="66"/>
        <v>2.9527168704157614E-3</v>
      </c>
      <c r="S1042" s="30">
        <f t="shared" si="66"/>
        <v>2.4391269785390968E-3</v>
      </c>
      <c r="T1042" s="30">
        <f t="shared" si="66"/>
        <v>3.703795817341593E-3</v>
      </c>
      <c r="U1042" s="63">
        <f t="shared" si="67"/>
        <v>2.2074005662565885E-2</v>
      </c>
    </row>
    <row r="1043" spans="1:21">
      <c r="A1043" s="28">
        <v>44839</v>
      </c>
      <c r="B1043" s="29">
        <v>1711.400024</v>
      </c>
      <c r="C1043" s="29">
        <v>20.47900009</v>
      </c>
      <c r="D1043" s="29">
        <v>87.760002139999997</v>
      </c>
      <c r="E1043" s="29">
        <v>11573.179690000001</v>
      </c>
      <c r="F1043" s="29">
        <v>3783.280029</v>
      </c>
      <c r="G1043" s="29">
        <v>30273.869139999999</v>
      </c>
      <c r="H1043" s="29">
        <v>9.9931840899999997</v>
      </c>
      <c r="I1043" s="29">
        <v>8.0526914600000001</v>
      </c>
      <c r="J1043" s="29">
        <v>10.616520879999999</v>
      </c>
      <c r="L1043" s="30">
        <f t="shared" si="66"/>
        <v>-5.6359026990073779E-3</v>
      </c>
      <c r="M1043" s="30">
        <f t="shared" si="66"/>
        <v>-2.6524720848680183E-2</v>
      </c>
      <c r="N1043" s="30">
        <f t="shared" si="66"/>
        <v>1.4332010496481251E-2</v>
      </c>
      <c r="O1043" s="30">
        <f t="shared" si="66"/>
        <v>-8.0814311607591005E-4</v>
      </c>
      <c r="P1043" s="30">
        <f t="shared" si="66"/>
        <v>-2.0179489300040654E-3</v>
      </c>
      <c r="Q1043" s="30">
        <f t="shared" si="66"/>
        <v>-1.4002744912943177E-3</v>
      </c>
      <c r="R1043" s="30">
        <f t="shared" si="66"/>
        <v>-5.8881415124124592E-3</v>
      </c>
      <c r="S1043" s="30">
        <f t="shared" si="66"/>
        <v>-4.8662663348172375E-3</v>
      </c>
      <c r="T1043" s="30">
        <f t="shared" si="66"/>
        <v>-5.535192503171027E-3</v>
      </c>
      <c r="U1043" s="63">
        <f t="shared" si="67"/>
        <v>-5.3915461952236503E-3</v>
      </c>
    </row>
    <row r="1044" spans="1:21">
      <c r="A1044" s="28">
        <v>44840</v>
      </c>
      <c r="B1044" s="29">
        <v>1711.6999510000001</v>
      </c>
      <c r="C1044" s="29">
        <v>20.594999309999999</v>
      </c>
      <c r="D1044" s="29">
        <v>88.449996949999999</v>
      </c>
      <c r="E1044" s="29">
        <v>11485.5</v>
      </c>
      <c r="F1044" s="29">
        <v>3744.5200199999999</v>
      </c>
      <c r="G1044" s="29">
        <v>29926.939450000002</v>
      </c>
      <c r="H1044" s="29">
        <v>9.9537248609999995</v>
      </c>
      <c r="I1044" s="29">
        <v>8.0133123400000006</v>
      </c>
      <c r="J1044" s="29">
        <v>10.56727886</v>
      </c>
      <c r="L1044" s="30">
        <f t="shared" si="66"/>
        <v>1.7525242245763906E-4</v>
      </c>
      <c r="M1044" s="30">
        <f t="shared" si="66"/>
        <v>5.6643009663661648E-3</v>
      </c>
      <c r="N1044" s="30">
        <f t="shared" si="66"/>
        <v>7.862292538453719E-3</v>
      </c>
      <c r="O1044" s="30">
        <f t="shared" si="66"/>
        <v>-7.5761106583147608E-3</v>
      </c>
      <c r="P1044" s="30">
        <f t="shared" si="66"/>
        <v>-1.0245080645073235E-2</v>
      </c>
      <c r="Q1044" s="30">
        <f t="shared" si="66"/>
        <v>-1.1459707657307971E-2</v>
      </c>
      <c r="R1044" s="30">
        <f t="shared" si="66"/>
        <v>-3.9486142399284274E-3</v>
      </c>
      <c r="S1044" s="30">
        <f t="shared" si="66"/>
        <v>-4.8901811519299621E-3</v>
      </c>
      <c r="T1044" s="30">
        <f t="shared" si="66"/>
        <v>-4.638244539486025E-3</v>
      </c>
      <c r="U1044" s="63">
        <f t="shared" si="67"/>
        <v>-4.1437935488713475E-3</v>
      </c>
    </row>
    <row r="1045" spans="1:21">
      <c r="A1045" s="28">
        <v>44841</v>
      </c>
      <c r="B1045" s="29">
        <v>1700.5</v>
      </c>
      <c r="C1045" s="29">
        <v>20.19199944</v>
      </c>
      <c r="D1045" s="29">
        <v>92.63999939</v>
      </c>
      <c r="E1045" s="29">
        <v>11039.469730000001</v>
      </c>
      <c r="F1045" s="29">
        <v>3639.6599120000001</v>
      </c>
      <c r="G1045" s="29">
        <v>29296.789059999999</v>
      </c>
      <c r="H1045" s="29">
        <v>9.9043998720000008</v>
      </c>
      <c r="I1045" s="29">
        <v>7.9739379880000003</v>
      </c>
      <c r="J1045" s="29">
        <v>10.52788544</v>
      </c>
      <c r="L1045" s="30">
        <f t="shared" si="66"/>
        <v>-6.5431742248148739E-3</v>
      </c>
      <c r="M1045" s="30">
        <f t="shared" si="66"/>
        <v>-1.9567850619170435E-2</v>
      </c>
      <c r="N1045" s="30">
        <f t="shared" si="66"/>
        <v>4.7371425488782926E-2</v>
      </c>
      <c r="O1045" s="30">
        <f t="shared" si="66"/>
        <v>-3.8834205737669159E-2</v>
      </c>
      <c r="P1045" s="30">
        <f t="shared" si="66"/>
        <v>-2.8003617937660263E-2</v>
      </c>
      <c r="Q1045" s="30">
        <f t="shared" si="66"/>
        <v>-2.1056292476977712E-2</v>
      </c>
      <c r="R1045" s="30">
        <f t="shared" si="66"/>
        <v>-4.9554302222337698E-3</v>
      </c>
      <c r="S1045" s="30">
        <f t="shared" si="66"/>
        <v>-4.9136175315986907E-3</v>
      </c>
      <c r="T1045" s="30">
        <f t="shared" si="66"/>
        <v>-3.7278679328804909E-3</v>
      </c>
      <c r="U1045" s="63">
        <f t="shared" si="67"/>
        <v>-1.4692359067070174E-2</v>
      </c>
    </row>
    <row r="1046" spans="1:21">
      <c r="A1046" s="28">
        <v>44844</v>
      </c>
      <c r="B1046" s="29">
        <v>1667.3000489999999</v>
      </c>
      <c r="C1046" s="29">
        <v>19.555999759999999</v>
      </c>
      <c r="D1046" s="29">
        <v>91.129997250000002</v>
      </c>
      <c r="E1046" s="29">
        <v>10926.969730000001</v>
      </c>
      <c r="F1046" s="29">
        <v>3612.389893</v>
      </c>
      <c r="G1046" s="29">
        <v>29202.880860000001</v>
      </c>
      <c r="H1046" s="29">
        <v>9.8748064039999992</v>
      </c>
      <c r="I1046" s="29">
        <v>7.9739379880000003</v>
      </c>
      <c r="J1046" s="29">
        <v>10.48849201</v>
      </c>
      <c r="L1046" s="30">
        <f t="shared" si="66"/>
        <v>-1.9523640693913547E-2</v>
      </c>
      <c r="M1046" s="30">
        <f t="shared" si="66"/>
        <v>-3.1497607846605713E-2</v>
      </c>
      <c r="N1046" s="30">
        <f t="shared" si="66"/>
        <v>-1.6299677784356703E-2</v>
      </c>
      <c r="O1046" s="30">
        <f t="shared" si="66"/>
        <v>-1.0190706868308919E-2</v>
      </c>
      <c r="P1046" s="30">
        <f t="shared" si="66"/>
        <v>-7.4924634881655683E-3</v>
      </c>
      <c r="Q1046" s="30">
        <f t="shared" si="66"/>
        <v>-3.205409296140771E-3</v>
      </c>
      <c r="R1046" s="30">
        <f t="shared" si="66"/>
        <v>-2.9879112699865429E-3</v>
      </c>
      <c r="S1046" s="30">
        <f t="shared" si="66"/>
        <v>0</v>
      </c>
      <c r="T1046" s="30">
        <f t="shared" si="66"/>
        <v>-3.7418178820912695E-3</v>
      </c>
      <c r="U1046" s="63">
        <f t="shared" si="67"/>
        <v>-1.1171958988092022E-2</v>
      </c>
    </row>
    <row r="1047" spans="1:21">
      <c r="A1047" s="28">
        <v>44845</v>
      </c>
      <c r="B1047" s="29">
        <v>1678.6999510000001</v>
      </c>
      <c r="C1047" s="29">
        <v>19.42700005</v>
      </c>
      <c r="D1047" s="29">
        <v>89.349998470000003</v>
      </c>
      <c r="E1047" s="29">
        <v>10791.349609999999</v>
      </c>
      <c r="F1047" s="29">
        <v>3588.8400879999999</v>
      </c>
      <c r="G1047" s="29">
        <v>29239.189450000002</v>
      </c>
      <c r="H1047" s="29">
        <v>9.8649396899999999</v>
      </c>
      <c r="I1047" s="29">
        <v>7.9444036479999998</v>
      </c>
      <c r="J1047" s="29">
        <v>10.48849201</v>
      </c>
      <c r="L1047" s="30">
        <f t="shared" si="66"/>
        <v>6.8373428087149524E-3</v>
      </c>
      <c r="M1047" s="30">
        <f t="shared" si="66"/>
        <v>-6.5964262417232966E-3</v>
      </c>
      <c r="N1047" s="30">
        <f t="shared" si="66"/>
        <v>-1.9532523139629498E-2</v>
      </c>
      <c r="O1047" s="30">
        <f t="shared" si="66"/>
        <v>-1.2411503221030795E-2</v>
      </c>
      <c r="P1047" s="30">
        <f t="shared" si="66"/>
        <v>-6.5191758635009256E-3</v>
      </c>
      <c r="Q1047" s="30">
        <f t="shared" si="66"/>
        <v>1.2433221973566777E-3</v>
      </c>
      <c r="R1047" s="30">
        <f t="shared" si="66"/>
        <v>-9.9918049998448666E-4</v>
      </c>
      <c r="S1047" s="30">
        <f t="shared" si="66"/>
        <v>-3.7038587514032217E-3</v>
      </c>
      <c r="T1047" s="30">
        <f t="shared" si="66"/>
        <v>0</v>
      </c>
      <c r="U1047" s="63">
        <f t="shared" si="67"/>
        <v>-6.037802371032879E-3</v>
      </c>
    </row>
    <row r="1048" spans="1:21">
      <c r="A1048" s="28">
        <v>44846</v>
      </c>
      <c r="B1048" s="29">
        <v>1670.3000489999999</v>
      </c>
      <c r="C1048" s="29">
        <v>18.87800026</v>
      </c>
      <c r="D1048" s="29">
        <v>87.269996640000002</v>
      </c>
      <c r="E1048" s="29">
        <v>10785.62012</v>
      </c>
      <c r="F1048" s="29">
        <v>3577.030029</v>
      </c>
      <c r="G1048" s="29">
        <v>29210.849610000001</v>
      </c>
      <c r="H1048" s="29">
        <v>9.8748064039999992</v>
      </c>
      <c r="I1048" s="29">
        <v>7.9444036479999998</v>
      </c>
      <c r="J1048" s="29">
        <v>10.49834061</v>
      </c>
      <c r="L1048" s="30">
        <f t="shared" si="66"/>
        <v>-5.0038138113939201E-3</v>
      </c>
      <c r="M1048" s="30">
        <f t="shared" si="66"/>
        <v>-2.8259627764812834E-2</v>
      </c>
      <c r="N1048" s="30">
        <f t="shared" si="66"/>
        <v>-2.3279259827837406E-2</v>
      </c>
      <c r="O1048" s="30">
        <f t="shared" si="66"/>
        <v>-5.3093359098388415E-4</v>
      </c>
      <c r="P1048" s="30">
        <f t="shared" si="66"/>
        <v>-3.2907732611127116E-3</v>
      </c>
      <c r="Q1048" s="30">
        <f t="shared" si="66"/>
        <v>-9.6924164223033404E-4</v>
      </c>
      <c r="R1048" s="30">
        <f t="shared" si="66"/>
        <v>1.0001798601972922E-3</v>
      </c>
      <c r="S1048" s="30">
        <f t="shared" si="66"/>
        <v>0</v>
      </c>
      <c r="T1048" s="30">
        <f t="shared" si="66"/>
        <v>9.3899103804528927E-4</v>
      </c>
      <c r="U1048" s="63">
        <f t="shared" si="67"/>
        <v>-7.3113552559330051E-3</v>
      </c>
    </row>
    <row r="1049" spans="1:21">
      <c r="A1049" s="28">
        <v>44847</v>
      </c>
      <c r="B1049" s="29">
        <v>1670</v>
      </c>
      <c r="C1049" s="29">
        <v>18.857999800000002</v>
      </c>
      <c r="D1049" s="29">
        <v>89.11000061</v>
      </c>
      <c r="E1049" s="29">
        <v>11033.58008</v>
      </c>
      <c r="F1049" s="29">
        <v>3669.9099120000001</v>
      </c>
      <c r="G1049" s="29">
        <v>30038.720700000002</v>
      </c>
      <c r="H1049" s="29">
        <v>9.8254804609999997</v>
      </c>
      <c r="I1049" s="29">
        <v>7.89518261</v>
      </c>
      <c r="J1049" s="29">
        <v>10.44909859</v>
      </c>
      <c r="L1049" s="30">
        <f t="shared" si="66"/>
        <v>-1.7963778434870736E-4</v>
      </c>
      <c r="M1049" s="30">
        <f t="shared" si="66"/>
        <v>-1.0594586145004081E-3</v>
      </c>
      <c r="N1049" s="30">
        <f t="shared" si="66"/>
        <v>2.1084038510855496E-2</v>
      </c>
      <c r="O1049" s="30">
        <f t="shared" si="66"/>
        <v>2.2989865880794547E-2</v>
      </c>
      <c r="P1049" s="30">
        <f t="shared" si="66"/>
        <v>2.5965642515437759E-2</v>
      </c>
      <c r="Q1049" s="30">
        <f t="shared" si="66"/>
        <v>2.8341219137857143E-2</v>
      </c>
      <c r="R1049" s="30">
        <f t="shared" si="66"/>
        <v>-4.995130130350578E-3</v>
      </c>
      <c r="S1049" s="30">
        <f t="shared" si="66"/>
        <v>-6.1956869490626953E-3</v>
      </c>
      <c r="T1049" s="30">
        <f t="shared" si="66"/>
        <v>-4.6904574569712754E-3</v>
      </c>
      <c r="U1049" s="63">
        <f t="shared" si="67"/>
        <v>1.1508395840065706E-2</v>
      </c>
    </row>
    <row r="1050" spans="1:21">
      <c r="A1050" s="28">
        <v>44848</v>
      </c>
      <c r="B1050" s="29">
        <v>1641.6999510000001</v>
      </c>
      <c r="C1050" s="29">
        <v>18.01499939</v>
      </c>
      <c r="D1050" s="29">
        <v>85.61000061</v>
      </c>
      <c r="E1050" s="29">
        <v>10692.059569999999</v>
      </c>
      <c r="F1050" s="29">
        <v>3583.070068</v>
      </c>
      <c r="G1050" s="29">
        <v>29634.83008</v>
      </c>
      <c r="H1050" s="29">
        <v>9.7860221860000003</v>
      </c>
      <c r="I1050" s="29">
        <v>7.8656487459999997</v>
      </c>
      <c r="J1050" s="29">
        <v>10.40970516</v>
      </c>
      <c r="L1050" s="30">
        <f t="shared" si="66"/>
        <v>-1.6946137125748439E-2</v>
      </c>
      <c r="M1050" s="30">
        <f t="shared" si="66"/>
        <v>-4.4702535737644933E-2</v>
      </c>
      <c r="N1050" s="30">
        <f t="shared" si="66"/>
        <v>-3.927729745304509E-2</v>
      </c>
      <c r="O1050" s="30">
        <f t="shared" si="66"/>
        <v>-3.0952828322609149E-2</v>
      </c>
      <c r="P1050" s="30">
        <f t="shared" si="66"/>
        <v>-2.3662663684481222E-2</v>
      </c>
      <c r="Q1050" s="30">
        <f t="shared" si="66"/>
        <v>-1.3445666479398488E-2</v>
      </c>
      <c r="R1050" s="30">
        <f t="shared" si="66"/>
        <v>-4.0159130290493561E-3</v>
      </c>
      <c r="S1050" s="30">
        <f t="shared" si="66"/>
        <v>-3.7407448894966056E-3</v>
      </c>
      <c r="T1050" s="30">
        <f t="shared" si="66"/>
        <v>-3.7700314204807128E-3</v>
      </c>
      <c r="U1050" s="63">
        <f t="shared" si="67"/>
        <v>-2.3000508978901244E-2</v>
      </c>
    </row>
    <row r="1051" spans="1:21">
      <c r="A1051" s="28">
        <v>44851</v>
      </c>
      <c r="B1051" s="29">
        <v>1657</v>
      </c>
      <c r="C1051" s="29">
        <v>18.67399979</v>
      </c>
      <c r="D1051" s="29">
        <v>85.459999080000003</v>
      </c>
      <c r="E1051" s="29">
        <v>11062.530269999999</v>
      </c>
      <c r="F1051" s="29">
        <v>3677.9499510000001</v>
      </c>
      <c r="G1051" s="29">
        <v>30185.820309999999</v>
      </c>
      <c r="H1051" s="29">
        <v>9.7958860399999992</v>
      </c>
      <c r="I1051" s="29">
        <v>7.8754935259999996</v>
      </c>
      <c r="J1051" s="29">
        <v>10.41955566</v>
      </c>
      <c r="L1051" s="30">
        <f t="shared" si="66"/>
        <v>9.3196378489750487E-3</v>
      </c>
      <c r="M1051" s="30">
        <f t="shared" si="66"/>
        <v>3.6580650697429773E-2</v>
      </c>
      <c r="N1051" s="30">
        <f t="shared" si="66"/>
        <v>-1.7521496195676001E-3</v>
      </c>
      <c r="O1051" s="30">
        <f t="shared" si="66"/>
        <v>3.4649142905962993E-2</v>
      </c>
      <c r="P1051" s="30">
        <f t="shared" si="66"/>
        <v>2.6480052357156447E-2</v>
      </c>
      <c r="Q1051" s="30">
        <f t="shared" si="66"/>
        <v>1.859265696859369E-2</v>
      </c>
      <c r="R1051" s="30">
        <f t="shared" si="66"/>
        <v>1.0079533657822992E-3</v>
      </c>
      <c r="S1051" s="30">
        <f t="shared" si="66"/>
        <v>1.2516170398539916E-3</v>
      </c>
      <c r="T1051" s="30">
        <f t="shared" si="66"/>
        <v>9.4628040358446519E-4</v>
      </c>
      <c r="U1051" s="63">
        <f t="shared" si="67"/>
        <v>1.8973542539420879E-2</v>
      </c>
    </row>
    <row r="1052" spans="1:21">
      <c r="A1052" s="28">
        <v>44852</v>
      </c>
      <c r="B1052" s="29">
        <v>1649</v>
      </c>
      <c r="C1052" s="29">
        <v>18.570999149999999</v>
      </c>
      <c r="D1052" s="29">
        <v>82.819999690000003</v>
      </c>
      <c r="E1052" s="29">
        <v>11147.740229999999</v>
      </c>
      <c r="F1052" s="29">
        <v>3719.9799800000001</v>
      </c>
      <c r="G1052" s="29">
        <v>30523.800780000001</v>
      </c>
      <c r="H1052" s="29">
        <v>9.8156156540000001</v>
      </c>
      <c r="I1052" s="29">
        <v>7.89518261</v>
      </c>
      <c r="J1052" s="29">
        <v>10.43925095</v>
      </c>
      <c r="L1052" s="30">
        <f t="shared" si="66"/>
        <v>-4.8280024140011646E-3</v>
      </c>
      <c r="M1052" s="30">
        <f t="shared" si="66"/>
        <v>-5.5157245988166625E-3</v>
      </c>
      <c r="N1052" s="30">
        <f t="shared" si="66"/>
        <v>-3.0891638408849786E-2</v>
      </c>
      <c r="O1052" s="30">
        <f t="shared" si="66"/>
        <v>7.7025741779055412E-3</v>
      </c>
      <c r="P1052" s="30">
        <f t="shared" si="66"/>
        <v>1.1427569586305086E-2</v>
      </c>
      <c r="Q1052" s="30">
        <f t="shared" si="66"/>
        <v>1.1196663417758268E-2</v>
      </c>
      <c r="R1052" s="30">
        <f t="shared" si="66"/>
        <v>2.0140714091034795E-3</v>
      </c>
      <c r="S1052" s="30">
        <f t="shared" si="66"/>
        <v>2.5000444651499532E-3</v>
      </c>
      <c r="T1052" s="30">
        <f t="shared" si="66"/>
        <v>1.8902235990359006E-3</v>
      </c>
      <c r="U1052" s="63">
        <f t="shared" si="67"/>
        <v>1.8939566955875385E-3</v>
      </c>
    </row>
    <row r="1053" spans="1:21">
      <c r="A1053" s="28">
        <v>44853</v>
      </c>
      <c r="B1053" s="29">
        <v>1627.5</v>
      </c>
      <c r="C1053" s="29">
        <v>18.336000439999999</v>
      </c>
      <c r="D1053" s="29">
        <v>85.550003050000001</v>
      </c>
      <c r="E1053" s="29">
        <v>11103.37988</v>
      </c>
      <c r="F1053" s="29">
        <v>3695.1599120000001</v>
      </c>
      <c r="G1053" s="29">
        <v>30423.810549999998</v>
      </c>
      <c r="H1053" s="29">
        <v>9.7366962430000008</v>
      </c>
      <c r="I1053" s="29">
        <v>7.826271534</v>
      </c>
      <c r="J1053" s="29">
        <v>10.3604641</v>
      </c>
      <c r="L1053" s="30">
        <f t="shared" si="66"/>
        <v>-1.3038204972710687E-2</v>
      </c>
      <c r="M1053" s="30">
        <f t="shared" si="66"/>
        <v>-1.2654069288458247E-2</v>
      </c>
      <c r="N1053" s="30">
        <f t="shared" si="66"/>
        <v>3.2963093096094687E-2</v>
      </c>
      <c r="O1053" s="30">
        <f t="shared" si="66"/>
        <v>-3.9793132136878295E-3</v>
      </c>
      <c r="P1053" s="30">
        <f t="shared" si="66"/>
        <v>-6.6720971976843568E-3</v>
      </c>
      <c r="Q1053" s="30">
        <f t="shared" si="66"/>
        <v>-3.2758119056234269E-3</v>
      </c>
      <c r="R1053" s="30">
        <f t="shared" si="66"/>
        <v>-8.0401896103010628E-3</v>
      </c>
      <c r="S1053" s="30">
        <f t="shared" si="66"/>
        <v>-8.7282434623763283E-3</v>
      </c>
      <c r="T1053" s="30">
        <f t="shared" si="66"/>
        <v>-7.5471746370845416E-3</v>
      </c>
      <c r="U1053" s="63">
        <f t="shared" si="67"/>
        <v>-4.9295022425113813E-3</v>
      </c>
    </row>
    <row r="1054" spans="1:21">
      <c r="A1054" s="28">
        <v>44854</v>
      </c>
      <c r="B1054" s="29">
        <v>1630.8000489999999</v>
      </c>
      <c r="C1054" s="29">
        <v>18.666000369999999</v>
      </c>
      <c r="D1054" s="29">
        <v>85.980003359999998</v>
      </c>
      <c r="E1054" s="29">
        <v>11046.70996</v>
      </c>
      <c r="F1054" s="29">
        <v>3665.780029</v>
      </c>
      <c r="G1054" s="29">
        <v>30333.589840000001</v>
      </c>
      <c r="H1054" s="29">
        <v>9.6775074009999997</v>
      </c>
      <c r="I1054" s="29">
        <v>7.7770490649999999</v>
      </c>
      <c r="J1054" s="29">
        <v>10.30137444</v>
      </c>
      <c r="L1054" s="30">
        <f t="shared" si="66"/>
        <v>2.0276798771121651E-3</v>
      </c>
      <c r="M1054" s="30">
        <f t="shared" si="66"/>
        <v>1.7997377949451998E-2</v>
      </c>
      <c r="N1054" s="30">
        <f t="shared" si="66"/>
        <v>5.0263038535331983E-3</v>
      </c>
      <c r="O1054" s="30">
        <f t="shared" si="66"/>
        <v>-5.1038441098532061E-3</v>
      </c>
      <c r="P1054" s="30">
        <f t="shared" si="66"/>
        <v>-7.9509097575423127E-3</v>
      </c>
      <c r="Q1054" s="30">
        <f t="shared" si="66"/>
        <v>-2.965463837993787E-3</v>
      </c>
      <c r="R1054" s="30">
        <f t="shared" si="66"/>
        <v>-6.0789451085684343E-3</v>
      </c>
      <c r="S1054" s="30">
        <f t="shared" si="66"/>
        <v>-6.2893893709361492E-3</v>
      </c>
      <c r="T1054" s="30">
        <f t="shared" si="66"/>
        <v>-5.7033796391418035E-3</v>
      </c>
      <c r="U1054" s="63">
        <f t="shared" si="67"/>
        <v>-1.5222716498983534E-3</v>
      </c>
    </row>
    <row r="1055" spans="1:21">
      <c r="A1055" s="28">
        <v>44855</v>
      </c>
      <c r="B1055" s="29">
        <v>1651</v>
      </c>
      <c r="C1055" s="29">
        <v>19.042999269999999</v>
      </c>
      <c r="D1055" s="29">
        <v>85.050003050000001</v>
      </c>
      <c r="E1055" s="29">
        <v>11310.33008</v>
      </c>
      <c r="F1055" s="29">
        <v>3752.75</v>
      </c>
      <c r="G1055" s="29">
        <v>31082.560549999998</v>
      </c>
      <c r="H1055" s="29">
        <v>9.6775074009999997</v>
      </c>
      <c r="I1055" s="29">
        <v>7.7868938449999998</v>
      </c>
      <c r="J1055" s="29">
        <v>10.311223030000001</v>
      </c>
      <c r="L1055" s="30">
        <f t="shared" si="66"/>
        <v>1.2386528325398771E-2</v>
      </c>
      <c r="M1055" s="30">
        <f t="shared" si="66"/>
        <v>2.0197090567185105E-2</v>
      </c>
      <c r="N1055" s="30">
        <f t="shared" si="66"/>
        <v>-1.0816472129060783E-2</v>
      </c>
      <c r="O1055" s="30">
        <f t="shared" si="66"/>
        <v>2.3864129768461861E-2</v>
      </c>
      <c r="P1055" s="30">
        <f t="shared" si="66"/>
        <v>2.3724819905171612E-2</v>
      </c>
      <c r="Q1055" s="30">
        <f t="shared" si="66"/>
        <v>2.4691133293176959E-2</v>
      </c>
      <c r="R1055" s="30">
        <f t="shared" si="66"/>
        <v>0</v>
      </c>
      <c r="S1055" s="30">
        <f t="shared" si="66"/>
        <v>1.2658760305763739E-3</v>
      </c>
      <c r="T1055" s="30">
        <f t="shared" si="66"/>
        <v>9.5604621085887409E-4</v>
      </c>
      <c r="U1055" s="63">
        <f t="shared" si="67"/>
        <v>1.4003314873482846E-2</v>
      </c>
    </row>
    <row r="1056" spans="1:21">
      <c r="A1056" s="28">
        <v>44858</v>
      </c>
      <c r="B1056" s="29">
        <v>1648.6999510000001</v>
      </c>
      <c r="C1056" s="29">
        <v>19.17399979</v>
      </c>
      <c r="D1056" s="29">
        <v>84.58000183</v>
      </c>
      <c r="E1056" s="29">
        <v>11430.259770000001</v>
      </c>
      <c r="F1056" s="29">
        <v>3797.3400879999999</v>
      </c>
      <c r="G1056" s="29">
        <v>31499.619139999999</v>
      </c>
      <c r="H1056" s="29">
        <v>9.6676425930000001</v>
      </c>
      <c r="I1056" s="29">
        <v>7.7770490649999999</v>
      </c>
      <c r="J1056" s="29">
        <v>10.30137444</v>
      </c>
      <c r="L1056" s="30">
        <f t="shared" si="66"/>
        <v>-1.3931247728649065E-3</v>
      </c>
      <c r="M1056" s="30">
        <f t="shared" si="66"/>
        <v>6.8791957686191729E-3</v>
      </c>
      <c r="N1056" s="30">
        <f t="shared" si="66"/>
        <v>-5.5261752280443277E-3</v>
      </c>
      <c r="O1056" s="30">
        <f t="shared" si="66"/>
        <v>1.0603553490633466E-2</v>
      </c>
      <c r="P1056" s="30">
        <f t="shared" si="66"/>
        <v>1.1881976683765227E-2</v>
      </c>
      <c r="Q1056" s="30">
        <f t="shared" si="66"/>
        <v>1.3417768118849649E-2</v>
      </c>
      <c r="R1056" s="30">
        <f t="shared" si="66"/>
        <v>-1.0193542191432314E-3</v>
      </c>
      <c r="S1056" s="30">
        <f t="shared" si="66"/>
        <v>-1.2642756143801392E-3</v>
      </c>
      <c r="T1056" s="30">
        <f t="shared" si="66"/>
        <v>-9.5513305951644423E-4</v>
      </c>
      <c r="U1056" s="63">
        <f t="shared" si="67"/>
        <v>5.5454105903429097E-3</v>
      </c>
    </row>
    <row r="1057" spans="1:21">
      <c r="A1057" s="28">
        <v>44859</v>
      </c>
      <c r="B1057" s="29">
        <v>1652.8000489999999</v>
      </c>
      <c r="C1057" s="29">
        <v>19.3390007</v>
      </c>
      <c r="D1057" s="29">
        <v>85.319999690000003</v>
      </c>
      <c r="E1057" s="29">
        <v>11669.990229999999</v>
      </c>
      <c r="F1057" s="29">
        <v>3859.110107</v>
      </c>
      <c r="G1057" s="29">
        <v>31836.740229999999</v>
      </c>
      <c r="H1057" s="29">
        <v>9.7564268110000008</v>
      </c>
      <c r="I1057" s="29">
        <v>7.8558044430000002</v>
      </c>
      <c r="J1057" s="29">
        <v>10.399857519999999</v>
      </c>
      <c r="L1057" s="30">
        <f t="shared" si="66"/>
        <v>2.4868673026361421E-3</v>
      </c>
      <c r="M1057" s="30">
        <f t="shared" si="66"/>
        <v>8.6054507044510675E-3</v>
      </c>
      <c r="N1057" s="30">
        <f t="shared" si="66"/>
        <v>8.7490877747595786E-3</v>
      </c>
      <c r="O1057" s="30">
        <f t="shared" si="66"/>
        <v>2.0973316864521196E-2</v>
      </c>
      <c r="P1057" s="30">
        <f t="shared" si="66"/>
        <v>1.6266654439300865E-2</v>
      </c>
      <c r="Q1057" s="30">
        <f t="shared" si="66"/>
        <v>1.0702386225740268E-2</v>
      </c>
      <c r="R1057" s="30">
        <f t="shared" si="66"/>
        <v>9.1836471141668596E-3</v>
      </c>
      <c r="S1057" s="30">
        <f t="shared" si="66"/>
        <v>1.0126640238703466E-2</v>
      </c>
      <c r="T1057" s="30">
        <f t="shared" si="66"/>
        <v>9.5601883587099756E-3</v>
      </c>
      <c r="U1057" s="63">
        <f t="shared" si="67"/>
        <v>1.2458843145178455E-2</v>
      </c>
    </row>
    <row r="1058" spans="1:21">
      <c r="A1058" s="28">
        <v>44860</v>
      </c>
      <c r="B1058" s="29">
        <v>1664</v>
      </c>
      <c r="C1058" s="29">
        <v>19.479999540000001</v>
      </c>
      <c r="D1058" s="29">
        <v>87.910003660000001</v>
      </c>
      <c r="E1058" s="29">
        <v>11405.900390000001</v>
      </c>
      <c r="F1058" s="29">
        <v>3830.6000979999999</v>
      </c>
      <c r="G1058" s="29">
        <v>31839.109380000002</v>
      </c>
      <c r="H1058" s="29">
        <v>9.8057508470000005</v>
      </c>
      <c r="I1058" s="29">
        <v>7.89518261</v>
      </c>
      <c r="J1058" s="29">
        <v>10.44909859</v>
      </c>
      <c r="L1058" s="30">
        <f t="shared" si="66"/>
        <v>6.7763496296944226E-3</v>
      </c>
      <c r="M1058" s="30">
        <f t="shared" si="66"/>
        <v>7.2909061945480858E-3</v>
      </c>
      <c r="N1058" s="30">
        <f t="shared" si="66"/>
        <v>3.0356352313765544E-2</v>
      </c>
      <c r="O1058" s="30">
        <f t="shared" si="66"/>
        <v>-2.2629825286494598E-2</v>
      </c>
      <c r="P1058" s="30">
        <f t="shared" si="66"/>
        <v>-7.3877158747779337E-3</v>
      </c>
      <c r="Q1058" s="30">
        <f t="shared" si="66"/>
        <v>7.4415596034160814E-5</v>
      </c>
      <c r="R1058" s="30">
        <f t="shared" si="66"/>
        <v>5.0555430748877583E-3</v>
      </c>
      <c r="S1058" s="30">
        <f t="shared" si="66"/>
        <v>5.0126205770164578E-3</v>
      </c>
      <c r="T1058" s="30">
        <f t="shared" si="66"/>
        <v>4.7347831357598125E-3</v>
      </c>
      <c r="U1058" s="63">
        <f t="shared" si="67"/>
        <v>1.6829081749034812E-4</v>
      </c>
    </row>
    <row r="1059" spans="1:21">
      <c r="A1059" s="28">
        <v>44861</v>
      </c>
      <c r="B1059" s="29">
        <v>1660.6999510000001</v>
      </c>
      <c r="C1059" s="29">
        <v>19.478000640000001</v>
      </c>
      <c r="D1059" s="29">
        <v>89.08000183</v>
      </c>
      <c r="E1059" s="29">
        <v>11191.62988</v>
      </c>
      <c r="F1059" s="29">
        <v>3807.3000489999999</v>
      </c>
      <c r="G1059" s="29">
        <v>32033.279299999998</v>
      </c>
      <c r="H1059" s="29">
        <v>9.8550748830000003</v>
      </c>
      <c r="I1059" s="29">
        <v>7.9345598219999998</v>
      </c>
      <c r="J1059" s="29">
        <v>10.49834061</v>
      </c>
      <c r="L1059" s="30">
        <f t="shared" si="66"/>
        <v>-1.9832025240383855E-3</v>
      </c>
      <c r="M1059" s="30">
        <f t="shared" si="66"/>
        <v>-1.0261293876812072E-4</v>
      </c>
      <c r="N1059" s="30">
        <f t="shared" si="66"/>
        <v>1.3309044719473251E-2</v>
      </c>
      <c r="O1059" s="30">
        <f t="shared" ref="O1059:T1088" si="68">(E1059/E1058)-1</f>
        <v>-1.8785935583644053E-2</v>
      </c>
      <c r="P1059" s="30">
        <f t="shared" si="68"/>
        <v>-6.082610662534349E-3</v>
      </c>
      <c r="Q1059" s="30">
        <f t="shared" si="68"/>
        <v>6.0984720923746849E-3</v>
      </c>
      <c r="R1059" s="30">
        <f t="shared" si="68"/>
        <v>5.0301131213312811E-3</v>
      </c>
      <c r="S1059" s="30">
        <f t="shared" si="68"/>
        <v>4.9874985728797228E-3</v>
      </c>
      <c r="T1059" s="30">
        <f t="shared" si="68"/>
        <v>4.7125615263239329E-3</v>
      </c>
      <c r="U1059" s="63">
        <f t="shared" si="67"/>
        <v>-1.7282022095510645E-3</v>
      </c>
    </row>
    <row r="1060" spans="1:21">
      <c r="A1060" s="28">
        <v>44862</v>
      </c>
      <c r="B1060" s="29">
        <v>1639.599976</v>
      </c>
      <c r="C1060" s="29">
        <v>19.146999359999999</v>
      </c>
      <c r="D1060" s="29">
        <v>87.900001529999997</v>
      </c>
      <c r="E1060" s="29">
        <v>11546.20996</v>
      </c>
      <c r="F1060" s="29">
        <v>3901.0600589999999</v>
      </c>
      <c r="G1060" s="29">
        <v>32861.800779999998</v>
      </c>
      <c r="H1060" s="29">
        <v>9.8353462220000001</v>
      </c>
      <c r="I1060" s="29">
        <v>7.9148697849999996</v>
      </c>
      <c r="J1060" s="29">
        <v>10.468796729999999</v>
      </c>
      <c r="L1060" s="30">
        <f t="shared" ref="L1060:T1107" si="69">(B1060/B1059)-1</f>
        <v>-1.2705470959576193E-2</v>
      </c>
      <c r="M1060" s="30">
        <f t="shared" si="69"/>
        <v>-1.6993596320161286E-2</v>
      </c>
      <c r="N1060" s="30">
        <f t="shared" si="69"/>
        <v>-1.3246523077670269E-2</v>
      </c>
      <c r="O1060" s="30">
        <f t="shared" si="68"/>
        <v>3.168261314946208E-2</v>
      </c>
      <c r="P1060" s="30">
        <f t="shared" si="68"/>
        <v>2.4626377956375345E-2</v>
      </c>
      <c r="Q1060" s="30">
        <f t="shared" si="68"/>
        <v>2.5864397842027875E-2</v>
      </c>
      <c r="R1060" s="30">
        <f t="shared" si="68"/>
        <v>-2.0018783453418232E-3</v>
      </c>
      <c r="S1060" s="30">
        <f t="shared" si="68"/>
        <v>-2.481553790218527E-3</v>
      </c>
      <c r="T1060" s="30">
        <f t="shared" si="68"/>
        <v>-2.8141475969887253E-3</v>
      </c>
      <c r="U1060" s="63">
        <f t="shared" si="67"/>
        <v>7.0750708421148997E-3</v>
      </c>
    </row>
    <row r="1061" spans="1:21">
      <c r="A1061" s="28">
        <v>44865</v>
      </c>
      <c r="B1061" s="29">
        <v>1635.900024</v>
      </c>
      <c r="C1061" s="29">
        <v>19.125</v>
      </c>
      <c r="D1061" s="29">
        <v>86.52999878</v>
      </c>
      <c r="E1061" s="29">
        <v>11405.570309999999</v>
      </c>
      <c r="F1061" s="29">
        <v>3871.9799800000001</v>
      </c>
      <c r="G1061" s="29">
        <v>32732.949219999999</v>
      </c>
      <c r="H1061" s="29">
        <v>9.8076620099999996</v>
      </c>
      <c r="I1061" s="29">
        <v>7.8941488270000004</v>
      </c>
      <c r="J1061" s="29">
        <v>10.435230260000001</v>
      </c>
      <c r="L1061" s="30">
        <f t="shared" si="69"/>
        <v>-2.2566187205164123E-3</v>
      </c>
      <c r="M1061" s="30">
        <f t="shared" si="69"/>
        <v>-1.1489716788708471E-3</v>
      </c>
      <c r="N1061" s="30">
        <f t="shared" si="69"/>
        <v>-1.5585924074556723E-2</v>
      </c>
      <c r="O1061" s="30">
        <f t="shared" si="68"/>
        <v>-1.2180590036663497E-2</v>
      </c>
      <c r="P1061" s="30">
        <f t="shared" si="68"/>
        <v>-7.4544043311791652E-3</v>
      </c>
      <c r="Q1061" s="30">
        <f t="shared" si="68"/>
        <v>-3.9210133632853195E-3</v>
      </c>
      <c r="R1061" s="30">
        <f t="shared" si="68"/>
        <v>-2.8147674088051522E-3</v>
      </c>
      <c r="S1061" s="30">
        <f t="shared" si="68"/>
        <v>-2.6179783828242931E-3</v>
      </c>
      <c r="T1061" s="30">
        <f t="shared" si="68"/>
        <v>-3.2063350608201313E-3</v>
      </c>
      <c r="U1061" s="63">
        <f t="shared" si="67"/>
        <v>-6.0685809143158935E-3</v>
      </c>
    </row>
    <row r="1062" spans="1:21">
      <c r="A1062" s="28">
        <v>44866</v>
      </c>
      <c r="B1062" s="29">
        <v>1645</v>
      </c>
      <c r="C1062" s="29">
        <v>19.673000340000002</v>
      </c>
      <c r="D1062" s="29">
        <v>88.370002749999998</v>
      </c>
      <c r="E1062" s="29">
        <v>11288.950199999999</v>
      </c>
      <c r="F1062" s="29">
        <v>3856.1000979999999</v>
      </c>
      <c r="G1062" s="29">
        <v>32653.199219999999</v>
      </c>
      <c r="H1062" s="29">
        <v>9.8274364470000002</v>
      </c>
      <c r="I1062" s="29">
        <v>7.91388464</v>
      </c>
      <c r="J1062" s="29">
        <v>10.44510174</v>
      </c>
      <c r="L1062" s="30">
        <f t="shared" si="69"/>
        <v>5.5626724533870409E-3</v>
      </c>
      <c r="M1062" s="30">
        <f t="shared" si="69"/>
        <v>2.8653612549019769E-2</v>
      </c>
      <c r="N1062" s="30">
        <f t="shared" si="69"/>
        <v>2.1264347578209941E-2</v>
      </c>
      <c r="O1062" s="30">
        <f t="shared" si="68"/>
        <v>-1.0224838112457335E-2</v>
      </c>
      <c r="P1062" s="30">
        <f t="shared" si="68"/>
        <v>-4.1012303994403254E-3</v>
      </c>
      <c r="Q1062" s="30">
        <f t="shared" si="68"/>
        <v>-2.4363829688548444E-3</v>
      </c>
      <c r="R1062" s="30">
        <f t="shared" si="68"/>
        <v>2.0162233343521407E-3</v>
      </c>
      <c r="S1062" s="30">
        <f t="shared" si="68"/>
        <v>2.5000558556100838E-3</v>
      </c>
      <c r="T1062" s="30">
        <f t="shared" si="68"/>
        <v>9.4597625103087779E-4</v>
      </c>
      <c r="U1062" s="63">
        <f t="shared" si="67"/>
        <v>4.2259082841555511E-3</v>
      </c>
    </row>
    <row r="1063" spans="1:21">
      <c r="A1063" s="28">
        <v>44867</v>
      </c>
      <c r="B1063" s="29">
        <v>1645.6999510000001</v>
      </c>
      <c r="C1063" s="29">
        <v>19.600000380000001</v>
      </c>
      <c r="D1063" s="29">
        <v>90</v>
      </c>
      <c r="E1063" s="29">
        <v>10906.339840000001</v>
      </c>
      <c r="F1063" s="29">
        <v>3759.6899410000001</v>
      </c>
      <c r="G1063" s="29">
        <v>32147.759770000001</v>
      </c>
      <c r="H1063" s="29">
        <v>9.8175497059999994</v>
      </c>
      <c r="I1063" s="29">
        <v>7.9040164949999996</v>
      </c>
      <c r="J1063" s="29">
        <v>10.435230260000001</v>
      </c>
      <c r="L1063" s="30">
        <f t="shared" si="69"/>
        <v>4.2550212765957163E-4</v>
      </c>
      <c r="M1063" s="30">
        <f t="shared" si="69"/>
        <v>-3.710667348059471E-3</v>
      </c>
      <c r="N1063" s="30">
        <f t="shared" si="69"/>
        <v>1.8445142008327142E-2</v>
      </c>
      <c r="O1063" s="30">
        <f t="shared" si="68"/>
        <v>-3.3892465926548154E-2</v>
      </c>
      <c r="P1063" s="30">
        <f t="shared" si="68"/>
        <v>-2.5001985049611042E-2</v>
      </c>
      <c r="Q1063" s="30">
        <f t="shared" si="68"/>
        <v>-1.5479017740179568E-2</v>
      </c>
      <c r="R1063" s="30">
        <f t="shared" si="68"/>
        <v>-1.0060345903349921E-3</v>
      </c>
      <c r="S1063" s="30">
        <f t="shared" si="68"/>
        <v>-1.2469407186103121E-3</v>
      </c>
      <c r="T1063" s="30">
        <f t="shared" si="68"/>
        <v>-9.4508222569011924E-4</v>
      </c>
      <c r="U1063" s="63">
        <f t="shared" si="67"/>
        <v>-1.1554909490995559E-2</v>
      </c>
    </row>
    <row r="1064" spans="1:21">
      <c r="A1064" s="28">
        <v>44868</v>
      </c>
      <c r="B1064" s="29">
        <v>1627.3000489999999</v>
      </c>
      <c r="C1064" s="29">
        <v>19.43600082</v>
      </c>
      <c r="D1064" s="29">
        <v>88.16999817</v>
      </c>
      <c r="E1064" s="29">
        <v>10690.599609999999</v>
      </c>
      <c r="F1064" s="29">
        <v>3719.889893</v>
      </c>
      <c r="G1064" s="29">
        <v>32001.25</v>
      </c>
      <c r="H1064" s="29">
        <v>9.768115044</v>
      </c>
      <c r="I1064" s="29">
        <v>7.864544392</v>
      </c>
      <c r="J1064" s="29">
        <v>10.3957386</v>
      </c>
      <c r="L1064" s="30">
        <f t="shared" si="69"/>
        <v>-1.1180593393601002E-2</v>
      </c>
      <c r="M1064" s="30">
        <f t="shared" si="69"/>
        <v>-8.3673243275723674E-3</v>
      </c>
      <c r="N1064" s="30">
        <f t="shared" si="69"/>
        <v>-2.0333353666666665E-2</v>
      </c>
      <c r="O1064" s="30">
        <f t="shared" si="68"/>
        <v>-1.9781176193387484E-2</v>
      </c>
      <c r="P1064" s="30">
        <f t="shared" si="68"/>
        <v>-1.0585992096309393E-2</v>
      </c>
      <c r="Q1064" s="30">
        <f t="shared" si="68"/>
        <v>-4.5573866125726559E-3</v>
      </c>
      <c r="R1064" s="30">
        <f t="shared" si="68"/>
        <v>-5.0353360543504699E-3</v>
      </c>
      <c r="S1064" s="30">
        <f t="shared" si="68"/>
        <v>-4.9939297349606004E-3</v>
      </c>
      <c r="T1064" s="30">
        <f t="shared" si="68"/>
        <v>-3.7844550638599372E-3</v>
      </c>
      <c r="U1064" s="63">
        <f t="shared" si="67"/>
        <v>-1.0324890113274896E-2</v>
      </c>
    </row>
    <row r="1065" spans="1:21">
      <c r="A1065" s="28">
        <v>44869</v>
      </c>
      <c r="B1065" s="29">
        <v>1672.5</v>
      </c>
      <c r="C1065" s="29">
        <v>20.790000920000001</v>
      </c>
      <c r="D1065" s="29">
        <v>92.61000061</v>
      </c>
      <c r="E1065" s="29">
        <v>10857.030269999999</v>
      </c>
      <c r="F1065" s="29">
        <v>3770.5500489999999</v>
      </c>
      <c r="G1065" s="29">
        <v>32403.220700000002</v>
      </c>
      <c r="H1065" s="29">
        <v>9.768115044</v>
      </c>
      <c r="I1065" s="29">
        <v>7.864544392</v>
      </c>
      <c r="J1065" s="29">
        <v>10.38586712</v>
      </c>
      <c r="L1065" s="30">
        <f t="shared" si="69"/>
        <v>2.7776039844511935E-2</v>
      </c>
      <c r="M1065" s="30">
        <f t="shared" si="69"/>
        <v>6.9664542234774363E-2</v>
      </c>
      <c r="N1065" s="30">
        <f t="shared" si="69"/>
        <v>5.0357293094633659E-2</v>
      </c>
      <c r="O1065" s="30">
        <f t="shared" si="68"/>
        <v>1.5567944369024866E-2</v>
      </c>
      <c r="P1065" s="30">
        <f t="shared" si="68"/>
        <v>1.3618724601319743E-2</v>
      </c>
      <c r="Q1065" s="30">
        <f t="shared" si="68"/>
        <v>1.2561093707277093E-2</v>
      </c>
      <c r="R1065" s="30">
        <f t="shared" si="68"/>
        <v>0</v>
      </c>
      <c r="S1065" s="30">
        <f t="shared" si="68"/>
        <v>0</v>
      </c>
      <c r="T1065" s="30">
        <f t="shared" si="68"/>
        <v>-9.4956985547900441E-4</v>
      </c>
      <c r="U1065" s="63">
        <f t="shared" si="67"/>
        <v>2.219872555825575E-2</v>
      </c>
    </row>
    <row r="1066" spans="1:21">
      <c r="A1066" s="28">
        <v>44872</v>
      </c>
      <c r="B1066" s="29">
        <v>1676.5</v>
      </c>
      <c r="C1066" s="29">
        <v>20.898000719999999</v>
      </c>
      <c r="D1066" s="29">
        <v>91.790000919999997</v>
      </c>
      <c r="E1066" s="29">
        <v>10977</v>
      </c>
      <c r="F1066" s="29">
        <v>3806.8000489999999</v>
      </c>
      <c r="G1066" s="29">
        <v>32827</v>
      </c>
      <c r="H1066" s="29">
        <v>9.738455772</v>
      </c>
      <c r="I1066" s="29">
        <v>7.8448104860000001</v>
      </c>
      <c r="J1066" s="29">
        <v>10.36612225</v>
      </c>
      <c r="L1066" s="30">
        <f t="shared" si="69"/>
        <v>2.3916292974588416E-3</v>
      </c>
      <c r="M1066" s="30">
        <f t="shared" si="69"/>
        <v>5.1947953449151818E-3</v>
      </c>
      <c r="N1066" s="30">
        <f t="shared" si="69"/>
        <v>-8.8543319792555586E-3</v>
      </c>
      <c r="O1066" s="30">
        <f t="shared" si="68"/>
        <v>1.1049958139243587E-2</v>
      </c>
      <c r="P1066" s="30">
        <f t="shared" si="68"/>
        <v>9.6139819201217502E-3</v>
      </c>
      <c r="Q1066" s="30">
        <f t="shared" si="68"/>
        <v>1.3078307984366377E-2</v>
      </c>
      <c r="R1066" s="30">
        <f t="shared" si="68"/>
        <v>-3.0363352465037075E-3</v>
      </c>
      <c r="S1066" s="30">
        <f t="shared" si="68"/>
        <v>-2.5092243131177305E-3</v>
      </c>
      <c r="T1066" s="30">
        <f t="shared" si="68"/>
        <v>-1.9011286945870287E-3</v>
      </c>
      <c r="U1066" s="63">
        <f t="shared" si="67"/>
        <v>4.2538350792862912E-3</v>
      </c>
    </row>
    <row r="1067" spans="1:21">
      <c r="A1067" s="28">
        <v>44873</v>
      </c>
      <c r="B1067" s="29">
        <v>1712.099976</v>
      </c>
      <c r="C1067" s="29">
        <v>21.476999280000001</v>
      </c>
      <c r="D1067" s="29">
        <v>88.910003660000001</v>
      </c>
      <c r="E1067" s="29">
        <v>11059.5</v>
      </c>
      <c r="F1067" s="29">
        <v>3828.110107</v>
      </c>
      <c r="G1067" s="29">
        <v>33160.828130000002</v>
      </c>
      <c r="H1067" s="29">
        <v>9.7878885269999998</v>
      </c>
      <c r="I1067" s="29">
        <v>7.8744134900000002</v>
      </c>
      <c r="J1067" s="29">
        <v>10.41548538</v>
      </c>
      <c r="L1067" s="30">
        <f t="shared" si="69"/>
        <v>2.1234700864896983E-2</v>
      </c>
      <c r="M1067" s="30">
        <f t="shared" si="69"/>
        <v>2.7705930713548321E-2</v>
      </c>
      <c r="N1067" s="30">
        <f t="shared" si="69"/>
        <v>-3.1375936715700381E-2</v>
      </c>
      <c r="O1067" s="30">
        <f t="shared" si="68"/>
        <v>7.5157146761410942E-3</v>
      </c>
      <c r="P1067" s="30">
        <f t="shared" si="68"/>
        <v>5.597892646239222E-3</v>
      </c>
      <c r="Q1067" s="30">
        <f t="shared" si="68"/>
        <v>1.0169315807110113E-2</v>
      </c>
      <c r="R1067" s="30">
        <f t="shared" si="68"/>
        <v>5.0760362995259101E-3</v>
      </c>
      <c r="S1067" s="30">
        <f t="shared" si="68"/>
        <v>3.7735779663294888E-3</v>
      </c>
      <c r="T1067" s="30">
        <f t="shared" si="68"/>
        <v>4.7619668000731252E-3</v>
      </c>
      <c r="U1067" s="63">
        <f t="shared" si="67"/>
        <v>7.0201055542659123E-3</v>
      </c>
    </row>
    <row r="1068" spans="1:21">
      <c r="A1068" s="28">
        <v>44874</v>
      </c>
      <c r="B1068" s="29">
        <v>1710.099976</v>
      </c>
      <c r="C1068" s="29">
        <v>21.298000340000002</v>
      </c>
      <c r="D1068" s="29">
        <v>85.83000183</v>
      </c>
      <c r="E1068" s="29">
        <v>10797.549800000001</v>
      </c>
      <c r="F1068" s="29">
        <v>3748.570068</v>
      </c>
      <c r="G1068" s="29">
        <v>32513.939450000002</v>
      </c>
      <c r="H1068" s="29">
        <v>9.7977752690000006</v>
      </c>
      <c r="I1068" s="29">
        <v>7.8941488270000004</v>
      </c>
      <c r="J1068" s="29">
        <v>10.42535782</v>
      </c>
      <c r="L1068" s="30">
        <f t="shared" si="69"/>
        <v>-1.1681560820254733E-3</v>
      </c>
      <c r="M1068" s="30">
        <f t="shared" si="69"/>
        <v>-8.3344482935606701E-3</v>
      </c>
      <c r="N1068" s="30">
        <f t="shared" si="69"/>
        <v>-3.4641791735587013E-2</v>
      </c>
      <c r="O1068" s="30">
        <f t="shared" si="68"/>
        <v>-2.3685537320855321E-2</v>
      </c>
      <c r="P1068" s="30">
        <f t="shared" si="68"/>
        <v>-2.0777886940752999E-2</v>
      </c>
      <c r="Q1068" s="30">
        <f t="shared" si="68"/>
        <v>-1.9507615354598773E-2</v>
      </c>
      <c r="R1068" s="30">
        <f t="shared" si="68"/>
        <v>1.0100995707835736E-3</v>
      </c>
      <c r="S1068" s="30">
        <f t="shared" si="68"/>
        <v>2.5062611996515827E-3</v>
      </c>
      <c r="T1068" s="30">
        <f t="shared" si="68"/>
        <v>9.4786173085670278E-4</v>
      </c>
      <c r="U1068" s="63">
        <f t="shared" si="67"/>
        <v>-1.3240623483140205E-2</v>
      </c>
    </row>
    <row r="1069" spans="1:21">
      <c r="A1069" s="28">
        <v>44875</v>
      </c>
      <c r="B1069" s="29">
        <v>1750.3000489999999</v>
      </c>
      <c r="C1069" s="29">
        <v>21.67700005</v>
      </c>
      <c r="D1069" s="29">
        <v>86.47000122</v>
      </c>
      <c r="E1069" s="29">
        <v>11605.95996</v>
      </c>
      <c r="F1069" s="29">
        <v>3956.3701169999999</v>
      </c>
      <c r="G1069" s="29">
        <v>33715.371090000001</v>
      </c>
      <c r="H1069" s="29">
        <v>9.9955110549999997</v>
      </c>
      <c r="I1069" s="29">
        <v>8.0520315169999996</v>
      </c>
      <c r="J1069" s="29">
        <v>10.632679939999999</v>
      </c>
      <c r="L1069" s="30">
        <f t="shared" si="69"/>
        <v>2.3507440245704059E-2</v>
      </c>
      <c r="M1069" s="30">
        <f t="shared" si="69"/>
        <v>1.7795084230898262E-2</v>
      </c>
      <c r="N1069" s="30">
        <f t="shared" si="69"/>
        <v>7.4565929902647987E-3</v>
      </c>
      <c r="O1069" s="30">
        <f t="shared" si="68"/>
        <v>7.4869778326931202E-2</v>
      </c>
      <c r="P1069" s="30">
        <f t="shared" si="68"/>
        <v>5.5434484411510221E-2</v>
      </c>
      <c r="Q1069" s="30">
        <f t="shared" si="68"/>
        <v>3.695127875376536E-2</v>
      </c>
      <c r="R1069" s="30">
        <f t="shared" si="68"/>
        <v>2.018170253665974E-2</v>
      </c>
      <c r="S1069" s="30">
        <f t="shared" si="68"/>
        <v>1.9999963702229673E-2</v>
      </c>
      <c r="T1069" s="30">
        <f t="shared" si="68"/>
        <v>1.9886331345123853E-2</v>
      </c>
      <c r="U1069" s="63">
        <f t="shared" si="67"/>
        <v>3.6740094901907133E-2</v>
      </c>
    </row>
    <row r="1070" spans="1:21">
      <c r="A1070" s="28">
        <v>44876</v>
      </c>
      <c r="B1070" s="29">
        <v>1766</v>
      </c>
      <c r="C1070" s="29">
        <v>21.64599991</v>
      </c>
      <c r="D1070" s="29">
        <v>88.959999080000003</v>
      </c>
      <c r="E1070" s="29">
        <v>11817.009770000001</v>
      </c>
      <c r="F1070" s="29">
        <v>3992.929932</v>
      </c>
      <c r="G1070" s="29">
        <v>33747.859380000002</v>
      </c>
      <c r="H1070" s="29">
        <v>9.9757375719999999</v>
      </c>
      <c r="I1070" s="29">
        <v>8.0520315169999996</v>
      </c>
      <c r="J1070" s="29">
        <v>10.62280655</v>
      </c>
      <c r="L1070" s="30">
        <f t="shared" si="69"/>
        <v>8.9698626295360295E-3</v>
      </c>
      <c r="M1070" s="30">
        <f t="shared" si="69"/>
        <v>-1.4300936443463197E-3</v>
      </c>
      <c r="N1070" s="30">
        <f t="shared" si="69"/>
        <v>2.8796089104530687E-2</v>
      </c>
      <c r="O1070" s="30">
        <f t="shared" si="68"/>
        <v>1.818460607544603E-2</v>
      </c>
      <c r="P1070" s="30">
        <f t="shared" si="68"/>
        <v>9.2407469268123155E-3</v>
      </c>
      <c r="Q1070" s="30">
        <f t="shared" si="68"/>
        <v>9.6360469867806664E-4</v>
      </c>
      <c r="R1070" s="30">
        <f t="shared" si="68"/>
        <v>-1.9782363194034147E-3</v>
      </c>
      <c r="S1070" s="30">
        <f t="shared" si="68"/>
        <v>0</v>
      </c>
      <c r="T1070" s="30">
        <f t="shared" si="68"/>
        <v>-9.2858903453452157E-4</v>
      </c>
      <c r="U1070" s="63">
        <f t="shared" si="67"/>
        <v>7.3018918973777377E-3</v>
      </c>
    </row>
    <row r="1071" spans="1:21">
      <c r="A1071" s="28">
        <v>44879</v>
      </c>
      <c r="B1071" s="29">
        <v>1773.599976</v>
      </c>
      <c r="C1071" s="29">
        <v>22.091999049999998</v>
      </c>
      <c r="D1071" s="29">
        <v>85.870002749999998</v>
      </c>
      <c r="E1071" s="29">
        <v>11700.940430000001</v>
      </c>
      <c r="F1071" s="29">
        <v>3957.25</v>
      </c>
      <c r="G1071" s="29">
        <v>33536.699220000002</v>
      </c>
      <c r="H1071" s="29">
        <v>9.9757375719999999</v>
      </c>
      <c r="I1071" s="29">
        <v>8.0421628950000006</v>
      </c>
      <c r="J1071" s="29">
        <v>10.62280655</v>
      </c>
      <c r="L1071" s="30">
        <f t="shared" si="69"/>
        <v>4.303497168743009E-3</v>
      </c>
      <c r="M1071" s="30">
        <f t="shared" si="69"/>
        <v>2.0604229042519462E-2</v>
      </c>
      <c r="N1071" s="30">
        <f t="shared" si="69"/>
        <v>-3.4734671334935907E-2</v>
      </c>
      <c r="O1071" s="30">
        <f t="shared" si="68"/>
        <v>-9.8222259487901198E-3</v>
      </c>
      <c r="P1071" s="30">
        <f t="shared" si="68"/>
        <v>-8.9357771379996453E-3</v>
      </c>
      <c r="Q1071" s="30">
        <f t="shared" si="68"/>
        <v>-6.256994188056253E-3</v>
      </c>
      <c r="R1071" s="30">
        <f t="shared" si="68"/>
        <v>0</v>
      </c>
      <c r="S1071" s="30">
        <f t="shared" si="68"/>
        <v>-1.2256064794534671E-3</v>
      </c>
      <c r="T1071" s="30">
        <f t="shared" si="68"/>
        <v>0</v>
      </c>
      <c r="U1071" s="63">
        <f t="shared" si="67"/>
        <v>-3.5162921075416994E-3</v>
      </c>
    </row>
    <row r="1072" spans="1:21">
      <c r="A1072" s="28">
        <v>44880</v>
      </c>
      <c r="B1072" s="29">
        <v>1773.8000489999999</v>
      </c>
      <c r="C1072" s="29">
        <v>21.499000550000002</v>
      </c>
      <c r="D1072" s="29">
        <v>86.91999817</v>
      </c>
      <c r="E1072" s="29">
        <v>11871.150390000001</v>
      </c>
      <c r="F1072" s="29">
        <v>3991.7299800000001</v>
      </c>
      <c r="G1072" s="29">
        <v>33592.921880000002</v>
      </c>
      <c r="H1072" s="29">
        <v>10.035057070000001</v>
      </c>
      <c r="I1072" s="29">
        <v>8.0915021899999999</v>
      </c>
      <c r="J1072" s="29">
        <v>10.691914560000001</v>
      </c>
      <c r="L1072" s="30">
        <f t="shared" si="69"/>
        <v>1.1280615849540432E-4</v>
      </c>
      <c r="M1072" s="30">
        <f t="shared" si="69"/>
        <v>-2.6842229110090265E-2</v>
      </c>
      <c r="N1072" s="30">
        <f t="shared" si="69"/>
        <v>1.222773246039055E-2</v>
      </c>
      <c r="O1072" s="30">
        <f t="shared" si="68"/>
        <v>1.4546690585963473E-2</v>
      </c>
      <c r="P1072" s="30">
        <f t="shared" si="68"/>
        <v>8.7131164318656751E-3</v>
      </c>
      <c r="Q1072" s="30">
        <f t="shared" si="68"/>
        <v>1.6764518067560186E-3</v>
      </c>
      <c r="R1072" s="30">
        <f t="shared" si="68"/>
        <v>5.9463771547578759E-3</v>
      </c>
      <c r="S1072" s="30">
        <f t="shared" si="68"/>
        <v>6.1350777948896429E-3</v>
      </c>
      <c r="T1072" s="30">
        <f t="shared" si="68"/>
        <v>6.5056263309248852E-3</v>
      </c>
      <c r="U1072" s="63">
        <f t="shared" si="67"/>
        <v>2.94940233646918E-3</v>
      </c>
    </row>
    <row r="1073" spans="1:21">
      <c r="A1073" s="28">
        <v>44881</v>
      </c>
      <c r="B1073" s="29">
        <v>1773</v>
      </c>
      <c r="C1073" s="29">
        <v>21.503999709999999</v>
      </c>
      <c r="D1073" s="29">
        <v>85.589996339999999</v>
      </c>
      <c r="E1073" s="29">
        <v>11699.089840000001</v>
      </c>
      <c r="F1073" s="29">
        <v>3958.790039</v>
      </c>
      <c r="G1073" s="29">
        <v>33553.828130000002</v>
      </c>
      <c r="H1073" s="29">
        <v>10.09437943</v>
      </c>
      <c r="I1073" s="29">
        <v>8.1408405300000002</v>
      </c>
      <c r="J1073" s="29">
        <v>10.751150129999999</v>
      </c>
      <c r="L1073" s="30">
        <f t="shared" si="69"/>
        <v>-4.5103674478474964E-4</v>
      </c>
      <c r="M1073" s="30">
        <f t="shared" si="69"/>
        <v>2.3252987916211332E-4</v>
      </c>
      <c r="N1073" s="30">
        <f t="shared" si="69"/>
        <v>-1.5301447975168525E-2</v>
      </c>
      <c r="O1073" s="30">
        <f t="shared" si="68"/>
        <v>-1.4494008107667544E-2</v>
      </c>
      <c r="P1073" s="30">
        <f t="shared" si="68"/>
        <v>-8.2520463971864633E-3</v>
      </c>
      <c r="Q1073" s="30">
        <f t="shared" si="68"/>
        <v>-1.1637496178406037E-3</v>
      </c>
      <c r="R1073" s="30">
        <f t="shared" si="68"/>
        <v>5.9115119711021791E-3</v>
      </c>
      <c r="S1073" s="30">
        <f t="shared" si="68"/>
        <v>6.0975501015096967E-3</v>
      </c>
      <c r="T1073" s="30">
        <f t="shared" si="68"/>
        <v>5.5402210397010876E-3</v>
      </c>
      <c r="U1073" s="63">
        <f t="shared" si="67"/>
        <v>-3.8843823052807924E-3</v>
      </c>
    </row>
    <row r="1074" spans="1:21">
      <c r="A1074" s="28">
        <v>44882</v>
      </c>
      <c r="B1074" s="29">
        <v>1760.8000489999999</v>
      </c>
      <c r="C1074" s="29">
        <v>20.954999919999999</v>
      </c>
      <c r="D1074" s="29">
        <v>81.63999939</v>
      </c>
      <c r="E1074" s="29">
        <v>11676.860350000001</v>
      </c>
      <c r="F1074" s="29">
        <v>3946.5600589999999</v>
      </c>
      <c r="G1074" s="29">
        <v>33546.320310000003</v>
      </c>
      <c r="H1074" s="29">
        <v>10.04494476</v>
      </c>
      <c r="I1074" s="29">
        <v>8.1013708110000007</v>
      </c>
      <c r="J1074" s="29">
        <v>10.70178795</v>
      </c>
      <c r="L1074" s="30">
        <f t="shared" si="69"/>
        <v>-6.8809650310208692E-3</v>
      </c>
      <c r="M1074" s="30">
        <f t="shared" si="69"/>
        <v>-2.5530124507242236E-2</v>
      </c>
      <c r="N1074" s="30">
        <f t="shared" si="69"/>
        <v>-4.6150217536041538E-2</v>
      </c>
      <c r="O1074" s="30">
        <f t="shared" si="68"/>
        <v>-1.9001042221246101E-3</v>
      </c>
      <c r="P1074" s="30">
        <f t="shared" si="68"/>
        <v>-3.0893227171727711E-3</v>
      </c>
      <c r="Q1074" s="30">
        <f t="shared" si="68"/>
        <v>-2.2375449891764987E-4</v>
      </c>
      <c r="R1074" s="30">
        <f t="shared" si="68"/>
        <v>-4.8972470613778407E-3</v>
      </c>
      <c r="S1074" s="30">
        <f t="shared" si="68"/>
        <v>-4.8483591902517276E-3</v>
      </c>
      <c r="T1074" s="30">
        <f t="shared" si="68"/>
        <v>-4.5913394756026404E-3</v>
      </c>
      <c r="U1074" s="63">
        <f t="shared" si="67"/>
        <v>-1.0189331610299123E-2</v>
      </c>
    </row>
    <row r="1075" spans="1:21">
      <c r="A1075" s="28">
        <v>44883</v>
      </c>
      <c r="B1075" s="29">
        <v>1751.900024</v>
      </c>
      <c r="C1075" s="29">
        <v>20.975999829999999</v>
      </c>
      <c r="D1075" s="29">
        <v>80.08000183</v>
      </c>
      <c r="E1075" s="29">
        <v>11677.01953</v>
      </c>
      <c r="F1075" s="29">
        <v>3965.3400879999999</v>
      </c>
      <c r="G1075" s="29">
        <v>33745.691409999999</v>
      </c>
      <c r="H1075" s="29">
        <v>10.035057070000001</v>
      </c>
      <c r="I1075" s="29">
        <v>8.0816354750000006</v>
      </c>
      <c r="J1075" s="29">
        <v>10.68204308</v>
      </c>
      <c r="L1075" s="30">
        <f t="shared" si="69"/>
        <v>-5.0545347298543986E-3</v>
      </c>
      <c r="M1075" s="30">
        <f t="shared" si="69"/>
        <v>1.0021431677484927E-3</v>
      </c>
      <c r="N1075" s="30">
        <f t="shared" si="69"/>
        <v>-1.9108250510240454E-2</v>
      </c>
      <c r="O1075" s="30">
        <f t="shared" si="68"/>
        <v>1.3632089040038764E-5</v>
      </c>
      <c r="P1075" s="30">
        <f t="shared" si="68"/>
        <v>4.7585818331010721E-3</v>
      </c>
      <c r="Q1075" s="30">
        <f t="shared" si="68"/>
        <v>5.9431585389282393E-3</v>
      </c>
      <c r="R1075" s="30">
        <f t="shared" si="68"/>
        <v>-9.8434488553611477E-4</v>
      </c>
      <c r="S1075" s="30">
        <f t="shared" si="68"/>
        <v>-2.4360489675653296E-3</v>
      </c>
      <c r="T1075" s="30">
        <f t="shared" si="68"/>
        <v>-1.8450066561074285E-3</v>
      </c>
      <c r="U1075" s="63">
        <f t="shared" si="67"/>
        <v>-4.5556150646256313E-4</v>
      </c>
    </row>
    <row r="1076" spans="1:21">
      <c r="A1076" s="28">
        <v>44886</v>
      </c>
      <c r="B1076" s="29">
        <v>1737.400024</v>
      </c>
      <c r="C1076" s="29">
        <v>20.849000929999999</v>
      </c>
      <c r="D1076" s="29">
        <v>79.730003359999998</v>
      </c>
      <c r="E1076" s="29">
        <v>11553.450199999999</v>
      </c>
      <c r="F1076" s="29">
        <v>3949.9399410000001</v>
      </c>
      <c r="G1076" s="29">
        <v>33700.28125</v>
      </c>
      <c r="H1076" s="29">
        <v>10.035057070000001</v>
      </c>
      <c r="I1076" s="29">
        <v>8.0816354750000006</v>
      </c>
      <c r="J1076" s="29">
        <v>10.691914560000001</v>
      </c>
      <c r="L1076" s="30">
        <f t="shared" si="69"/>
        <v>-8.2767280103650531E-3</v>
      </c>
      <c r="M1076" s="30">
        <f t="shared" si="69"/>
        <v>-6.0544861283973184E-3</v>
      </c>
      <c r="N1076" s="30">
        <f t="shared" si="69"/>
        <v>-4.3706101648575135E-3</v>
      </c>
      <c r="O1076" s="30">
        <f t="shared" si="68"/>
        <v>-1.058226627801151E-2</v>
      </c>
      <c r="P1076" s="30">
        <f t="shared" si="68"/>
        <v>-3.883688828255627E-3</v>
      </c>
      <c r="Q1076" s="30">
        <f t="shared" si="68"/>
        <v>-1.3456580115156491E-3</v>
      </c>
      <c r="R1076" s="30">
        <f t="shared" si="68"/>
        <v>0</v>
      </c>
      <c r="S1076" s="30">
        <f t="shared" si="68"/>
        <v>0</v>
      </c>
      <c r="T1076" s="30">
        <f t="shared" si="68"/>
        <v>9.2411909651279878E-4</v>
      </c>
      <c r="U1076" s="63">
        <f t="shared" si="67"/>
        <v>-4.0793272507165558E-3</v>
      </c>
    </row>
    <row r="1077" spans="1:21">
      <c r="A1077" s="28">
        <v>44887</v>
      </c>
      <c r="B1077" s="29">
        <v>1738.3000489999999</v>
      </c>
      <c r="C1077" s="29">
        <v>21.0340004</v>
      </c>
      <c r="D1077" s="29">
        <v>80.949996949999999</v>
      </c>
      <c r="E1077" s="29">
        <v>11724.839840000001</v>
      </c>
      <c r="F1077" s="29">
        <v>4003.580078</v>
      </c>
      <c r="G1077" s="29">
        <v>34098.101560000003</v>
      </c>
      <c r="H1077" s="29">
        <v>10.074604989999999</v>
      </c>
      <c r="I1077" s="29">
        <v>8.1211042399999993</v>
      </c>
      <c r="J1077" s="29">
        <v>10.731405260000001</v>
      </c>
      <c r="L1077" s="30">
        <f t="shared" si="69"/>
        <v>5.1802980750959016E-4</v>
      </c>
      <c r="M1077" s="30">
        <f t="shared" si="69"/>
        <v>8.8733014412121225E-3</v>
      </c>
      <c r="N1077" s="30">
        <f t="shared" si="69"/>
        <v>1.5301562004098157E-2</v>
      </c>
      <c r="O1077" s="30">
        <f t="shared" si="68"/>
        <v>1.4834498529279205E-2</v>
      </c>
      <c r="P1077" s="30">
        <f t="shared" si="68"/>
        <v>1.3579988000126386E-2</v>
      </c>
      <c r="Q1077" s="30">
        <f t="shared" si="68"/>
        <v>1.1804658455187411E-2</v>
      </c>
      <c r="R1077" s="30">
        <f t="shared" si="68"/>
        <v>3.9409760925255277E-3</v>
      </c>
      <c r="S1077" s="30">
        <f t="shared" si="68"/>
        <v>4.8837596204496236E-3</v>
      </c>
      <c r="T1077" s="30">
        <f t="shared" si="68"/>
        <v>3.6935106222921732E-3</v>
      </c>
      <c r="U1077" s="63">
        <f t="shared" si="67"/>
        <v>9.9296170054551554E-3</v>
      </c>
    </row>
    <row r="1078" spans="1:21">
      <c r="A1078" s="28">
        <v>44888</v>
      </c>
      <c r="B1078" s="29">
        <v>1744.900024</v>
      </c>
      <c r="C1078" s="29">
        <v>21.35700035</v>
      </c>
      <c r="D1078" s="29">
        <v>77.940002440000001</v>
      </c>
      <c r="E1078" s="29">
        <v>11838.719730000001</v>
      </c>
      <c r="F1078" s="29">
        <v>4027.26001</v>
      </c>
      <c r="G1078" s="29">
        <v>34194.058590000001</v>
      </c>
      <c r="H1078" s="29">
        <v>10.133925440000001</v>
      </c>
      <c r="I1078" s="29">
        <v>8.1704435350000004</v>
      </c>
      <c r="J1078" s="29">
        <v>10.78076839</v>
      </c>
      <c r="L1078" s="30">
        <f t="shared" si="69"/>
        <v>3.7967984893039208E-3</v>
      </c>
      <c r="M1078" s="30">
        <f t="shared" si="69"/>
        <v>1.5356087470645763E-2</v>
      </c>
      <c r="N1078" s="30">
        <f t="shared" si="69"/>
        <v>-3.718338015329592E-2</v>
      </c>
      <c r="O1078" s="30">
        <f t="shared" si="68"/>
        <v>9.7127032483199649E-3</v>
      </c>
      <c r="P1078" s="30">
        <f t="shared" si="68"/>
        <v>5.9146892377957005E-3</v>
      </c>
      <c r="Q1078" s="30">
        <f t="shared" si="68"/>
        <v>2.8141458207329162E-3</v>
      </c>
      <c r="R1078" s="30">
        <f t="shared" si="68"/>
        <v>5.888116711164626E-3</v>
      </c>
      <c r="S1078" s="30">
        <f t="shared" si="68"/>
        <v>6.0754416569341885E-3</v>
      </c>
      <c r="T1078" s="30">
        <f t="shared" si="68"/>
        <v>4.599875673691578E-3</v>
      </c>
      <c r="U1078" s="63">
        <f t="shared" si="67"/>
        <v>4.2040142814269762E-3</v>
      </c>
    </row>
    <row r="1079" spans="1:21">
      <c r="A1079" s="28">
        <v>44890</v>
      </c>
      <c r="B1079" s="29">
        <v>1753.3000489999999</v>
      </c>
      <c r="C1079" s="29">
        <v>21.424999239999998</v>
      </c>
      <c r="D1079" s="29">
        <v>76.27999878</v>
      </c>
      <c r="E1079" s="29">
        <v>11756.030269999999</v>
      </c>
      <c r="F1079" s="29">
        <v>4026.1201169999999</v>
      </c>
      <c r="G1079" s="29">
        <v>34347.03125</v>
      </c>
      <c r="H1079" s="29">
        <v>10.133925440000001</v>
      </c>
      <c r="I1079" s="29">
        <v>8.1704435350000004</v>
      </c>
      <c r="J1079" s="29">
        <v>10.790639880000001</v>
      </c>
      <c r="L1079" s="30">
        <f t="shared" si="69"/>
        <v>4.8140437185300033E-3</v>
      </c>
      <c r="M1079" s="30">
        <f t="shared" si="69"/>
        <v>3.1839157599675705E-3</v>
      </c>
      <c r="N1079" s="30">
        <f t="shared" si="69"/>
        <v>-2.1298480985780133E-2</v>
      </c>
      <c r="O1079" s="30">
        <f t="shared" si="68"/>
        <v>-6.9846623525060547E-3</v>
      </c>
      <c r="P1079" s="30">
        <f t="shared" si="68"/>
        <v>-2.8304430237169331E-4</v>
      </c>
      <c r="Q1079" s="30">
        <f t="shared" si="68"/>
        <v>4.4736619842120628E-3</v>
      </c>
      <c r="R1079" s="30">
        <f t="shared" si="68"/>
        <v>0</v>
      </c>
      <c r="S1079" s="30">
        <f t="shared" si="68"/>
        <v>0</v>
      </c>
      <c r="T1079" s="30">
        <f t="shared" si="68"/>
        <v>9.156573671647017E-4</v>
      </c>
      <c r="U1079" s="63">
        <f t="shared" si="67"/>
        <v>-1.5427609119442857E-3</v>
      </c>
    </row>
    <row r="1080" spans="1:21">
      <c r="A1080" s="28">
        <v>44893</v>
      </c>
      <c r="B1080" s="29">
        <v>1740.099976</v>
      </c>
      <c r="C1080" s="29">
        <v>20.909999849999998</v>
      </c>
      <c r="D1080" s="29">
        <v>77.239997860000003</v>
      </c>
      <c r="E1080" s="29">
        <v>11587.75</v>
      </c>
      <c r="F1080" s="29">
        <v>3963.9399410000001</v>
      </c>
      <c r="G1080" s="29">
        <v>33849.460939999997</v>
      </c>
      <c r="H1080" s="29">
        <v>10.133925440000001</v>
      </c>
      <c r="I1080" s="29">
        <v>8.1704435350000004</v>
      </c>
      <c r="J1080" s="29">
        <v>10.78076839</v>
      </c>
      <c r="L1080" s="30">
        <f t="shared" si="69"/>
        <v>-7.5287016660546824E-3</v>
      </c>
      <c r="M1080" s="30">
        <f t="shared" si="69"/>
        <v>-2.4037311937846306E-2</v>
      </c>
      <c r="N1080" s="30">
        <f t="shared" si="69"/>
        <v>1.2585200515914385E-2</v>
      </c>
      <c r="O1080" s="30">
        <f t="shared" si="68"/>
        <v>-1.4314378760101554E-2</v>
      </c>
      <c r="P1080" s="30">
        <f t="shared" si="68"/>
        <v>-1.5444192968175119E-2</v>
      </c>
      <c r="Q1080" s="30">
        <f t="shared" si="68"/>
        <v>-1.4486559446094893E-2</v>
      </c>
      <c r="R1080" s="30">
        <f t="shared" si="68"/>
        <v>0</v>
      </c>
      <c r="S1080" s="30">
        <f t="shared" si="68"/>
        <v>0</v>
      </c>
      <c r="T1080" s="30">
        <f t="shared" si="68"/>
        <v>-9.1481970576157146E-4</v>
      </c>
      <c r="U1080" s="63">
        <f t="shared" si="67"/>
        <v>-1.0059395921674904E-2</v>
      </c>
    </row>
    <row r="1081" spans="1:21">
      <c r="A1081" s="28">
        <v>44894</v>
      </c>
      <c r="B1081" s="29">
        <v>1748.400024</v>
      </c>
      <c r="C1081" s="29">
        <v>21.20400047</v>
      </c>
      <c r="D1081" s="29">
        <v>78.199996949999999</v>
      </c>
      <c r="E1081" s="29">
        <v>11503.450199999999</v>
      </c>
      <c r="F1081" s="29">
        <v>3957.6298830000001</v>
      </c>
      <c r="G1081" s="29">
        <v>33852.53125</v>
      </c>
      <c r="H1081" s="29">
        <v>10.08449173</v>
      </c>
      <c r="I1081" s="29">
        <v>8.1309728620000001</v>
      </c>
      <c r="J1081" s="29">
        <v>10.751150129999999</v>
      </c>
      <c r="L1081" s="30">
        <f t="shared" si="69"/>
        <v>4.7698684641555023E-3</v>
      </c>
      <c r="M1081" s="30">
        <f t="shared" si="69"/>
        <v>1.4060288001389143E-2</v>
      </c>
      <c r="N1081" s="30">
        <f t="shared" si="69"/>
        <v>1.2428781934199717E-2</v>
      </c>
      <c r="O1081" s="30">
        <f t="shared" si="68"/>
        <v>-7.2749066902548787E-3</v>
      </c>
      <c r="P1081" s="30">
        <f t="shared" si="68"/>
        <v>-1.5918651881512424E-3</v>
      </c>
      <c r="Q1081" s="30">
        <f t="shared" si="68"/>
        <v>9.0704841812616621E-5</v>
      </c>
      <c r="R1081" s="30">
        <f t="shared" si="68"/>
        <v>-4.8780416130632664E-3</v>
      </c>
      <c r="S1081" s="30">
        <f t="shared" si="68"/>
        <v>-4.830909464206945E-3</v>
      </c>
      <c r="T1081" s="30">
        <f t="shared" si="68"/>
        <v>-2.7473236534303336E-3</v>
      </c>
      <c r="U1081" s="63">
        <f t="shared" si="67"/>
        <v>9.4371868559368953E-4</v>
      </c>
    </row>
    <row r="1082" spans="1:21">
      <c r="A1082" s="28">
        <v>44895</v>
      </c>
      <c r="B1082" s="29">
        <v>1746</v>
      </c>
      <c r="C1082" s="29">
        <v>21.549999239999998</v>
      </c>
      <c r="D1082" s="29">
        <v>80.550003050000001</v>
      </c>
      <c r="E1082" s="29">
        <v>12030.059569999999</v>
      </c>
      <c r="F1082" s="29">
        <v>4080.110107</v>
      </c>
      <c r="G1082" s="29">
        <v>34589.769529999998</v>
      </c>
      <c r="H1082" s="29">
        <v>10.175646779999999</v>
      </c>
      <c r="I1082" s="29">
        <v>8.210105896</v>
      </c>
      <c r="J1082" s="29">
        <v>10.81745911</v>
      </c>
      <c r="L1082" s="30">
        <f t="shared" si="69"/>
        <v>-1.3726973044242419E-3</v>
      </c>
      <c r="M1082" s="30">
        <f t="shared" si="69"/>
        <v>1.6317617540592133E-2</v>
      </c>
      <c r="N1082" s="30">
        <f t="shared" si="69"/>
        <v>3.005123007233057E-2</v>
      </c>
      <c r="O1082" s="30">
        <f t="shared" si="68"/>
        <v>4.5778384818843332E-2</v>
      </c>
      <c r="P1082" s="30">
        <f t="shared" si="68"/>
        <v>3.094787224194806E-2</v>
      </c>
      <c r="Q1082" s="30">
        <f t="shared" si="68"/>
        <v>2.1777936620322791E-2</v>
      </c>
      <c r="R1082" s="30">
        <f t="shared" si="68"/>
        <v>9.0391318115543573E-3</v>
      </c>
      <c r="S1082" s="30">
        <f t="shared" si="68"/>
        <v>9.7322959187118308E-3</v>
      </c>
      <c r="T1082" s="30">
        <f t="shared" si="68"/>
        <v>6.1676173430944559E-3</v>
      </c>
      <c r="U1082" s="63">
        <f t="shared" si="67"/>
        <v>2.2365455214573317E-2</v>
      </c>
    </row>
    <row r="1083" spans="1:21">
      <c r="A1083" s="28">
        <v>44896</v>
      </c>
      <c r="B1083" s="29">
        <v>1801.099976</v>
      </c>
      <c r="C1083" s="29">
        <v>22.63699913</v>
      </c>
      <c r="D1083" s="29">
        <v>81.22000122</v>
      </c>
      <c r="E1083" s="29">
        <v>12041.889649999999</v>
      </c>
      <c r="F1083" s="29">
        <v>4076.570068</v>
      </c>
      <c r="G1083" s="29">
        <v>34395.011720000002</v>
      </c>
      <c r="H1083" s="29">
        <v>10.274727820000001</v>
      </c>
      <c r="I1083" s="29">
        <v>8.2991323470000005</v>
      </c>
      <c r="J1083" s="29">
        <v>10.916428570000001</v>
      </c>
      <c r="L1083" s="30">
        <f t="shared" si="69"/>
        <v>3.155783276059565E-2</v>
      </c>
      <c r="M1083" s="30">
        <f t="shared" si="69"/>
        <v>5.0440831941300779E-2</v>
      </c>
      <c r="N1083" s="30">
        <f t="shared" si="69"/>
        <v>8.3177919879668938E-3</v>
      </c>
      <c r="O1083" s="30">
        <f t="shared" si="68"/>
        <v>9.8337667666270612E-4</v>
      </c>
      <c r="P1083" s="30">
        <f t="shared" si="68"/>
        <v>-8.6763320282134959E-4</v>
      </c>
      <c r="Q1083" s="30">
        <f t="shared" si="68"/>
        <v>-5.630503257070818E-3</v>
      </c>
      <c r="R1083" s="30">
        <f t="shared" si="68"/>
        <v>9.7370754058350162E-3</v>
      </c>
      <c r="S1083" s="30">
        <f t="shared" si="68"/>
        <v>1.0843520428083009E-2</v>
      </c>
      <c r="T1083" s="30">
        <f t="shared" si="68"/>
        <v>9.1490486808043503E-3</v>
      </c>
      <c r="U1083" s="63">
        <f t="shared" si="67"/>
        <v>1.235877563563631E-2</v>
      </c>
    </row>
    <row r="1084" spans="1:21">
      <c r="A1084" s="28">
        <v>44897</v>
      </c>
      <c r="B1084" s="29">
        <v>1795.900024</v>
      </c>
      <c r="C1084" s="29">
        <v>23.038000109999999</v>
      </c>
      <c r="D1084" s="29">
        <v>79.980003359999998</v>
      </c>
      <c r="E1084" s="29">
        <v>11994.259770000001</v>
      </c>
      <c r="F1084" s="29">
        <v>4071.6999510000001</v>
      </c>
      <c r="G1084" s="29">
        <v>34429.878909999999</v>
      </c>
      <c r="H1084" s="29">
        <v>10.304450989999999</v>
      </c>
      <c r="I1084" s="29">
        <v>8.3189144129999999</v>
      </c>
      <c r="J1084" s="29">
        <v>10.94612122</v>
      </c>
      <c r="L1084" s="30">
        <f t="shared" si="69"/>
        <v>-2.8870979230971594E-3</v>
      </c>
      <c r="M1084" s="30">
        <f t="shared" si="69"/>
        <v>1.771440541642133E-2</v>
      </c>
      <c r="N1084" s="30">
        <f t="shared" si="69"/>
        <v>-1.5267148995002255E-2</v>
      </c>
      <c r="O1084" s="30">
        <f t="shared" si="68"/>
        <v>-3.9553493167908682E-3</v>
      </c>
      <c r="P1084" s="30">
        <f t="shared" si="68"/>
        <v>-1.1946604421764206E-3</v>
      </c>
      <c r="Q1084" s="30">
        <f t="shared" si="68"/>
        <v>1.0137281034774404E-3</v>
      </c>
      <c r="R1084" s="30">
        <f t="shared" si="68"/>
        <v>2.8928425668017788E-3</v>
      </c>
      <c r="S1084" s="30">
        <f t="shared" si="68"/>
        <v>2.3836306222000392E-3</v>
      </c>
      <c r="T1084" s="30">
        <f t="shared" si="68"/>
        <v>2.7199967287470095E-3</v>
      </c>
      <c r="U1084" s="63">
        <f t="shared" si="67"/>
        <v>1.2457669308464055E-3</v>
      </c>
    </row>
    <row r="1085" spans="1:21">
      <c r="A1085" s="28">
        <v>44900</v>
      </c>
      <c r="B1085" s="29">
        <v>1767.400024</v>
      </c>
      <c r="C1085" s="29">
        <v>22.198999400000002</v>
      </c>
      <c r="D1085" s="29">
        <v>76.930000309999997</v>
      </c>
      <c r="E1085" s="29">
        <v>11786.799800000001</v>
      </c>
      <c r="F1085" s="29">
        <v>3998.8400879999999</v>
      </c>
      <c r="G1085" s="29">
        <v>33947.101560000003</v>
      </c>
      <c r="H1085" s="29">
        <v>10.22518635</v>
      </c>
      <c r="I1085" s="29">
        <v>8.2496728899999994</v>
      </c>
      <c r="J1085" s="29">
        <v>10.86694336</v>
      </c>
      <c r="L1085" s="30">
        <f t="shared" si="69"/>
        <v>-1.5869480271247016E-2</v>
      </c>
      <c r="M1085" s="30">
        <f t="shared" si="69"/>
        <v>-3.6418122493011684E-2</v>
      </c>
      <c r="N1085" s="30">
        <f t="shared" si="69"/>
        <v>-3.8134570165889503E-2</v>
      </c>
      <c r="O1085" s="30">
        <f t="shared" si="68"/>
        <v>-1.7296604707436658E-2</v>
      </c>
      <c r="P1085" s="30">
        <f t="shared" si="68"/>
        <v>-1.7894212215245897E-2</v>
      </c>
      <c r="Q1085" s="30">
        <f t="shared" si="68"/>
        <v>-1.4022046120521714E-2</v>
      </c>
      <c r="R1085" s="30">
        <f t="shared" si="68"/>
        <v>-7.692272016910251E-3</v>
      </c>
      <c r="S1085" s="30">
        <f t="shared" si="68"/>
        <v>-8.3233844661024792E-3</v>
      </c>
      <c r="T1085" s="30">
        <f t="shared" si="68"/>
        <v>-7.2334170624139826E-3</v>
      </c>
      <c r="U1085" s="63">
        <f t="shared" si="67"/>
        <v>-1.9303273124285078E-2</v>
      </c>
    </row>
    <row r="1086" spans="1:21">
      <c r="A1086" s="28">
        <v>44901</v>
      </c>
      <c r="B1086" s="29">
        <v>1769.3000489999999</v>
      </c>
      <c r="C1086" s="29">
        <v>22.122999190000002</v>
      </c>
      <c r="D1086" s="29">
        <v>74.25</v>
      </c>
      <c r="E1086" s="29">
        <v>11549.690430000001</v>
      </c>
      <c r="F1086" s="29">
        <v>3941.26001</v>
      </c>
      <c r="G1086" s="29">
        <v>33596.339840000001</v>
      </c>
      <c r="H1086" s="29">
        <v>10.264819149999999</v>
      </c>
      <c r="I1086" s="29">
        <v>8.2793474200000006</v>
      </c>
      <c r="J1086" s="29">
        <v>10.90653419</v>
      </c>
      <c r="L1086" s="30">
        <f t="shared" si="69"/>
        <v>1.0750395916028221E-3</v>
      </c>
      <c r="M1086" s="30">
        <f t="shared" si="69"/>
        <v>-3.4235871910515137E-3</v>
      </c>
      <c r="N1086" s="30">
        <f t="shared" si="69"/>
        <v>-3.4836868571435975E-2</v>
      </c>
      <c r="O1086" s="30">
        <f t="shared" si="68"/>
        <v>-2.0116517971230818E-2</v>
      </c>
      <c r="P1086" s="30">
        <f t="shared" si="68"/>
        <v>-1.4399194949753169E-2</v>
      </c>
      <c r="Q1086" s="30">
        <f t="shared" si="68"/>
        <v>-1.0332597007731148E-2</v>
      </c>
      <c r="R1086" s="30">
        <f t="shared" si="68"/>
        <v>3.875997819834387E-3</v>
      </c>
      <c r="S1086" s="30">
        <f t="shared" si="68"/>
        <v>3.5970553494275581E-3</v>
      </c>
      <c r="T1086" s="30">
        <f t="shared" si="68"/>
        <v>3.6432351479560587E-3</v>
      </c>
      <c r="U1086" s="63">
        <f t="shared" si="67"/>
        <v>-9.2259990245439384E-3</v>
      </c>
    </row>
    <row r="1087" spans="1:21">
      <c r="A1087" s="28">
        <v>44902</v>
      </c>
      <c r="B1087" s="29">
        <v>1785.5</v>
      </c>
      <c r="C1087" s="29">
        <v>22.709999079999999</v>
      </c>
      <c r="D1087" s="29">
        <v>72.010002139999997</v>
      </c>
      <c r="E1087" s="29">
        <v>11497.389649999999</v>
      </c>
      <c r="F1087" s="29">
        <v>3933.919922</v>
      </c>
      <c r="G1087" s="29">
        <v>33597.921880000002</v>
      </c>
      <c r="H1087" s="29">
        <v>10.353992460000001</v>
      </c>
      <c r="I1087" s="29">
        <v>8.3485898970000001</v>
      </c>
      <c r="J1087" s="29">
        <v>10.98992443</v>
      </c>
      <c r="L1087" s="30">
        <f t="shared" si="69"/>
        <v>9.1561355063298766E-3</v>
      </c>
      <c r="M1087" s="30">
        <f t="shared" si="69"/>
        <v>2.6533467951548539E-2</v>
      </c>
      <c r="N1087" s="30">
        <f t="shared" si="69"/>
        <v>-3.0168321346801363E-2</v>
      </c>
      <c r="O1087" s="30">
        <f t="shared" si="68"/>
        <v>-4.5283274315431887E-3</v>
      </c>
      <c r="P1087" s="30">
        <f t="shared" si="68"/>
        <v>-1.8623709121895482E-3</v>
      </c>
      <c r="Q1087" s="30">
        <f t="shared" si="68"/>
        <v>4.7089653442577983E-5</v>
      </c>
      <c r="R1087" s="30">
        <f t="shared" si="68"/>
        <v>8.687275313564724E-3</v>
      </c>
      <c r="S1087" s="30">
        <f t="shared" si="68"/>
        <v>8.36327713857421E-3</v>
      </c>
      <c r="T1087" s="30">
        <f t="shared" si="68"/>
        <v>7.6458972710560236E-3</v>
      </c>
      <c r="U1087" s="63">
        <f t="shared" si="67"/>
        <v>3.2814993393130054E-3</v>
      </c>
    </row>
    <row r="1088" spans="1:21">
      <c r="A1088" s="28">
        <v>44903</v>
      </c>
      <c r="B1088" s="29">
        <v>1788.6999510000001</v>
      </c>
      <c r="C1088" s="29">
        <v>23.062999730000001</v>
      </c>
      <c r="D1088" s="29">
        <v>71.459999080000003</v>
      </c>
      <c r="E1088" s="29">
        <v>11637.5</v>
      </c>
      <c r="F1088" s="29">
        <v>3963.51001</v>
      </c>
      <c r="G1088" s="29">
        <v>33781.480470000002</v>
      </c>
      <c r="H1088" s="29">
        <v>10.32426834</v>
      </c>
      <c r="I1088" s="29">
        <v>8.3288068769999999</v>
      </c>
      <c r="J1088" s="29">
        <v>10.96014214</v>
      </c>
      <c r="L1088" s="30">
        <f t="shared" si="69"/>
        <v>1.7921876225146516E-3</v>
      </c>
      <c r="M1088" s="30">
        <f t="shared" si="69"/>
        <v>1.5543842549552433E-2</v>
      </c>
      <c r="N1088" s="30">
        <f t="shared" si="69"/>
        <v>-7.6378703465483921E-3</v>
      </c>
      <c r="O1088" s="30">
        <f t="shared" si="68"/>
        <v>1.2186274821085252E-2</v>
      </c>
      <c r="P1088" s="30">
        <f t="shared" si="68"/>
        <v>7.5217819850681433E-3</v>
      </c>
      <c r="Q1088" s="30">
        <f t="shared" si="68"/>
        <v>5.4633911780499478E-3</v>
      </c>
      <c r="R1088" s="30">
        <f t="shared" si="68"/>
        <v>-2.8707882601646251E-3</v>
      </c>
      <c r="S1088" s="30">
        <f t="shared" si="68"/>
        <v>-2.3696241214470337E-3</v>
      </c>
      <c r="T1088" s="30">
        <f t="shared" si="68"/>
        <v>-2.7099631293825421E-3</v>
      </c>
      <c r="U1088" s="63">
        <f t="shared" si="67"/>
        <v>5.0974940902259111E-3</v>
      </c>
    </row>
    <row r="1089" spans="1:21">
      <c r="A1089" s="28">
        <v>44904</v>
      </c>
      <c r="B1089" s="29">
        <v>1798.099976</v>
      </c>
      <c r="C1089" s="29">
        <v>23.534999849999998</v>
      </c>
      <c r="D1089" s="29">
        <v>71.019996640000002</v>
      </c>
      <c r="E1089" s="29">
        <v>11563.33008</v>
      </c>
      <c r="F1089" s="29">
        <v>3934.3798830000001</v>
      </c>
      <c r="G1089" s="29">
        <v>33476.460939999997</v>
      </c>
      <c r="H1089" s="29">
        <v>10.25491047</v>
      </c>
      <c r="I1089" s="29">
        <v>8.2694559099999996</v>
      </c>
      <c r="J1089" s="29">
        <v>10.90057564</v>
      </c>
      <c r="L1089" s="30">
        <f t="shared" si="69"/>
        <v>5.2552274039838753E-3</v>
      </c>
      <c r="M1089" s="30">
        <f t="shared" si="69"/>
        <v>2.0465686403578598E-2</v>
      </c>
      <c r="N1089" s="30">
        <f t="shared" si="69"/>
        <v>-6.1573250162991755E-3</v>
      </c>
      <c r="O1089" s="30">
        <f t="shared" si="69"/>
        <v>-6.3733551020408452E-3</v>
      </c>
      <c r="P1089" s="30">
        <f t="shared" si="69"/>
        <v>-7.3495782592964964E-3</v>
      </c>
      <c r="Q1089" s="30">
        <f t="shared" si="69"/>
        <v>-9.029193681161507E-3</v>
      </c>
      <c r="R1089" s="30">
        <f t="shared" si="69"/>
        <v>-6.717945302843531E-3</v>
      </c>
      <c r="S1089" s="30">
        <f t="shared" si="69"/>
        <v>-7.1259866961134177E-3</v>
      </c>
      <c r="T1089" s="30">
        <f t="shared" si="69"/>
        <v>-5.4348291508563573E-3</v>
      </c>
      <c r="U1089" s="63">
        <f t="shared" si="67"/>
        <v>-2.0350431152427028E-3</v>
      </c>
    </row>
    <row r="1090" spans="1:21">
      <c r="A1090" s="28">
        <v>44907</v>
      </c>
      <c r="B1090" s="29">
        <v>1780.5</v>
      </c>
      <c r="C1090" s="29">
        <v>23.219999309999999</v>
      </c>
      <c r="D1090" s="29">
        <v>73.16999817</v>
      </c>
      <c r="E1090" s="29">
        <v>11706.440430000001</v>
      </c>
      <c r="F1090" s="29">
        <v>3990.5600589999999</v>
      </c>
      <c r="G1090" s="29">
        <v>34005.039060000003</v>
      </c>
      <c r="H1090" s="29">
        <v>10.25491047</v>
      </c>
      <c r="I1090" s="29">
        <v>8.2793474200000006</v>
      </c>
      <c r="J1090" s="29">
        <v>10.90057564</v>
      </c>
      <c r="L1090" s="30">
        <f t="shared" si="69"/>
        <v>-9.7880964545432603E-3</v>
      </c>
      <c r="M1090" s="30">
        <f t="shared" si="69"/>
        <v>-1.3384344253564939E-2</v>
      </c>
      <c r="N1090" s="30">
        <f t="shared" si="69"/>
        <v>3.0273185464909869E-2</v>
      </c>
      <c r="O1090" s="30">
        <f t="shared" si="69"/>
        <v>1.2376222853615948E-2</v>
      </c>
      <c r="P1090" s="30">
        <f t="shared" si="69"/>
        <v>1.4279296273028486E-2</v>
      </c>
      <c r="Q1090" s="30">
        <f t="shared" si="69"/>
        <v>1.5789546002111132E-2</v>
      </c>
      <c r="R1090" s="30">
        <f t="shared" si="69"/>
        <v>0</v>
      </c>
      <c r="S1090" s="30">
        <f t="shared" si="69"/>
        <v>1.1961500378809831E-3</v>
      </c>
      <c r="T1090" s="30">
        <f t="shared" si="69"/>
        <v>0</v>
      </c>
      <c r="U1090" s="63">
        <f t="shared" si="67"/>
        <v>6.1826636756258449E-3</v>
      </c>
    </row>
    <row r="1091" spans="1:21">
      <c r="A1091" s="28">
        <v>44908</v>
      </c>
      <c r="B1091" s="29">
        <v>1813.900024</v>
      </c>
      <c r="C1091" s="29">
        <v>23.801000599999998</v>
      </c>
      <c r="D1091" s="29">
        <v>75.38999939</v>
      </c>
      <c r="E1091" s="29">
        <v>11834.20996</v>
      </c>
      <c r="F1091" s="29">
        <v>4019.6499020000001</v>
      </c>
      <c r="G1091" s="29">
        <v>34108.640630000002</v>
      </c>
      <c r="H1091" s="29">
        <v>10.32426834</v>
      </c>
      <c r="I1091" s="29">
        <v>8.3485898970000001</v>
      </c>
      <c r="J1091" s="29">
        <v>10.97006989</v>
      </c>
      <c r="L1091" s="30">
        <f t="shared" si="69"/>
        <v>1.875878910418427E-2</v>
      </c>
      <c r="M1091" s="30">
        <f t="shared" si="69"/>
        <v>2.5021589460159088E-2</v>
      </c>
      <c r="N1091" s="30">
        <f t="shared" si="69"/>
        <v>3.0340320835353207E-2</v>
      </c>
      <c r="O1091" s="30">
        <f t="shared" si="69"/>
        <v>1.091446462859591E-2</v>
      </c>
      <c r="P1091" s="30">
        <f t="shared" si="69"/>
        <v>7.2896642501076858E-3</v>
      </c>
      <c r="Q1091" s="30">
        <f t="shared" si="69"/>
        <v>3.0466534626587549E-3</v>
      </c>
      <c r="R1091" s="30">
        <f t="shared" si="69"/>
        <v>6.7633813286718247E-3</v>
      </c>
      <c r="S1091" s="30">
        <f t="shared" si="69"/>
        <v>8.36327713857421E-3</v>
      </c>
      <c r="T1091" s="30">
        <f t="shared" si="69"/>
        <v>6.3752825809482161E-3</v>
      </c>
      <c r="U1091" s="63">
        <f t="shared" si="67"/>
        <v>1.2688204124429182E-2</v>
      </c>
    </row>
    <row r="1092" spans="1:21">
      <c r="A1092" s="28">
        <v>44909</v>
      </c>
      <c r="B1092" s="29">
        <v>1807.5</v>
      </c>
      <c r="C1092" s="29">
        <v>23.945999149999999</v>
      </c>
      <c r="D1092" s="29">
        <v>77.27999878</v>
      </c>
      <c r="E1092" s="29">
        <v>11740.91992</v>
      </c>
      <c r="F1092" s="29">
        <v>3995.320068</v>
      </c>
      <c r="G1092" s="29">
        <v>33966.351560000003</v>
      </c>
      <c r="H1092" s="29">
        <v>10.353992460000001</v>
      </c>
      <c r="I1092" s="29">
        <v>8.3683738709999993</v>
      </c>
      <c r="J1092" s="29">
        <v>10.99985313</v>
      </c>
      <c r="L1092" s="30">
        <f t="shared" si="69"/>
        <v>-3.5283223525665042E-3</v>
      </c>
      <c r="M1092" s="30">
        <f t="shared" si="69"/>
        <v>6.0921199254118097E-3</v>
      </c>
      <c r="N1092" s="30">
        <f t="shared" si="69"/>
        <v>2.50696299945945E-2</v>
      </c>
      <c r="O1092" s="30">
        <f t="shared" si="69"/>
        <v>-7.8830813645628384E-3</v>
      </c>
      <c r="P1092" s="30">
        <f t="shared" si="69"/>
        <v>-6.052724638505147E-3</v>
      </c>
      <c r="Q1092" s="30">
        <f t="shared" si="69"/>
        <v>-4.1716429436020608E-3</v>
      </c>
      <c r="R1092" s="30">
        <f t="shared" si="69"/>
        <v>2.8790534129028433E-3</v>
      </c>
      <c r="S1092" s="30">
        <f t="shared" si="69"/>
        <v>2.3697383922414161E-3</v>
      </c>
      <c r="T1092" s="30">
        <f t="shared" si="69"/>
        <v>2.7149544441051887E-3</v>
      </c>
      <c r="U1092" s="63">
        <f t="shared" ref="U1092:U1155" si="70">SUMPRODUCT($L$2:$T$2,L1092:T1092)</f>
        <v>3.9302648948631036E-4</v>
      </c>
    </row>
    <row r="1093" spans="1:21">
      <c r="A1093" s="28">
        <v>44910</v>
      </c>
      <c r="B1093" s="29">
        <v>1777.1999510000001</v>
      </c>
      <c r="C1093" s="29">
        <v>23.12800026</v>
      </c>
      <c r="D1093" s="29">
        <v>76.11000061</v>
      </c>
      <c r="E1093" s="29">
        <v>11345.219730000001</v>
      </c>
      <c r="F1093" s="29">
        <v>3895.75</v>
      </c>
      <c r="G1093" s="29">
        <v>33202.21875</v>
      </c>
      <c r="H1093" s="29">
        <v>10.353992460000001</v>
      </c>
      <c r="I1093" s="29">
        <v>8.3782644269999995</v>
      </c>
      <c r="J1093" s="29">
        <v>11.009780879999999</v>
      </c>
      <c r="L1093" s="30">
        <f t="shared" si="69"/>
        <v>-1.6763512586445373E-2</v>
      </c>
      <c r="M1093" s="30">
        <f t="shared" si="69"/>
        <v>-3.4160148627583875E-2</v>
      </c>
      <c r="N1093" s="30">
        <f t="shared" si="69"/>
        <v>-1.5139728111677853E-2</v>
      </c>
      <c r="O1093" s="30">
        <f t="shared" si="69"/>
        <v>-3.370265640990755E-2</v>
      </c>
      <c r="P1093" s="30">
        <f t="shared" si="69"/>
        <v>-2.492167493600661E-2</v>
      </c>
      <c r="Q1093" s="30">
        <f t="shared" si="69"/>
        <v>-2.249675855383515E-2</v>
      </c>
      <c r="R1093" s="30">
        <f t="shared" si="69"/>
        <v>0</v>
      </c>
      <c r="S1093" s="30">
        <f t="shared" si="69"/>
        <v>1.1818970032249076E-3</v>
      </c>
      <c r="T1093" s="30">
        <f t="shared" si="69"/>
        <v>9.0253477775292801E-4</v>
      </c>
      <c r="U1093" s="63">
        <f t="shared" si="70"/>
        <v>-1.9274975228665461E-2</v>
      </c>
    </row>
    <row r="1094" spans="1:21">
      <c r="A1094" s="28">
        <v>44911</v>
      </c>
      <c r="B1094" s="29">
        <v>1790</v>
      </c>
      <c r="C1094" s="29">
        <v>23.150999070000001</v>
      </c>
      <c r="D1094" s="29">
        <v>74.290000919999997</v>
      </c>
      <c r="E1094" s="29">
        <v>11243.719730000001</v>
      </c>
      <c r="F1094" s="29">
        <v>3852.360107</v>
      </c>
      <c r="G1094" s="29">
        <v>32920.460939999997</v>
      </c>
      <c r="H1094" s="29">
        <v>10.33417702</v>
      </c>
      <c r="I1094" s="29">
        <v>8.3485898970000001</v>
      </c>
      <c r="J1094" s="29">
        <v>10.97999763</v>
      </c>
      <c r="L1094" s="30">
        <f t="shared" si="69"/>
        <v>7.2023685307878171E-3</v>
      </c>
      <c r="M1094" s="30">
        <f t="shared" si="69"/>
        <v>9.9441411887979392E-4</v>
      </c>
      <c r="N1094" s="30">
        <f t="shared" si="69"/>
        <v>-2.3912753585773494E-2</v>
      </c>
      <c r="O1094" s="30">
        <f t="shared" si="69"/>
        <v>-8.9464992671410837E-3</v>
      </c>
      <c r="P1094" s="30">
        <f t="shared" si="69"/>
        <v>-1.1137750882371789E-2</v>
      </c>
      <c r="Q1094" s="30">
        <f t="shared" si="69"/>
        <v>-8.4861138986382922E-3</v>
      </c>
      <c r="R1094" s="30">
        <f t="shared" si="69"/>
        <v>-1.9137970282046002E-3</v>
      </c>
      <c r="S1094" s="30">
        <f t="shared" si="69"/>
        <v>-3.5418469133499109E-3</v>
      </c>
      <c r="T1094" s="30">
        <f t="shared" si="69"/>
        <v>-2.7051628297255492E-3</v>
      </c>
      <c r="U1094" s="63">
        <f t="shared" si="70"/>
        <v>-6.7894166983357099E-3</v>
      </c>
    </row>
    <row r="1095" spans="1:21">
      <c r="A1095" s="28">
        <v>44914</v>
      </c>
      <c r="B1095" s="29">
        <v>1787.6999510000001</v>
      </c>
      <c r="C1095" s="29">
        <v>23.028999330000001</v>
      </c>
      <c r="D1095" s="29">
        <v>75.190002440000001</v>
      </c>
      <c r="E1095" s="29">
        <v>11084.589840000001</v>
      </c>
      <c r="F1095" s="29">
        <v>3817.6599120000001</v>
      </c>
      <c r="G1095" s="29">
        <v>32757.539059999999</v>
      </c>
      <c r="H1095" s="29">
        <v>10.264819149999999</v>
      </c>
      <c r="I1095" s="29">
        <v>8.2941532139999996</v>
      </c>
      <c r="J1095" s="29">
        <v>10.92043209</v>
      </c>
      <c r="L1095" s="30">
        <f t="shared" si="69"/>
        <v>-1.2849435754189731E-3</v>
      </c>
      <c r="M1095" s="30">
        <f t="shared" si="69"/>
        <v>-5.2697397477801111E-3</v>
      </c>
      <c r="N1095" s="30">
        <f t="shared" si="69"/>
        <v>1.2114706001540965E-2</v>
      </c>
      <c r="O1095" s="30">
        <f t="shared" si="69"/>
        <v>-1.4152779846994701E-2</v>
      </c>
      <c r="P1095" s="30">
        <f t="shared" si="69"/>
        <v>-9.0075159217195555E-3</v>
      </c>
      <c r="Q1095" s="30">
        <f t="shared" si="69"/>
        <v>-4.9489550069464761E-3</v>
      </c>
      <c r="R1095" s="30">
        <f t="shared" si="69"/>
        <v>-6.7115039606705507E-3</v>
      </c>
      <c r="S1095" s="30">
        <f t="shared" si="69"/>
        <v>-6.5204643744163349E-3</v>
      </c>
      <c r="T1095" s="30">
        <f t="shared" si="69"/>
        <v>-5.4249137392572422E-3</v>
      </c>
      <c r="U1095" s="63">
        <f t="shared" si="70"/>
        <v>-6.1379576532116674E-3</v>
      </c>
    </row>
    <row r="1096" spans="1:21">
      <c r="A1096" s="28">
        <v>44915</v>
      </c>
      <c r="B1096" s="29">
        <v>1815.900024</v>
      </c>
      <c r="C1096" s="29">
        <v>24.09399986</v>
      </c>
      <c r="D1096" s="29">
        <v>76.089996339999999</v>
      </c>
      <c r="E1096" s="29">
        <v>11072.41992</v>
      </c>
      <c r="F1096" s="29">
        <v>3821.6201169999999</v>
      </c>
      <c r="G1096" s="29">
        <v>32849.738279999998</v>
      </c>
      <c r="H1096" s="29">
        <v>10.20537186</v>
      </c>
      <c r="I1096" s="29">
        <v>8.2446660999999999</v>
      </c>
      <c r="J1096" s="29">
        <v>10.85093784</v>
      </c>
      <c r="L1096" s="30">
        <f t="shared" si="69"/>
        <v>1.5774500068775898E-2</v>
      </c>
      <c r="M1096" s="30">
        <f t="shared" si="69"/>
        <v>4.6246061964690721E-2</v>
      </c>
      <c r="N1096" s="30">
        <f t="shared" si="69"/>
        <v>1.1969595302489422E-2</v>
      </c>
      <c r="O1096" s="30">
        <f t="shared" si="69"/>
        <v>-1.0979134253650269E-3</v>
      </c>
      <c r="P1096" s="30">
        <f t="shared" si="69"/>
        <v>1.0373383411004244E-3</v>
      </c>
      <c r="Q1096" s="30">
        <f t="shared" si="69"/>
        <v>2.8145954380494054E-3</v>
      </c>
      <c r="R1096" s="30">
        <f t="shared" si="69"/>
        <v>-5.7913626271729468E-3</v>
      </c>
      <c r="S1096" s="30">
        <f t="shared" si="69"/>
        <v>-5.9665058895305156E-3</v>
      </c>
      <c r="T1096" s="30">
        <f t="shared" si="69"/>
        <v>-6.3636905048507497E-3</v>
      </c>
      <c r="U1096" s="63">
        <f t="shared" si="70"/>
        <v>7.4606468073811017E-3</v>
      </c>
    </row>
    <row r="1097" spans="1:21">
      <c r="A1097" s="28">
        <v>44916</v>
      </c>
      <c r="B1097" s="29">
        <v>1815.900024</v>
      </c>
      <c r="C1097" s="29">
        <v>24.034999849999998</v>
      </c>
      <c r="D1097" s="29">
        <v>78.290000919999997</v>
      </c>
      <c r="E1097" s="29">
        <v>11235.87988</v>
      </c>
      <c r="F1097" s="29">
        <v>3878.4399410000001</v>
      </c>
      <c r="G1097" s="29">
        <v>33376.480470000002</v>
      </c>
      <c r="H1097" s="29">
        <v>10.21527863</v>
      </c>
      <c r="I1097" s="29">
        <v>8.2644624709999999</v>
      </c>
      <c r="J1097" s="29">
        <v>10.870793340000001</v>
      </c>
      <c r="L1097" s="30">
        <f t="shared" si="69"/>
        <v>0</v>
      </c>
      <c r="M1097" s="30">
        <f t="shared" si="69"/>
        <v>-2.4487428547699253E-3</v>
      </c>
      <c r="N1097" s="30">
        <f t="shared" si="69"/>
        <v>2.8913190771747699E-2</v>
      </c>
      <c r="O1097" s="30">
        <f t="shared" si="69"/>
        <v>1.4762803540781855E-2</v>
      </c>
      <c r="P1097" s="30">
        <f t="shared" si="69"/>
        <v>1.4867993746224162E-2</v>
      </c>
      <c r="Q1097" s="30">
        <f t="shared" si="69"/>
        <v>1.6034897615019972E-2</v>
      </c>
      <c r="R1097" s="30">
        <f t="shared" si="69"/>
        <v>9.7074071733049827E-4</v>
      </c>
      <c r="S1097" s="30">
        <f t="shared" si="69"/>
        <v>2.4011125204936867E-3</v>
      </c>
      <c r="T1097" s="30">
        <f t="shared" si="69"/>
        <v>1.8298418342059808E-3</v>
      </c>
      <c r="U1097" s="63">
        <f t="shared" si="70"/>
        <v>9.1147821785090427E-3</v>
      </c>
    </row>
    <row r="1098" spans="1:21">
      <c r="A1098" s="28">
        <v>44917</v>
      </c>
      <c r="B1098" s="29">
        <v>1787</v>
      </c>
      <c r="C1098" s="29">
        <v>23.475999829999999</v>
      </c>
      <c r="D1098" s="29">
        <v>77.489997860000003</v>
      </c>
      <c r="E1098" s="29">
        <v>10956.139649999999</v>
      </c>
      <c r="F1098" s="29">
        <v>3822.389893</v>
      </c>
      <c r="G1098" s="29">
        <v>33027.488279999998</v>
      </c>
      <c r="H1098" s="29">
        <v>10.21527863</v>
      </c>
      <c r="I1098" s="29">
        <v>8.254563332</v>
      </c>
      <c r="J1098" s="29">
        <v>10.86086559</v>
      </c>
      <c r="L1098" s="30">
        <f t="shared" si="69"/>
        <v>-1.5914986297725808E-2</v>
      </c>
      <c r="M1098" s="30">
        <f t="shared" si="69"/>
        <v>-2.3257750093141794E-2</v>
      </c>
      <c r="N1098" s="30">
        <f t="shared" si="69"/>
        <v>-1.0218457665078673E-2</v>
      </c>
      <c r="O1098" s="30">
        <f t="shared" si="69"/>
        <v>-2.4897047048174858E-2</v>
      </c>
      <c r="P1098" s="30">
        <f t="shared" si="69"/>
        <v>-1.4451699356609948E-2</v>
      </c>
      <c r="Q1098" s="30">
        <f t="shared" si="69"/>
        <v>-1.0456231007151651E-2</v>
      </c>
      <c r="R1098" s="30">
        <f t="shared" si="69"/>
        <v>0</v>
      </c>
      <c r="S1098" s="30">
        <f t="shared" si="69"/>
        <v>-1.1977958681204104E-3</v>
      </c>
      <c r="T1098" s="30">
        <f t="shared" si="69"/>
        <v>-9.1324981438756225E-4</v>
      </c>
      <c r="U1098" s="63">
        <f t="shared" si="70"/>
        <v>-1.3079845540538749E-2</v>
      </c>
    </row>
    <row r="1099" spans="1:21">
      <c r="A1099" s="28">
        <v>44918</v>
      </c>
      <c r="B1099" s="29">
        <v>1795.900024</v>
      </c>
      <c r="C1099" s="29">
        <v>23.763999940000001</v>
      </c>
      <c r="D1099" s="29">
        <v>79.559997559999999</v>
      </c>
      <c r="E1099" s="29">
        <v>10985.450199999999</v>
      </c>
      <c r="F1099" s="29">
        <v>3844.820068</v>
      </c>
      <c r="G1099" s="29">
        <v>33203.929689999997</v>
      </c>
      <c r="H1099" s="29">
        <v>10.175646779999999</v>
      </c>
      <c r="I1099" s="29">
        <v>8.2248716349999995</v>
      </c>
      <c r="J1099" s="29">
        <v>10.83108234</v>
      </c>
      <c r="L1099" s="30">
        <f t="shared" si="69"/>
        <v>4.9804275321767566E-3</v>
      </c>
      <c r="M1099" s="30">
        <f t="shared" si="69"/>
        <v>1.2267852789467515E-2</v>
      </c>
      <c r="N1099" s="30">
        <f t="shared" si="69"/>
        <v>2.6713121140354623E-2</v>
      </c>
      <c r="O1099" s="30">
        <f t="shared" si="69"/>
        <v>2.6752625410355613E-3</v>
      </c>
      <c r="P1099" s="30">
        <f t="shared" si="69"/>
        <v>5.8681023202464822E-3</v>
      </c>
      <c r="Q1099" s="30">
        <f t="shared" si="69"/>
        <v>5.342259408410488E-3</v>
      </c>
      <c r="R1099" s="30">
        <f t="shared" si="69"/>
        <v>-3.8796641222894612E-3</v>
      </c>
      <c r="S1099" s="30">
        <f t="shared" si="69"/>
        <v>-3.5970039608147486E-3</v>
      </c>
      <c r="T1099" s="30">
        <f t="shared" si="69"/>
        <v>-2.7422538059417301E-3</v>
      </c>
      <c r="U1099" s="63">
        <f t="shared" si="70"/>
        <v>5.5747283628692608E-3</v>
      </c>
    </row>
    <row r="1100" spans="1:21">
      <c r="A1100" s="28">
        <v>44922</v>
      </c>
      <c r="B1100" s="29">
        <v>1814.8000489999999</v>
      </c>
      <c r="C1100" s="29">
        <v>24.040000920000001</v>
      </c>
      <c r="D1100" s="29">
        <v>79.52999878</v>
      </c>
      <c r="E1100" s="29">
        <v>10822.509770000001</v>
      </c>
      <c r="F1100" s="29">
        <v>3829.25</v>
      </c>
      <c r="G1100" s="29">
        <v>33241.558590000001</v>
      </c>
      <c r="H1100" s="29">
        <v>10.10628891</v>
      </c>
      <c r="I1100" s="29">
        <v>8.1654844279999992</v>
      </c>
      <c r="J1100" s="29">
        <v>10.771516800000001</v>
      </c>
      <c r="L1100" s="30">
        <f t="shared" si="69"/>
        <v>1.0523985047844686E-2</v>
      </c>
      <c r="M1100" s="30">
        <f t="shared" si="69"/>
        <v>1.1614247630737928E-2</v>
      </c>
      <c r="N1100" s="30">
        <f t="shared" si="69"/>
        <v>-3.7705858371073209E-4</v>
      </c>
      <c r="O1100" s="30">
        <f t="shared" si="69"/>
        <v>-1.4832385294505146E-2</v>
      </c>
      <c r="P1100" s="30">
        <f t="shared" si="69"/>
        <v>-4.0496220173182884E-3</v>
      </c>
      <c r="Q1100" s="30">
        <f t="shared" si="69"/>
        <v>1.1332664642804691E-3</v>
      </c>
      <c r="R1100" s="30">
        <f t="shared" si="69"/>
        <v>-6.8160650128226141E-3</v>
      </c>
      <c r="S1100" s="30">
        <f t="shared" si="69"/>
        <v>-7.2204418057157937E-3</v>
      </c>
      <c r="T1100" s="30">
        <f t="shared" si="69"/>
        <v>-5.4995002466207143E-3</v>
      </c>
      <c r="U1100" s="63">
        <f t="shared" si="70"/>
        <v>-2.3342262656592064E-3</v>
      </c>
    </row>
    <row r="1101" spans="1:21">
      <c r="A1101" s="28">
        <v>44923</v>
      </c>
      <c r="B1101" s="29">
        <v>1807.900024</v>
      </c>
      <c r="C1101" s="29">
        <v>23.663000109999999</v>
      </c>
      <c r="D1101" s="29">
        <v>78.959999080000003</v>
      </c>
      <c r="E1101" s="29">
        <v>10679.339840000001</v>
      </c>
      <c r="F1101" s="29">
        <v>3783.219971</v>
      </c>
      <c r="G1101" s="29">
        <v>32875.710939999997</v>
      </c>
      <c r="H1101" s="29">
        <v>10.08647251</v>
      </c>
      <c r="I1101" s="29">
        <v>8.1555881499999998</v>
      </c>
      <c r="J1101" s="29">
        <v>10.7516613</v>
      </c>
      <c r="L1101" s="30">
        <f t="shared" si="69"/>
        <v>-3.8020855266132081E-3</v>
      </c>
      <c r="M1101" s="30">
        <f t="shared" si="69"/>
        <v>-1.5682229433126027E-2</v>
      </c>
      <c r="N1101" s="30">
        <f t="shared" si="69"/>
        <v>-7.1671030899517207E-3</v>
      </c>
      <c r="O1101" s="30">
        <f t="shared" si="69"/>
        <v>-1.322890281853728E-2</v>
      </c>
      <c r="P1101" s="30">
        <f t="shared" si="69"/>
        <v>-1.2020638245087145E-2</v>
      </c>
      <c r="Q1101" s="30">
        <f t="shared" si="69"/>
        <v>-1.1005730943977499E-2</v>
      </c>
      <c r="R1101" s="30">
        <f t="shared" si="69"/>
        <v>-1.9607988824059674E-3</v>
      </c>
      <c r="S1101" s="30">
        <f t="shared" si="69"/>
        <v>-1.2119645916002231E-3</v>
      </c>
      <c r="T1101" s="30">
        <f t="shared" si="69"/>
        <v>-1.8433337076538825E-3</v>
      </c>
      <c r="U1101" s="63">
        <f t="shared" si="70"/>
        <v>-9.1111219692350722E-3</v>
      </c>
    </row>
    <row r="1102" spans="1:21">
      <c r="A1102" s="28">
        <v>44924</v>
      </c>
      <c r="B1102" s="29">
        <v>1819.5</v>
      </c>
      <c r="C1102" s="29">
        <v>24.07799911</v>
      </c>
      <c r="D1102" s="29">
        <v>78.400001529999997</v>
      </c>
      <c r="E1102" s="29">
        <v>10951.049800000001</v>
      </c>
      <c r="F1102" s="29">
        <v>3849.280029</v>
      </c>
      <c r="G1102" s="29">
        <v>33220.800779999998</v>
      </c>
      <c r="H1102" s="29">
        <v>10.12610531</v>
      </c>
      <c r="I1102" s="29">
        <v>8.1753835680000009</v>
      </c>
      <c r="J1102" s="29">
        <v>10.78144455</v>
      </c>
      <c r="L1102" s="30">
        <f t="shared" si="69"/>
        <v>6.4162707262622742E-3</v>
      </c>
      <c r="M1102" s="30">
        <f t="shared" si="69"/>
        <v>1.7537886069848962E-2</v>
      </c>
      <c r="N1102" s="30">
        <f t="shared" si="69"/>
        <v>-7.0921676358257635E-3</v>
      </c>
      <c r="O1102" s="30">
        <f t="shared" si="69"/>
        <v>2.5442580166078921E-2</v>
      </c>
      <c r="P1102" s="30">
        <f t="shared" si="69"/>
        <v>1.7461331486505749E-2</v>
      </c>
      <c r="Q1102" s="30">
        <f t="shared" si="69"/>
        <v>1.0496802354474033E-2</v>
      </c>
      <c r="R1102" s="30">
        <f t="shared" si="69"/>
        <v>3.9293023364419533E-3</v>
      </c>
      <c r="S1102" s="30">
        <f t="shared" si="69"/>
        <v>2.4272213892999606E-3</v>
      </c>
      <c r="T1102" s="30">
        <f t="shared" si="69"/>
        <v>2.7701067927055067E-3</v>
      </c>
      <c r="U1102" s="63">
        <f t="shared" si="70"/>
        <v>1.1865080904788631E-2</v>
      </c>
    </row>
    <row r="1103" spans="1:21">
      <c r="A1103" s="28">
        <v>44925</v>
      </c>
      <c r="B1103" s="29">
        <v>1819.6999510000001</v>
      </c>
      <c r="C1103" s="29">
        <v>23.86199951</v>
      </c>
      <c r="D1103" s="29">
        <v>80.260002139999997</v>
      </c>
      <c r="E1103" s="29">
        <v>10939.759770000001</v>
      </c>
      <c r="F1103" s="29">
        <v>3839.5</v>
      </c>
      <c r="G1103" s="29">
        <v>33147.25</v>
      </c>
      <c r="H1103" s="29">
        <v>10.11021519</v>
      </c>
      <c r="I1103" s="29">
        <v>8.1664514540000006</v>
      </c>
      <c r="J1103" s="29">
        <v>10.7417345</v>
      </c>
      <c r="L1103" s="30">
        <f t="shared" si="69"/>
        <v>1.0989337730138438E-4</v>
      </c>
      <c r="M1103" s="30">
        <f t="shared" si="69"/>
        <v>-8.9708284734627552E-3</v>
      </c>
      <c r="N1103" s="30">
        <f t="shared" si="69"/>
        <v>2.3724497113539744E-2</v>
      </c>
      <c r="O1103" s="30">
        <f t="shared" si="69"/>
        <v>-1.0309541282517154E-3</v>
      </c>
      <c r="P1103" s="30">
        <f t="shared" si="69"/>
        <v>-2.5407424054156857E-3</v>
      </c>
      <c r="Q1103" s="30">
        <f t="shared" si="69"/>
        <v>-2.2139978047813758E-3</v>
      </c>
      <c r="R1103" s="30">
        <f t="shared" si="69"/>
        <v>-1.5692232614159529E-3</v>
      </c>
      <c r="S1103" s="30">
        <f t="shared" si="69"/>
        <v>-1.0925620707219474E-3</v>
      </c>
      <c r="T1103" s="30">
        <f t="shared" si="69"/>
        <v>-3.6831845506268834E-3</v>
      </c>
      <c r="U1103" s="63">
        <f t="shared" si="70"/>
        <v>-1.09232385690856E-3</v>
      </c>
    </row>
    <row r="1104" spans="1:21">
      <c r="A1104" s="28">
        <v>44929</v>
      </c>
      <c r="B1104" s="29">
        <v>1839.6999510000001</v>
      </c>
      <c r="C1104" s="29">
        <v>24.059000019999999</v>
      </c>
      <c r="D1104" s="29">
        <v>76.930000309999997</v>
      </c>
      <c r="E1104" s="29">
        <v>10862.639649999999</v>
      </c>
      <c r="F1104" s="29">
        <v>3824.139893</v>
      </c>
      <c r="G1104" s="29">
        <v>33136.371090000001</v>
      </c>
      <c r="H1104" s="29">
        <v>10.15987206</v>
      </c>
      <c r="I1104" s="29">
        <v>8.2061433790000002</v>
      </c>
      <c r="J1104" s="29">
        <v>10.80130005</v>
      </c>
      <c r="L1104" s="30">
        <f t="shared" si="69"/>
        <v>1.0990822959031865E-2</v>
      </c>
      <c r="M1104" s="30">
        <f t="shared" si="69"/>
        <v>8.2558257499518728E-3</v>
      </c>
      <c r="N1104" s="30">
        <f t="shared" si="69"/>
        <v>-4.1490178684413404E-2</v>
      </c>
      <c r="O1104" s="30">
        <f t="shared" si="69"/>
        <v>-7.0495259147725919E-3</v>
      </c>
      <c r="P1104" s="30">
        <f t="shared" si="69"/>
        <v>-4.0005487693710595E-3</v>
      </c>
      <c r="Q1104" s="30">
        <f t="shared" si="69"/>
        <v>-3.2819947356110823E-4</v>
      </c>
      <c r="R1104" s="30">
        <f t="shared" si="69"/>
        <v>4.9115542119335664E-3</v>
      </c>
      <c r="S1104" s="30">
        <f t="shared" si="69"/>
        <v>4.860363797369871E-3</v>
      </c>
      <c r="T1104" s="30">
        <f t="shared" si="69"/>
        <v>5.5452450439916756E-3</v>
      </c>
      <c r="U1104" s="63">
        <f t="shared" si="70"/>
        <v>-2.0035163265088598E-3</v>
      </c>
    </row>
    <row r="1105" spans="1:21">
      <c r="A1105" s="28">
        <v>44930</v>
      </c>
      <c r="B1105" s="29">
        <v>1852.8000489999999</v>
      </c>
      <c r="C1105" s="29">
        <v>23.791999820000001</v>
      </c>
      <c r="D1105" s="29">
        <v>72.839996339999999</v>
      </c>
      <c r="E1105" s="29">
        <v>10914.799800000001</v>
      </c>
      <c r="F1105" s="29">
        <v>3852.969971</v>
      </c>
      <c r="G1105" s="29">
        <v>33269.769529999998</v>
      </c>
      <c r="H1105" s="29">
        <v>10.20952988</v>
      </c>
      <c r="I1105" s="29">
        <v>8.2557563779999992</v>
      </c>
      <c r="J1105" s="29">
        <v>10.85093784</v>
      </c>
      <c r="L1105" s="30">
        <f t="shared" si="69"/>
        <v>7.1207796645746946E-3</v>
      </c>
      <c r="M1105" s="30">
        <f t="shared" si="69"/>
        <v>-1.1097726413319076E-2</v>
      </c>
      <c r="N1105" s="30">
        <f t="shared" si="69"/>
        <v>-5.3165266521757015E-2</v>
      </c>
      <c r="O1105" s="30">
        <f t="shared" si="69"/>
        <v>4.8017932731481139E-3</v>
      </c>
      <c r="P1105" s="30">
        <f t="shared" si="69"/>
        <v>7.5389705415256358E-3</v>
      </c>
      <c r="Q1105" s="30">
        <f t="shared" si="69"/>
        <v>4.0257407679822332E-3</v>
      </c>
      <c r="R1105" s="30">
        <f t="shared" si="69"/>
        <v>4.8876422563928212E-3</v>
      </c>
      <c r="S1105" s="30">
        <f t="shared" si="69"/>
        <v>6.0458362361741624E-3</v>
      </c>
      <c r="T1105" s="30">
        <f t="shared" si="69"/>
        <v>4.5955384787224052E-3</v>
      </c>
      <c r="U1105" s="63">
        <f t="shared" si="70"/>
        <v>-8.9187187748289594E-4</v>
      </c>
    </row>
    <row r="1106" spans="1:21">
      <c r="A1106" s="28">
        <v>44931</v>
      </c>
      <c r="B1106" s="29">
        <v>1834.8000489999999</v>
      </c>
      <c r="C1106" s="29">
        <v>23.257999420000001</v>
      </c>
      <c r="D1106" s="29">
        <v>73.66999817</v>
      </c>
      <c r="E1106" s="29">
        <v>10741.219730000001</v>
      </c>
      <c r="F1106" s="29">
        <v>3808.1000979999999</v>
      </c>
      <c r="G1106" s="29">
        <v>32930.078130000002</v>
      </c>
      <c r="H1106" s="29">
        <v>10.19959927</v>
      </c>
      <c r="I1106" s="29">
        <v>8.2359113690000001</v>
      </c>
      <c r="J1106" s="29">
        <v>10.841011050000001</v>
      </c>
      <c r="L1106" s="30">
        <f t="shared" si="69"/>
        <v>-9.7150256498077514E-3</v>
      </c>
      <c r="M1106" s="30">
        <f t="shared" si="69"/>
        <v>-2.2444536148285787E-2</v>
      </c>
      <c r="N1106" s="30">
        <f t="shared" si="69"/>
        <v>1.1394863697215873E-2</v>
      </c>
      <c r="O1106" s="30">
        <f t="shared" si="69"/>
        <v>-1.5903184041909824E-2</v>
      </c>
      <c r="P1106" s="30">
        <f t="shared" si="69"/>
        <v>-1.1645528861558896E-2</v>
      </c>
      <c r="Q1106" s="30">
        <f t="shared" si="69"/>
        <v>-1.0210211997221386E-2</v>
      </c>
      <c r="R1106" s="30">
        <f t="shared" si="69"/>
        <v>-9.7268043844533914E-4</v>
      </c>
      <c r="S1106" s="30">
        <f t="shared" si="69"/>
        <v>-2.4037784173092103E-3</v>
      </c>
      <c r="T1106" s="30">
        <f t="shared" si="69"/>
        <v>-9.148324454875123E-4</v>
      </c>
      <c r="U1106" s="63">
        <f t="shared" si="70"/>
        <v>-9.2481377827381226E-3</v>
      </c>
    </row>
    <row r="1107" spans="1:21">
      <c r="A1107" s="28">
        <v>44932</v>
      </c>
      <c r="B1107" s="29">
        <v>1864.1999510000001</v>
      </c>
      <c r="C1107" s="29">
        <v>23.822000500000001</v>
      </c>
      <c r="D1107" s="29">
        <v>73.769996640000002</v>
      </c>
      <c r="E1107" s="29">
        <v>11040.349609999999</v>
      </c>
      <c r="F1107" s="29">
        <v>3895.080078</v>
      </c>
      <c r="G1107" s="29">
        <v>33630.609380000002</v>
      </c>
      <c r="H1107" s="29">
        <v>10.30884457</v>
      </c>
      <c r="I1107" s="29">
        <v>8.3351402280000002</v>
      </c>
      <c r="J1107" s="29">
        <v>10.95021343</v>
      </c>
      <c r="L1107" s="30">
        <f t="shared" si="69"/>
        <v>1.602349096078548E-2</v>
      </c>
      <c r="M1107" s="30">
        <f t="shared" si="69"/>
        <v>2.4249767566637992E-2</v>
      </c>
      <c r="N1107" s="30">
        <f t="shared" si="69"/>
        <v>1.3573839077509753E-3</v>
      </c>
      <c r="O1107" s="30">
        <f t="shared" si="69"/>
        <v>2.7848781378574383E-2</v>
      </c>
      <c r="P1107" s="30">
        <f t="shared" si="69"/>
        <v>2.2840780904283875E-2</v>
      </c>
      <c r="Q1107" s="30">
        <f t="shared" si="69"/>
        <v>2.1273294500987028E-2</v>
      </c>
      <c r="R1107" s="30">
        <f t="shared" ref="L1107:T1135" si="71">(H1107/H1106)-1</f>
        <v>1.0710744325154176E-2</v>
      </c>
      <c r="S1107" s="30">
        <f t="shared" si="71"/>
        <v>1.2048315548112587E-2</v>
      </c>
      <c r="T1107" s="30">
        <f t="shared" si="71"/>
        <v>1.0073080775985233E-2</v>
      </c>
      <c r="U1107" s="63">
        <f t="shared" si="70"/>
        <v>1.8496711899058136E-2</v>
      </c>
    </row>
    <row r="1108" spans="1:21">
      <c r="A1108" s="28">
        <v>44935</v>
      </c>
      <c r="B1108" s="29">
        <v>1872.6999510000001</v>
      </c>
      <c r="C1108" s="29">
        <v>23.711999890000001</v>
      </c>
      <c r="D1108" s="29">
        <v>74.629997250000002</v>
      </c>
      <c r="E1108" s="29">
        <v>11108.450199999999</v>
      </c>
      <c r="F1108" s="29">
        <v>3892.0900879999999</v>
      </c>
      <c r="G1108" s="29">
        <v>33517.648439999997</v>
      </c>
      <c r="H1108" s="29">
        <v>10.33863831</v>
      </c>
      <c r="I1108" s="29">
        <v>8.3649082180000001</v>
      </c>
      <c r="J1108" s="29">
        <v>10.98992443</v>
      </c>
      <c r="L1108" s="30">
        <f t="shared" si="71"/>
        <v>4.5595967296536699E-3</v>
      </c>
      <c r="M1108" s="30">
        <f t="shared" si="71"/>
        <v>-4.6176058975400114E-3</v>
      </c>
      <c r="N1108" s="30">
        <f t="shared" si="71"/>
        <v>1.1657864296738873E-2</v>
      </c>
      <c r="O1108" s="30">
        <f t="shared" si="71"/>
        <v>6.1683363666595881E-3</v>
      </c>
      <c r="P1108" s="30">
        <f t="shared" si="71"/>
        <v>-7.6763248511579896E-4</v>
      </c>
      <c r="Q1108" s="30">
        <f t="shared" si="71"/>
        <v>-3.3588728269426937E-3</v>
      </c>
      <c r="R1108" s="30">
        <f t="shared" si="71"/>
        <v>2.8901143865049939E-3</v>
      </c>
      <c r="S1108" s="30">
        <f t="shared" si="71"/>
        <v>3.5713844261433536E-3</v>
      </c>
      <c r="T1108" s="30">
        <f t="shared" si="71"/>
        <v>3.6265046570878035E-3</v>
      </c>
      <c r="U1108" s="63">
        <f t="shared" si="70"/>
        <v>1.7334478408397088E-3</v>
      </c>
    </row>
    <row r="1109" spans="1:21">
      <c r="A1109" s="28">
        <v>44936</v>
      </c>
      <c r="B1109" s="29">
        <v>1871.599976</v>
      </c>
      <c r="C1109" s="29">
        <v>23.506999969999999</v>
      </c>
      <c r="D1109" s="29">
        <v>75.120002749999998</v>
      </c>
      <c r="E1109" s="29">
        <v>11205.780269999999</v>
      </c>
      <c r="F1109" s="29">
        <v>3919.25</v>
      </c>
      <c r="G1109" s="29">
        <v>33704.101560000003</v>
      </c>
      <c r="H1109" s="29">
        <v>10.288981440000001</v>
      </c>
      <c r="I1109" s="29">
        <v>8.3252172469999994</v>
      </c>
      <c r="J1109" s="29">
        <v>10.940287590000001</v>
      </c>
      <c r="L1109" s="30">
        <f t="shared" si="71"/>
        <v>-5.8737386061913366E-4</v>
      </c>
      <c r="M1109" s="30">
        <f t="shared" si="71"/>
        <v>-8.6454082722249304E-3</v>
      </c>
      <c r="N1109" s="30">
        <f t="shared" si="71"/>
        <v>6.5657981784261743E-3</v>
      </c>
      <c r="O1109" s="30">
        <f t="shared" si="71"/>
        <v>8.761804594487943E-3</v>
      </c>
      <c r="P1109" s="30">
        <f t="shared" si="71"/>
        <v>6.9782331307641776E-3</v>
      </c>
      <c r="Q1109" s="30">
        <f t="shared" si="71"/>
        <v>5.5628341688043204E-3</v>
      </c>
      <c r="R1109" s="30">
        <f t="shared" si="71"/>
        <v>-4.8030377416308223E-3</v>
      </c>
      <c r="S1109" s="30">
        <f t="shared" si="71"/>
        <v>-4.7449380155292209E-3</v>
      </c>
      <c r="T1109" s="30">
        <f t="shared" si="71"/>
        <v>-4.5165770079821366E-3</v>
      </c>
      <c r="U1109" s="63">
        <f t="shared" si="70"/>
        <v>1.2645893008816312E-3</v>
      </c>
    </row>
    <row r="1110" spans="1:21">
      <c r="A1110" s="28">
        <v>44937</v>
      </c>
      <c r="B1110" s="29">
        <v>1874.599976</v>
      </c>
      <c r="C1110" s="29">
        <v>23.326999659999998</v>
      </c>
      <c r="D1110" s="29">
        <v>77.410003660000001</v>
      </c>
      <c r="E1110" s="29">
        <v>11402.51953</v>
      </c>
      <c r="F1110" s="29">
        <v>3969.610107</v>
      </c>
      <c r="G1110" s="29">
        <v>33973.011720000002</v>
      </c>
      <c r="H1110" s="29">
        <v>10.348570820000001</v>
      </c>
      <c r="I1110" s="29">
        <v>8.3847541809999999</v>
      </c>
      <c r="J1110" s="29">
        <v>11.009780879999999</v>
      </c>
      <c r="L1110" s="30">
        <f t="shared" si="71"/>
        <v>1.6029066245297763E-3</v>
      </c>
      <c r="M1110" s="30">
        <f t="shared" si="71"/>
        <v>-7.6573067694609698E-3</v>
      </c>
      <c r="N1110" s="30">
        <f t="shared" si="71"/>
        <v>3.0484569038437659E-2</v>
      </c>
      <c r="O1110" s="30">
        <f t="shared" si="71"/>
        <v>1.755694429657062E-2</v>
      </c>
      <c r="P1110" s="30">
        <f t="shared" si="71"/>
        <v>1.2849424507239915E-2</v>
      </c>
      <c r="Q1110" s="30">
        <f t="shared" si="71"/>
        <v>7.9785589157832515E-3</v>
      </c>
      <c r="R1110" s="30">
        <f t="shared" si="71"/>
        <v>5.791572309416182E-3</v>
      </c>
      <c r="S1110" s="30">
        <f t="shared" si="71"/>
        <v>7.1513970426964057E-3</v>
      </c>
      <c r="T1110" s="30">
        <f t="shared" si="71"/>
        <v>6.3520533101451004E-3</v>
      </c>
      <c r="U1110" s="63">
        <f t="shared" si="70"/>
        <v>9.2374051326169701E-3</v>
      </c>
    </row>
    <row r="1111" spans="1:21">
      <c r="A1111" s="28">
        <v>44938</v>
      </c>
      <c r="B1111" s="29">
        <v>1895.5</v>
      </c>
      <c r="C1111" s="29">
        <v>23.86300087</v>
      </c>
      <c r="D1111" s="29">
        <v>78.38999939</v>
      </c>
      <c r="E1111" s="29">
        <v>11459.610350000001</v>
      </c>
      <c r="F1111" s="29">
        <v>3983.169922</v>
      </c>
      <c r="G1111" s="29">
        <v>34189.96875</v>
      </c>
      <c r="H1111" s="29">
        <v>10.428021429999999</v>
      </c>
      <c r="I1111" s="29">
        <v>8.4442901609999996</v>
      </c>
      <c r="J1111" s="29">
        <v>11.08920288</v>
      </c>
      <c r="L1111" s="30">
        <f t="shared" si="71"/>
        <v>1.1149058075097251E-2</v>
      </c>
      <c r="M1111" s="30">
        <f t="shared" si="71"/>
        <v>2.2977717572445044E-2</v>
      </c>
      <c r="N1111" s="30">
        <f t="shared" si="71"/>
        <v>1.2659807307390469E-2</v>
      </c>
      <c r="O1111" s="30">
        <f t="shared" si="71"/>
        <v>5.0068600934902729E-3</v>
      </c>
      <c r="P1111" s="30">
        <f t="shared" si="71"/>
        <v>3.4159060044935963E-3</v>
      </c>
      <c r="Q1111" s="30">
        <f t="shared" si="71"/>
        <v>6.386158277285503E-3</v>
      </c>
      <c r="R1111" s="30">
        <f t="shared" si="71"/>
        <v>7.6774475801479891E-3</v>
      </c>
      <c r="S1111" s="30">
        <f t="shared" si="71"/>
        <v>7.1005039282976412E-3</v>
      </c>
      <c r="T1111" s="30">
        <f t="shared" si="71"/>
        <v>7.213767545935168E-3</v>
      </c>
      <c r="U1111" s="63">
        <f t="shared" si="70"/>
        <v>8.770595101981216E-3</v>
      </c>
    </row>
    <row r="1112" spans="1:21">
      <c r="A1112" s="28">
        <v>44939</v>
      </c>
      <c r="B1112" s="29">
        <v>1918.400024</v>
      </c>
      <c r="C1112" s="29">
        <v>24.231000900000002</v>
      </c>
      <c r="D1112" s="29">
        <v>79.86000061</v>
      </c>
      <c r="E1112" s="29">
        <v>11541.48047</v>
      </c>
      <c r="F1112" s="29">
        <v>3999.0900879999999</v>
      </c>
      <c r="G1112" s="29">
        <v>34302.609380000002</v>
      </c>
      <c r="H1112" s="29">
        <v>10.388296130000001</v>
      </c>
      <c r="I1112" s="29">
        <v>8.4244451520000005</v>
      </c>
      <c r="J1112" s="29">
        <v>11.049492839999999</v>
      </c>
      <c r="L1112" s="30">
        <f t="shared" si="71"/>
        <v>1.2081257715642391E-2</v>
      </c>
      <c r="M1112" s="30">
        <f t="shared" si="71"/>
        <v>1.5421364312258046E-2</v>
      </c>
      <c r="N1112" s="30">
        <f t="shared" si="71"/>
        <v>1.8752407595853615E-2</v>
      </c>
      <c r="O1112" s="30">
        <f t="shared" si="71"/>
        <v>7.1442324389328071E-3</v>
      </c>
      <c r="P1112" s="30">
        <f t="shared" si="71"/>
        <v>3.9968583594862661E-3</v>
      </c>
      <c r="Q1112" s="30">
        <f t="shared" si="71"/>
        <v>3.2945520021863128E-3</v>
      </c>
      <c r="R1112" s="30">
        <f t="shared" si="71"/>
        <v>-3.8094762526776904E-3</v>
      </c>
      <c r="S1112" s="30">
        <f t="shared" si="71"/>
        <v>-2.3501097927275394E-3</v>
      </c>
      <c r="T1112" s="30">
        <f t="shared" si="71"/>
        <v>-3.5809643334797636E-3</v>
      </c>
      <c r="U1112" s="63">
        <f t="shared" si="70"/>
        <v>5.7913302423995162E-3</v>
      </c>
    </row>
    <row r="1113" spans="1:21">
      <c r="A1113" s="28">
        <v>44943</v>
      </c>
      <c r="B1113" s="29">
        <v>1907.1999510000001</v>
      </c>
      <c r="C1113" s="29">
        <v>23.944000240000001</v>
      </c>
      <c r="D1113" s="29">
        <v>80.180000309999997</v>
      </c>
      <c r="E1113" s="29">
        <v>11557.190430000001</v>
      </c>
      <c r="F1113" s="29">
        <v>3990.969971</v>
      </c>
      <c r="G1113" s="29">
        <v>33910.851560000003</v>
      </c>
      <c r="H1113" s="29">
        <v>10.37836456</v>
      </c>
      <c r="I1113" s="29">
        <v>8.4145212170000008</v>
      </c>
      <c r="J1113" s="29">
        <v>11.049492839999999</v>
      </c>
      <c r="L1113" s="30">
        <f t="shared" si="71"/>
        <v>-5.8382364782538776E-3</v>
      </c>
      <c r="M1113" s="30">
        <f t="shared" si="71"/>
        <v>-1.1844358439192626E-2</v>
      </c>
      <c r="N1113" s="30">
        <f t="shared" si="71"/>
        <v>4.0070084842940279E-3</v>
      </c>
      <c r="O1113" s="30">
        <f t="shared" si="71"/>
        <v>1.3611737281742364E-3</v>
      </c>
      <c r="P1113" s="30">
        <f t="shared" si="71"/>
        <v>-2.0304911420639948E-3</v>
      </c>
      <c r="Q1113" s="30">
        <f t="shared" si="71"/>
        <v>-1.1420641959337674E-2</v>
      </c>
      <c r="R1113" s="30">
        <f t="shared" si="71"/>
        <v>-9.5603454846837632E-4</v>
      </c>
      <c r="S1113" s="30">
        <f t="shared" si="71"/>
        <v>-1.177992712985243E-3</v>
      </c>
      <c r="T1113" s="30">
        <f t="shared" si="71"/>
        <v>0</v>
      </c>
      <c r="U1113" s="63">
        <f t="shared" si="70"/>
        <v>-2.7803348741524494E-3</v>
      </c>
    </row>
    <row r="1114" spans="1:21">
      <c r="A1114" s="28">
        <v>44944</v>
      </c>
      <c r="B1114" s="29">
        <v>1904.400024</v>
      </c>
      <c r="C1114" s="29">
        <v>23.530000690000001</v>
      </c>
      <c r="D1114" s="29">
        <v>79.480003359999998</v>
      </c>
      <c r="E1114" s="29">
        <v>11410.29004</v>
      </c>
      <c r="F1114" s="29">
        <v>3928.860107</v>
      </c>
      <c r="G1114" s="29">
        <v>33296.960939999997</v>
      </c>
      <c r="H1114" s="29">
        <v>10.47767925</v>
      </c>
      <c r="I1114" s="29">
        <v>8.493905067</v>
      </c>
      <c r="J1114" s="29">
        <v>11.14876842</v>
      </c>
      <c r="L1114" s="30">
        <f t="shared" si="71"/>
        <v>-1.4680825670805309E-3</v>
      </c>
      <c r="M1114" s="30">
        <f t="shared" si="71"/>
        <v>-1.7290325169158072E-2</v>
      </c>
      <c r="N1114" s="30">
        <f t="shared" si="71"/>
        <v>-8.7303186242654318E-3</v>
      </c>
      <c r="O1114" s="30">
        <f t="shared" si="71"/>
        <v>-1.2710735441260779E-2</v>
      </c>
      <c r="P1114" s="30">
        <f t="shared" si="71"/>
        <v>-1.5562598679347506E-2</v>
      </c>
      <c r="Q1114" s="30">
        <f t="shared" si="71"/>
        <v>-1.8103072962170286E-2</v>
      </c>
      <c r="R1114" s="30">
        <f t="shared" si="71"/>
        <v>9.569396933961638E-3</v>
      </c>
      <c r="S1114" s="30">
        <f t="shared" si="71"/>
        <v>9.4341493654586106E-3</v>
      </c>
      <c r="T1114" s="30">
        <f t="shared" si="71"/>
        <v>8.9846277505711836E-3</v>
      </c>
      <c r="U1114" s="63">
        <f t="shared" si="70"/>
        <v>-7.7319705231894114E-3</v>
      </c>
    </row>
    <row r="1115" spans="1:21">
      <c r="A1115" s="28">
        <v>44945</v>
      </c>
      <c r="B1115" s="29">
        <v>1922.099976</v>
      </c>
      <c r="C1115" s="29">
        <v>23.753999709999999</v>
      </c>
      <c r="D1115" s="29">
        <v>80.33000183</v>
      </c>
      <c r="E1115" s="29">
        <v>11295.66992</v>
      </c>
      <c r="F1115" s="29">
        <v>3898.8500979999999</v>
      </c>
      <c r="G1115" s="29">
        <v>33044.558590000001</v>
      </c>
      <c r="H1115" s="29">
        <v>10.447885510000001</v>
      </c>
      <c r="I1115" s="29">
        <v>8.4641351700000005</v>
      </c>
      <c r="J1115" s="29">
        <v>11.118985179999999</v>
      </c>
      <c r="L1115" s="30">
        <f t="shared" si="71"/>
        <v>9.2942405886042856E-3</v>
      </c>
      <c r="M1115" s="30">
        <f t="shared" si="71"/>
        <v>9.5197200778320834E-3</v>
      </c>
      <c r="N1115" s="30">
        <f t="shared" si="71"/>
        <v>1.0694494640997698E-2</v>
      </c>
      <c r="O1115" s="30">
        <f t="shared" si="71"/>
        <v>-1.0045329224602217E-2</v>
      </c>
      <c r="P1115" s="30">
        <f t="shared" si="71"/>
        <v>-7.6383501022425637E-3</v>
      </c>
      <c r="Q1115" s="30">
        <f t="shared" si="71"/>
        <v>-7.5803419553759355E-3</v>
      </c>
      <c r="R1115" s="30">
        <f t="shared" si="71"/>
        <v>-2.8435438124333468E-3</v>
      </c>
      <c r="S1115" s="30">
        <f t="shared" si="71"/>
        <v>-3.5048539823760994E-3</v>
      </c>
      <c r="T1115" s="30">
        <f t="shared" si="71"/>
        <v>-2.6714376761626246E-3</v>
      </c>
      <c r="U1115" s="63">
        <f t="shared" si="70"/>
        <v>-1.7900376120707346E-3</v>
      </c>
    </row>
    <row r="1116" spans="1:21">
      <c r="A1116" s="28">
        <v>44946</v>
      </c>
      <c r="B1116" s="29">
        <v>1926.400024</v>
      </c>
      <c r="C1116" s="29">
        <v>23.829999919999999</v>
      </c>
      <c r="D1116" s="29">
        <v>81.309997559999999</v>
      </c>
      <c r="E1116" s="29">
        <v>11619.030269999999</v>
      </c>
      <c r="F1116" s="29">
        <v>3972.610107</v>
      </c>
      <c r="G1116" s="29">
        <v>33375.488279999998</v>
      </c>
      <c r="H1116" s="29">
        <v>10.398227690000001</v>
      </c>
      <c r="I1116" s="29">
        <v>8.4244451520000005</v>
      </c>
      <c r="J1116" s="29">
        <v>11.06934738</v>
      </c>
      <c r="L1116" s="30">
        <f t="shared" si="71"/>
        <v>2.2371614659444372E-3</v>
      </c>
      <c r="M1116" s="30">
        <f t="shared" si="71"/>
        <v>3.1994700230633111E-3</v>
      </c>
      <c r="N1116" s="30">
        <f t="shared" si="71"/>
        <v>1.2199622901465146E-2</v>
      </c>
      <c r="O1116" s="30">
        <f t="shared" si="71"/>
        <v>2.8626929813827084E-2</v>
      </c>
      <c r="P1116" s="30">
        <f t="shared" si="71"/>
        <v>1.8918400847941497E-2</v>
      </c>
      <c r="Q1116" s="30">
        <f t="shared" si="71"/>
        <v>1.0014650039844808E-2</v>
      </c>
      <c r="R1116" s="30">
        <f t="shared" si="71"/>
        <v>-4.7529062174801462E-3</v>
      </c>
      <c r="S1116" s="30">
        <f t="shared" si="71"/>
        <v>-4.6891994519033808E-3</v>
      </c>
      <c r="T1116" s="30">
        <f t="shared" si="71"/>
        <v>-4.4642383451759526E-3</v>
      </c>
      <c r="U1116" s="63">
        <f t="shared" si="70"/>
        <v>9.7910002924706252E-3</v>
      </c>
    </row>
    <row r="1117" spans="1:21">
      <c r="A1117" s="28">
        <v>44949</v>
      </c>
      <c r="B1117" s="29">
        <v>1927.099976</v>
      </c>
      <c r="C1117" s="29">
        <v>23.451999659999998</v>
      </c>
      <c r="D1117" s="29">
        <v>81.620002749999998</v>
      </c>
      <c r="E1117" s="29">
        <v>11872.54004</v>
      </c>
      <c r="F1117" s="29">
        <v>4019.8100589999999</v>
      </c>
      <c r="G1117" s="29">
        <v>33629.558590000001</v>
      </c>
      <c r="H1117" s="29">
        <v>10.36843204</v>
      </c>
      <c r="I1117" s="29">
        <v>8.4045991900000008</v>
      </c>
      <c r="J1117" s="29">
        <v>11.059419630000001</v>
      </c>
      <c r="L1117" s="30">
        <f t="shared" si="71"/>
        <v>3.6334717155295237E-4</v>
      </c>
      <c r="M1117" s="30">
        <f t="shared" si="71"/>
        <v>-1.5862369335668869E-2</v>
      </c>
      <c r="N1117" s="30">
        <f t="shared" si="71"/>
        <v>3.8126331238816924E-3</v>
      </c>
      <c r="O1117" s="30">
        <f t="shared" si="71"/>
        <v>2.1818496389888642E-2</v>
      </c>
      <c r="P1117" s="30">
        <f t="shared" si="71"/>
        <v>1.1881345193385684E-2</v>
      </c>
      <c r="Q1117" s="30">
        <f t="shared" si="71"/>
        <v>7.6124821865828363E-3</v>
      </c>
      <c r="R1117" s="30">
        <f t="shared" si="71"/>
        <v>-2.8654546609567788E-3</v>
      </c>
      <c r="S1117" s="30">
        <f t="shared" si="71"/>
        <v>-2.3557589422121827E-3</v>
      </c>
      <c r="T1117" s="30">
        <f t="shared" si="71"/>
        <v>-8.9686859208493175E-4</v>
      </c>
      <c r="U1117" s="63">
        <f t="shared" si="70"/>
        <v>3.835637833481662E-3</v>
      </c>
    </row>
    <row r="1118" spans="1:21">
      <c r="A1118" s="28">
        <v>44950</v>
      </c>
      <c r="B1118" s="29">
        <v>1933.900024</v>
      </c>
      <c r="C1118" s="29">
        <v>23.649000170000001</v>
      </c>
      <c r="D1118" s="29">
        <v>80.129997250000002</v>
      </c>
      <c r="E1118" s="29">
        <v>11846.639649999999</v>
      </c>
      <c r="F1118" s="29">
        <v>4016.9499510000001</v>
      </c>
      <c r="G1118" s="29">
        <v>33733.960939999997</v>
      </c>
      <c r="H1118" s="29">
        <v>10.418089869999999</v>
      </c>
      <c r="I1118" s="29">
        <v>8.4442901609999996</v>
      </c>
      <c r="J1118" s="29">
        <v>11.099130629999999</v>
      </c>
      <c r="L1118" s="30">
        <f t="shared" si="71"/>
        <v>3.5286430827083937E-3</v>
      </c>
      <c r="M1118" s="30">
        <f t="shared" si="71"/>
        <v>8.4001583172461647E-3</v>
      </c>
      <c r="N1118" s="30">
        <f t="shared" si="71"/>
        <v>-1.8255396346455011E-2</v>
      </c>
      <c r="O1118" s="30">
        <f t="shared" si="71"/>
        <v>-2.1815373890287093E-3</v>
      </c>
      <c r="P1118" s="30">
        <f t="shared" si="71"/>
        <v>-7.1150326956281873E-4</v>
      </c>
      <c r="Q1118" s="30">
        <f t="shared" si="71"/>
        <v>3.1044817231422606E-3</v>
      </c>
      <c r="R1118" s="30">
        <f t="shared" si="71"/>
        <v>4.7893287826381581E-3</v>
      </c>
      <c r="S1118" s="30">
        <f t="shared" si="71"/>
        <v>4.7225299032966905E-3</v>
      </c>
      <c r="T1118" s="30">
        <f t="shared" si="71"/>
        <v>3.590694749684431E-3</v>
      </c>
      <c r="U1118" s="63">
        <f t="shared" si="70"/>
        <v>8.2574180325172258E-4</v>
      </c>
    </row>
    <row r="1119" spans="1:21">
      <c r="A1119" s="28">
        <v>44951</v>
      </c>
      <c r="B1119" s="29">
        <v>1941.1999510000001</v>
      </c>
      <c r="C1119" s="29">
        <v>23.8390007</v>
      </c>
      <c r="D1119" s="29">
        <v>80.150001529999997</v>
      </c>
      <c r="E1119" s="29">
        <v>11814.690430000001</v>
      </c>
      <c r="F1119" s="29">
        <v>4016.219971</v>
      </c>
      <c r="G1119" s="29">
        <v>33743.839840000001</v>
      </c>
      <c r="H1119" s="29">
        <v>10.437953950000001</v>
      </c>
      <c r="I1119" s="29">
        <v>8.4542131420000004</v>
      </c>
      <c r="J1119" s="29">
        <v>11.118985179999999</v>
      </c>
      <c r="L1119" s="30">
        <f t="shared" si="71"/>
        <v>3.7747178806590842E-3</v>
      </c>
      <c r="M1119" s="30">
        <f t="shared" si="71"/>
        <v>8.0341887028705372E-3</v>
      </c>
      <c r="N1119" s="30">
        <f t="shared" si="71"/>
        <v>2.496478308564587E-4</v>
      </c>
      <c r="O1119" s="30">
        <f t="shared" si="71"/>
        <v>-2.6969014795683588E-3</v>
      </c>
      <c r="P1119" s="30">
        <f t="shared" si="71"/>
        <v>-1.8172494278112516E-4</v>
      </c>
      <c r="Q1119" s="30">
        <f t="shared" si="71"/>
        <v>2.9284731839163136E-4</v>
      </c>
      <c r="R1119" s="30">
        <f t="shared" si="71"/>
        <v>1.9066911735137193E-3</v>
      </c>
      <c r="S1119" s="30">
        <f t="shared" si="71"/>
        <v>1.1751113250264567E-3</v>
      </c>
      <c r="T1119" s="30">
        <f t="shared" si="71"/>
        <v>1.7888383029149857E-3</v>
      </c>
      <c r="U1119" s="63">
        <f t="shared" si="70"/>
        <v>1.4845453751296128E-3</v>
      </c>
    </row>
    <row r="1120" spans="1:21">
      <c r="A1120" s="28">
        <v>44952</v>
      </c>
      <c r="B1120" s="29">
        <v>1929.099976</v>
      </c>
      <c r="C1120" s="29">
        <v>23.93000031</v>
      </c>
      <c r="D1120" s="29">
        <v>81.010002139999997</v>
      </c>
      <c r="E1120" s="29">
        <v>12051.48047</v>
      </c>
      <c r="F1120" s="29">
        <v>4060.429932</v>
      </c>
      <c r="G1120" s="29">
        <v>33949.410159999999</v>
      </c>
      <c r="H1120" s="29">
        <v>10.4081583</v>
      </c>
      <c r="I1120" s="29">
        <v>8.4442901609999996</v>
      </c>
      <c r="J1120" s="29">
        <v>11.099130629999999</v>
      </c>
      <c r="L1120" s="30">
        <f t="shared" si="71"/>
        <v>-6.2332450574021925E-3</v>
      </c>
      <c r="M1120" s="30">
        <f t="shared" si="71"/>
        <v>3.8172577426871523E-3</v>
      </c>
      <c r="N1120" s="30">
        <f t="shared" si="71"/>
        <v>1.0729888878144411E-2</v>
      </c>
      <c r="O1120" s="30">
        <f t="shared" si="71"/>
        <v>2.0042001218985694E-2</v>
      </c>
      <c r="P1120" s="30">
        <f t="shared" si="71"/>
        <v>1.1007853483929519E-2</v>
      </c>
      <c r="Q1120" s="30">
        <f t="shared" si="71"/>
        <v>6.0920843915432954E-3</v>
      </c>
      <c r="R1120" s="30">
        <f t="shared" si="71"/>
        <v>-2.8545489032359983E-3</v>
      </c>
      <c r="S1120" s="30">
        <f t="shared" si="71"/>
        <v>-1.1737320591911349E-3</v>
      </c>
      <c r="T1120" s="30">
        <f t="shared" si="71"/>
        <v>-1.7856440743991842E-3</v>
      </c>
      <c r="U1120" s="63">
        <f t="shared" si="70"/>
        <v>6.5201931438766941E-3</v>
      </c>
    </row>
    <row r="1121" spans="1:21">
      <c r="A1121" s="28">
        <v>44953</v>
      </c>
      <c r="B1121" s="29">
        <v>1928.599976</v>
      </c>
      <c r="C1121" s="29">
        <v>23.527000430000001</v>
      </c>
      <c r="D1121" s="29">
        <v>79.680000309999997</v>
      </c>
      <c r="E1121" s="29">
        <v>12166.599609999999</v>
      </c>
      <c r="F1121" s="29">
        <v>4070.5600589999999</v>
      </c>
      <c r="G1121" s="29">
        <v>33978.078130000002</v>
      </c>
      <c r="H1121" s="29">
        <v>10.4081583</v>
      </c>
      <c r="I1121" s="29">
        <v>8.4442901609999996</v>
      </c>
      <c r="J1121" s="29">
        <v>11.08920288</v>
      </c>
      <c r="L1121" s="30">
        <f t="shared" si="71"/>
        <v>-2.5918822571169287E-4</v>
      </c>
      <c r="M1121" s="30">
        <f t="shared" si="71"/>
        <v>-1.6840780391949695E-2</v>
      </c>
      <c r="N1121" s="30">
        <f t="shared" si="71"/>
        <v>-1.6417748362745566E-2</v>
      </c>
      <c r="O1121" s="30">
        <f t="shared" si="71"/>
        <v>9.5522820027438282E-3</v>
      </c>
      <c r="P1121" s="30">
        <f t="shared" si="71"/>
        <v>2.4948409822724837E-3</v>
      </c>
      <c r="Q1121" s="30">
        <f t="shared" si="71"/>
        <v>8.4443204947870498E-4</v>
      </c>
      <c r="R1121" s="30">
        <f t="shared" si="71"/>
        <v>0</v>
      </c>
      <c r="S1121" s="30">
        <f t="shared" si="71"/>
        <v>0</v>
      </c>
      <c r="T1121" s="30">
        <f t="shared" si="71"/>
        <v>-8.9446194760200992E-4</v>
      </c>
      <c r="U1121" s="63">
        <f t="shared" si="70"/>
        <v>-2.0018492770596773E-3</v>
      </c>
    </row>
    <row r="1122" spans="1:21">
      <c r="A1122" s="28">
        <v>44956</v>
      </c>
      <c r="B1122" s="29">
        <v>1922.900024</v>
      </c>
      <c r="C1122" s="29">
        <v>23.645000459999999</v>
      </c>
      <c r="D1122" s="29">
        <v>77.900001529999997</v>
      </c>
      <c r="E1122" s="29">
        <v>11912.389649999999</v>
      </c>
      <c r="F1122" s="29">
        <v>4017.7700199999999</v>
      </c>
      <c r="G1122" s="29">
        <v>33717.089840000001</v>
      </c>
      <c r="H1122" s="29">
        <v>10.36843204</v>
      </c>
      <c r="I1122" s="29">
        <v>8.4145212170000008</v>
      </c>
      <c r="J1122" s="29">
        <v>11.06934738</v>
      </c>
      <c r="L1122" s="30">
        <f t="shared" si="71"/>
        <v>-2.9554869184545973E-3</v>
      </c>
      <c r="M1122" s="30">
        <f t="shared" si="71"/>
        <v>5.0155152736568454E-3</v>
      </c>
      <c r="N1122" s="30">
        <f t="shared" si="71"/>
        <v>-2.2339342031561293E-2</v>
      </c>
      <c r="O1122" s="30">
        <f t="shared" si="71"/>
        <v>-2.0894084472958152E-2</v>
      </c>
      <c r="P1122" s="30">
        <f t="shared" si="71"/>
        <v>-1.2968740968034909E-2</v>
      </c>
      <c r="Q1122" s="30">
        <f t="shared" si="71"/>
        <v>-7.6810786355090421E-3</v>
      </c>
      <c r="R1122" s="30">
        <f t="shared" si="71"/>
        <v>-3.8168385659546056E-3</v>
      </c>
      <c r="S1122" s="30">
        <f t="shared" si="71"/>
        <v>-3.5253340935021971E-3</v>
      </c>
      <c r="T1122" s="30">
        <f t="shared" si="71"/>
        <v>-1.7905254520873548E-3</v>
      </c>
      <c r="U1122" s="63">
        <f t="shared" si="70"/>
        <v>-8.5195048139830327E-3</v>
      </c>
    </row>
    <row r="1123" spans="1:21">
      <c r="A1123" s="28">
        <v>44957</v>
      </c>
      <c r="B1123" s="29">
        <v>1929.5</v>
      </c>
      <c r="C1123" s="29">
        <v>23.747999190000002</v>
      </c>
      <c r="D1123" s="29">
        <v>78.870002749999998</v>
      </c>
      <c r="E1123" s="29">
        <v>12101.929690000001</v>
      </c>
      <c r="F1123" s="29">
        <v>4076.6000979999999</v>
      </c>
      <c r="G1123" s="29">
        <v>34086.039060000003</v>
      </c>
      <c r="H1123" s="29">
        <v>10.432140349999999</v>
      </c>
      <c r="I1123" s="29">
        <v>8.4662551879999999</v>
      </c>
      <c r="J1123" s="29">
        <v>11.106167790000001</v>
      </c>
      <c r="L1123" s="30">
        <f t="shared" si="71"/>
        <v>3.4323032490637395E-3</v>
      </c>
      <c r="M1123" s="30">
        <f t="shared" si="71"/>
        <v>4.3560468596415269E-3</v>
      </c>
      <c r="N1123" s="30">
        <f t="shared" si="71"/>
        <v>1.2451876777261006E-2</v>
      </c>
      <c r="O1123" s="30">
        <f t="shared" si="71"/>
        <v>1.5911168587404489E-2</v>
      </c>
      <c r="P1123" s="30">
        <f t="shared" si="71"/>
        <v>1.4642470252690165E-2</v>
      </c>
      <c r="Q1123" s="30">
        <f t="shared" si="71"/>
        <v>1.0942498944920942E-2</v>
      </c>
      <c r="R1123" s="30">
        <f t="shared" si="71"/>
        <v>6.1444497831708578E-3</v>
      </c>
      <c r="S1123" s="30">
        <f t="shared" si="71"/>
        <v>6.1481776165088764E-3</v>
      </c>
      <c r="T1123" s="30">
        <f t="shared" si="71"/>
        <v>3.3263397322345067E-3</v>
      </c>
      <c r="U1123" s="63">
        <f t="shared" si="70"/>
        <v>9.8277053578577009E-3</v>
      </c>
    </row>
    <row r="1124" spans="1:21">
      <c r="A1124" s="28">
        <v>44958</v>
      </c>
      <c r="B1124" s="29">
        <v>1927.8000489999999</v>
      </c>
      <c r="C1124" s="29">
        <v>23.52099991</v>
      </c>
      <c r="D1124" s="29">
        <v>76.410003660000001</v>
      </c>
      <c r="E1124" s="29">
        <v>12363.099609999999</v>
      </c>
      <c r="F1124" s="29">
        <v>4119.2099609999996</v>
      </c>
      <c r="G1124" s="29">
        <v>34092.960939999997</v>
      </c>
      <c r="H1124" s="29">
        <v>10.50182152</v>
      </c>
      <c r="I1124" s="29">
        <v>8.5259456629999999</v>
      </c>
      <c r="J1124" s="29">
        <v>11.17583084</v>
      </c>
      <c r="L1124" s="30">
        <f t="shared" si="71"/>
        <v>-8.8103187354238166E-4</v>
      </c>
      <c r="M1124" s="30">
        <f t="shared" si="71"/>
        <v>-9.5586696876589494E-3</v>
      </c>
      <c r="N1124" s="30">
        <f t="shared" si="71"/>
        <v>-3.1190554129909676E-2</v>
      </c>
      <c r="O1124" s="30">
        <f t="shared" si="71"/>
        <v>2.15808492273597E-2</v>
      </c>
      <c r="P1124" s="30">
        <f t="shared" si="71"/>
        <v>1.0452303874717739E-2</v>
      </c>
      <c r="Q1124" s="30">
        <f t="shared" si="71"/>
        <v>2.0307082286130651E-4</v>
      </c>
      <c r="R1124" s="30">
        <f t="shared" si="71"/>
        <v>6.6794701434400583E-3</v>
      </c>
      <c r="S1124" s="30">
        <f t="shared" si="71"/>
        <v>7.0503987506311816E-3</v>
      </c>
      <c r="T1124" s="30">
        <f t="shared" si="71"/>
        <v>6.2724651128289732E-3</v>
      </c>
      <c r="U1124" s="63">
        <f t="shared" si="70"/>
        <v>3.6548823186485875E-3</v>
      </c>
    </row>
    <row r="1125" spans="1:21">
      <c r="A1125" s="28">
        <v>44959</v>
      </c>
      <c r="B1125" s="29">
        <v>1916.3000489999999</v>
      </c>
      <c r="C1125" s="29">
        <v>23.5340004</v>
      </c>
      <c r="D1125" s="29">
        <v>75.879997250000002</v>
      </c>
      <c r="E1125" s="29">
        <v>12803.139649999999</v>
      </c>
      <c r="F1125" s="29">
        <v>4179.7597660000001</v>
      </c>
      <c r="G1125" s="29">
        <v>34053.941409999999</v>
      </c>
      <c r="H1125" s="29">
        <v>10.51177597</v>
      </c>
      <c r="I1125" s="29">
        <v>8.5358953480000004</v>
      </c>
      <c r="J1125" s="29">
        <v>11.185781479999999</v>
      </c>
      <c r="L1125" s="30">
        <f t="shared" si="71"/>
        <v>-5.9653489509793323E-3</v>
      </c>
      <c r="M1125" s="30">
        <f t="shared" si="71"/>
        <v>5.5271842395065995E-4</v>
      </c>
      <c r="N1125" s="30">
        <f t="shared" si="71"/>
        <v>-6.9363484440906342E-3</v>
      </c>
      <c r="O1125" s="30">
        <f t="shared" si="71"/>
        <v>3.5593019055194741E-2</v>
      </c>
      <c r="P1125" s="30">
        <f t="shared" si="71"/>
        <v>1.4699373319951192E-2</v>
      </c>
      <c r="Q1125" s="30">
        <f t="shared" si="71"/>
        <v>-1.1445039950818137E-3</v>
      </c>
      <c r="R1125" s="30">
        <f t="shared" si="71"/>
        <v>9.4787842099997022E-4</v>
      </c>
      <c r="S1125" s="30">
        <f t="shared" si="71"/>
        <v>1.1669890230685542E-3</v>
      </c>
      <c r="T1125" s="30">
        <f t="shared" si="71"/>
        <v>8.903713864731877E-4</v>
      </c>
      <c r="U1125" s="63">
        <f t="shared" si="70"/>
        <v>8.1504251750548623E-3</v>
      </c>
    </row>
    <row r="1126" spans="1:21">
      <c r="A1126" s="28">
        <v>44960</v>
      </c>
      <c r="B1126" s="29">
        <v>1862.900024</v>
      </c>
      <c r="C1126" s="29">
        <v>22.333999630000001</v>
      </c>
      <c r="D1126" s="29">
        <v>73.38999939</v>
      </c>
      <c r="E1126" s="29">
        <v>12573.360350000001</v>
      </c>
      <c r="F1126" s="29">
        <v>4136.4799800000001</v>
      </c>
      <c r="G1126" s="29">
        <v>33926.011720000002</v>
      </c>
      <c r="H1126" s="29">
        <v>10.422186849999999</v>
      </c>
      <c r="I1126" s="29">
        <v>8.4662551879999999</v>
      </c>
      <c r="J1126" s="29">
        <v>11.106167790000001</v>
      </c>
      <c r="L1126" s="30">
        <f t="shared" si="71"/>
        <v>-2.7866212823960512E-2</v>
      </c>
      <c r="M1126" s="30">
        <f t="shared" si="71"/>
        <v>-5.0990088790854204E-2</v>
      </c>
      <c r="N1126" s="30">
        <f t="shared" si="71"/>
        <v>-3.2814943993688672E-2</v>
      </c>
      <c r="O1126" s="30">
        <f t="shared" si="71"/>
        <v>-1.7947105653885354E-2</v>
      </c>
      <c r="P1126" s="30">
        <f t="shared" si="71"/>
        <v>-1.0354610892247207E-2</v>
      </c>
      <c r="Q1126" s="30">
        <f t="shared" si="71"/>
        <v>-3.7566779263451533E-3</v>
      </c>
      <c r="R1126" s="30">
        <f t="shared" si="71"/>
        <v>-8.5227387128191667E-3</v>
      </c>
      <c r="S1126" s="30">
        <f t="shared" si="71"/>
        <v>-8.1585067717960813E-3</v>
      </c>
      <c r="T1126" s="30">
        <f t="shared" si="71"/>
        <v>-7.1174007951385621E-3</v>
      </c>
      <c r="U1126" s="63">
        <f t="shared" si="70"/>
        <v>-1.9211820212071337E-2</v>
      </c>
    </row>
    <row r="1127" spans="1:21">
      <c r="A1127" s="28">
        <v>44963</v>
      </c>
      <c r="B1127" s="29">
        <v>1866.1999510000001</v>
      </c>
      <c r="C1127" s="29">
        <v>22.17700005</v>
      </c>
      <c r="D1127" s="29">
        <v>74.11000061</v>
      </c>
      <c r="E1127" s="29">
        <v>12464.509770000001</v>
      </c>
      <c r="F1127" s="29">
        <v>4111.080078</v>
      </c>
      <c r="G1127" s="29">
        <v>33891.019529999998</v>
      </c>
      <c r="H1127" s="29">
        <v>10.35250568</v>
      </c>
      <c r="I1127" s="29">
        <v>8.4165115359999998</v>
      </c>
      <c r="J1127" s="29">
        <v>11.036505699999999</v>
      </c>
      <c r="L1127" s="30">
        <f t="shared" si="71"/>
        <v>1.7713924298066175E-3</v>
      </c>
      <c r="M1127" s="30">
        <f t="shared" si="71"/>
        <v>-7.02962221729031E-3</v>
      </c>
      <c r="N1127" s="30">
        <f t="shared" si="71"/>
        <v>9.8106176043668558E-3</v>
      </c>
      <c r="O1127" s="30">
        <f t="shared" si="71"/>
        <v>-8.6572385559601228E-3</v>
      </c>
      <c r="P1127" s="30">
        <f t="shared" si="71"/>
        <v>-6.140462935348312E-3</v>
      </c>
      <c r="Q1127" s="30">
        <f t="shared" si="71"/>
        <v>-1.0314265728846861E-3</v>
      </c>
      <c r="R1127" s="30">
        <f t="shared" si="71"/>
        <v>-6.685849237101249E-3</v>
      </c>
      <c r="S1127" s="30">
        <f t="shared" si="71"/>
        <v>-5.8755200375375516E-3</v>
      </c>
      <c r="T1127" s="30">
        <f t="shared" si="71"/>
        <v>-6.2723786743726917E-3</v>
      </c>
      <c r="U1127" s="63">
        <f t="shared" si="70"/>
        <v>-4.7807000153284943E-3</v>
      </c>
    </row>
    <row r="1128" spans="1:21">
      <c r="A1128" s="28">
        <v>44964</v>
      </c>
      <c r="B1128" s="29">
        <v>1871.6999510000001</v>
      </c>
      <c r="C1128" s="29">
        <v>22.117000579999999</v>
      </c>
      <c r="D1128" s="29">
        <v>77.13999939</v>
      </c>
      <c r="E1128" s="29">
        <v>12728.26953</v>
      </c>
      <c r="F1128" s="29">
        <v>4164</v>
      </c>
      <c r="G1128" s="29">
        <v>34156.691409999999</v>
      </c>
      <c r="H1128" s="29">
        <v>10.33259773</v>
      </c>
      <c r="I1128" s="29">
        <v>8.3966140750000005</v>
      </c>
      <c r="J1128" s="29">
        <v>11.01660156</v>
      </c>
      <c r="L1128" s="30">
        <f t="shared" si="71"/>
        <v>2.9471654401516112E-3</v>
      </c>
      <c r="M1128" s="30">
        <f t="shared" si="71"/>
        <v>-2.7054817993744651E-3</v>
      </c>
      <c r="N1128" s="30">
        <f t="shared" si="71"/>
        <v>4.088515389367231E-2</v>
      </c>
      <c r="O1128" s="30">
        <f t="shared" si="71"/>
        <v>2.1160861106212625E-2</v>
      </c>
      <c r="P1128" s="30">
        <f t="shared" si="71"/>
        <v>1.2872510628823663E-2</v>
      </c>
      <c r="Q1128" s="30">
        <f t="shared" si="71"/>
        <v>7.8390052493060303E-3</v>
      </c>
      <c r="R1128" s="30">
        <f t="shared" si="71"/>
        <v>-1.9230078799629124E-3</v>
      </c>
      <c r="S1128" s="30">
        <f t="shared" si="71"/>
        <v>-2.3640983458398379E-3</v>
      </c>
      <c r="T1128" s="30">
        <f t="shared" si="71"/>
        <v>-1.8034820568252341E-3</v>
      </c>
      <c r="U1128" s="63">
        <f t="shared" si="70"/>
        <v>8.9646884774132237E-3</v>
      </c>
    </row>
    <row r="1129" spans="1:21">
      <c r="A1129" s="28">
        <v>44965</v>
      </c>
      <c r="B1129" s="29">
        <v>1877.400024</v>
      </c>
      <c r="C1129" s="29">
        <v>22.367000579999999</v>
      </c>
      <c r="D1129" s="29">
        <v>78.47000122</v>
      </c>
      <c r="E1129" s="29">
        <v>12495.37988</v>
      </c>
      <c r="F1129" s="29">
        <v>4117.8598629999997</v>
      </c>
      <c r="G1129" s="29">
        <v>33949.011720000002</v>
      </c>
      <c r="H1129" s="29">
        <v>10.35250568</v>
      </c>
      <c r="I1129" s="29">
        <v>8.4165115359999998</v>
      </c>
      <c r="J1129" s="29">
        <v>11.036505699999999</v>
      </c>
      <c r="L1129" s="30">
        <f t="shared" si="71"/>
        <v>3.0453989150101002E-3</v>
      </c>
      <c r="M1129" s="30">
        <f t="shared" si="71"/>
        <v>1.1303521881085077E-2</v>
      </c>
      <c r="N1129" s="30">
        <f t="shared" si="71"/>
        <v>1.7241403169785618E-2</v>
      </c>
      <c r="O1129" s="30">
        <f t="shared" si="71"/>
        <v>-1.8297039471947718E-2</v>
      </c>
      <c r="P1129" s="30">
        <f t="shared" si="71"/>
        <v>-1.1080724543708009E-2</v>
      </c>
      <c r="Q1129" s="30">
        <f t="shared" si="71"/>
        <v>-6.0802051201948037E-3</v>
      </c>
      <c r="R1129" s="30">
        <f t="shared" si="71"/>
        <v>1.9267129641753478E-3</v>
      </c>
      <c r="S1129" s="30">
        <f t="shared" si="71"/>
        <v>2.369700550992615E-3</v>
      </c>
      <c r="T1129" s="30">
        <f t="shared" si="71"/>
        <v>1.8067404808637111E-3</v>
      </c>
      <c r="U1129" s="63">
        <f t="shared" si="70"/>
        <v>-1.9890904686415741E-3</v>
      </c>
    </row>
    <row r="1130" spans="1:21">
      <c r="A1130" s="28">
        <v>44966</v>
      </c>
      <c r="B1130" s="29">
        <v>1866.1999510000001</v>
      </c>
      <c r="C1130" s="29">
        <v>22.097000120000001</v>
      </c>
      <c r="D1130" s="29">
        <v>78.059997559999999</v>
      </c>
      <c r="E1130" s="29">
        <v>12381.16992</v>
      </c>
      <c r="F1130" s="29">
        <v>4081.5</v>
      </c>
      <c r="G1130" s="29">
        <v>33699.878909999999</v>
      </c>
      <c r="H1130" s="29">
        <v>10.312688830000001</v>
      </c>
      <c r="I1130" s="29">
        <v>8.3866662979999997</v>
      </c>
      <c r="J1130" s="29">
        <v>10.99669838</v>
      </c>
      <c r="L1130" s="30">
        <f t="shared" si="71"/>
        <v>-5.965736048163528E-3</v>
      </c>
      <c r="M1130" s="30">
        <f t="shared" si="71"/>
        <v>-1.2071375374372972E-2</v>
      </c>
      <c r="N1130" s="30">
        <f t="shared" si="71"/>
        <v>-5.2249732843829833E-3</v>
      </c>
      <c r="O1130" s="30">
        <f t="shared" si="71"/>
        <v>-9.1401750964613671E-3</v>
      </c>
      <c r="P1130" s="30">
        <f t="shared" si="71"/>
        <v>-8.8297961100382016E-3</v>
      </c>
      <c r="Q1130" s="30">
        <f t="shared" si="71"/>
        <v>-7.3384407197112367E-3</v>
      </c>
      <c r="R1130" s="30">
        <f t="shared" si="71"/>
        <v>-3.8461075251493559E-3</v>
      </c>
      <c r="S1130" s="30">
        <f t="shared" si="71"/>
        <v>-3.5460342295430269E-3</v>
      </c>
      <c r="T1130" s="30">
        <f t="shared" si="71"/>
        <v>-3.6068771295972857E-3</v>
      </c>
      <c r="U1130" s="63">
        <f t="shared" si="70"/>
        <v>-7.5127004050469506E-3</v>
      </c>
    </row>
    <row r="1131" spans="1:21">
      <c r="A1131" s="28">
        <v>44967</v>
      </c>
      <c r="B1131" s="29">
        <v>1862.8000489999999</v>
      </c>
      <c r="C1131" s="29">
        <v>22.0340004</v>
      </c>
      <c r="D1131" s="29">
        <v>79.72000122</v>
      </c>
      <c r="E1131" s="29">
        <v>12304.91992</v>
      </c>
      <c r="F1131" s="29">
        <v>4090.459961</v>
      </c>
      <c r="G1131" s="29">
        <v>33869.269529999998</v>
      </c>
      <c r="H1131" s="29">
        <v>10.27287102</v>
      </c>
      <c r="I1131" s="29">
        <v>8.3468723300000001</v>
      </c>
      <c r="J1131" s="29">
        <v>10.956892010000001</v>
      </c>
      <c r="L1131" s="30">
        <f t="shared" si="71"/>
        <v>-1.8218315771459936E-3</v>
      </c>
      <c r="M1131" s="30">
        <f t="shared" si="71"/>
        <v>-2.8510530686461921E-3</v>
      </c>
      <c r="N1131" s="30">
        <f t="shared" si="71"/>
        <v>2.1265740608357842E-2</v>
      </c>
      <c r="O1131" s="30">
        <f t="shared" si="71"/>
        <v>-6.1585456376646031E-3</v>
      </c>
      <c r="P1131" s="30">
        <f t="shared" si="71"/>
        <v>2.1952617910081518E-3</v>
      </c>
      <c r="Q1131" s="30">
        <f t="shared" si="71"/>
        <v>5.0264459540754203E-3</v>
      </c>
      <c r="R1131" s="30">
        <f t="shared" si="71"/>
        <v>-3.8610502708245065E-3</v>
      </c>
      <c r="S1131" s="30">
        <f t="shared" si="71"/>
        <v>-4.7449089526180321E-3</v>
      </c>
      <c r="T1131" s="30">
        <f t="shared" si="71"/>
        <v>-3.6198473964145217E-3</v>
      </c>
      <c r="U1131" s="63">
        <f t="shared" si="70"/>
        <v>9.0120788266191915E-5</v>
      </c>
    </row>
    <row r="1132" spans="1:21">
      <c r="A1132" s="28">
        <v>44970</v>
      </c>
      <c r="B1132" s="29">
        <v>1851.900024</v>
      </c>
      <c r="C1132" s="29">
        <v>21.818000789999999</v>
      </c>
      <c r="D1132" s="29">
        <v>80.13999939</v>
      </c>
      <c r="E1132" s="29">
        <v>12502.309569999999</v>
      </c>
      <c r="F1132" s="29">
        <v>4137.2900390000004</v>
      </c>
      <c r="G1132" s="29">
        <v>34245.929689999997</v>
      </c>
      <c r="H1132" s="29">
        <v>10.29278088</v>
      </c>
      <c r="I1132" s="29">
        <v>8.3667688370000004</v>
      </c>
      <c r="J1132" s="29">
        <v>10.97679424</v>
      </c>
      <c r="L1132" s="30">
        <f t="shared" si="71"/>
        <v>-5.8514197515999733E-3</v>
      </c>
      <c r="M1132" s="30">
        <f t="shared" si="71"/>
        <v>-9.8030138004354672E-3</v>
      </c>
      <c r="N1132" s="30">
        <f t="shared" si="71"/>
        <v>5.268416502415052E-3</v>
      </c>
      <c r="O1132" s="30">
        <f t="shared" si="71"/>
        <v>1.6041522519717466E-2</v>
      </c>
      <c r="P1132" s="30">
        <f t="shared" si="71"/>
        <v>1.1448609312032509E-2</v>
      </c>
      <c r="Q1132" s="30">
        <f t="shared" si="71"/>
        <v>1.112100040027042E-2</v>
      </c>
      <c r="R1132" s="30">
        <f t="shared" si="71"/>
        <v>1.9381008445680248E-3</v>
      </c>
      <c r="S1132" s="30">
        <f t="shared" si="71"/>
        <v>2.383708078113278E-3</v>
      </c>
      <c r="T1132" s="30">
        <f t="shared" si="71"/>
        <v>1.8164119881656227E-3</v>
      </c>
      <c r="U1132" s="63">
        <f t="shared" si="70"/>
        <v>4.8608545861222431E-3</v>
      </c>
    </row>
    <row r="1133" spans="1:21">
      <c r="A1133" s="28">
        <v>44971</v>
      </c>
      <c r="B1133" s="29">
        <v>1854</v>
      </c>
      <c r="C1133" s="29">
        <v>21.841999049999998</v>
      </c>
      <c r="D1133" s="29">
        <v>79.059997559999999</v>
      </c>
      <c r="E1133" s="29">
        <v>12590.889649999999</v>
      </c>
      <c r="F1133" s="29">
        <v>4136.1298829999996</v>
      </c>
      <c r="G1133" s="29">
        <v>34089.269529999998</v>
      </c>
      <c r="H1133" s="29">
        <v>10.25296402</v>
      </c>
      <c r="I1133" s="29">
        <v>8.3369235990000004</v>
      </c>
      <c r="J1133" s="29">
        <v>10.93698788</v>
      </c>
      <c r="L1133" s="30">
        <f t="shared" si="71"/>
        <v>1.1339575424078596E-3</v>
      </c>
      <c r="M1133" s="30">
        <f t="shared" si="71"/>
        <v>1.0999293762514739E-3</v>
      </c>
      <c r="N1133" s="30">
        <f t="shared" si="71"/>
        <v>-1.3476439209141877E-2</v>
      </c>
      <c r="O1133" s="30">
        <f t="shared" si="71"/>
        <v>7.0850973177429832E-3</v>
      </c>
      <c r="P1133" s="30">
        <f t="shared" si="71"/>
        <v>-2.8041447156579302E-4</v>
      </c>
      <c r="Q1133" s="30">
        <f t="shared" si="71"/>
        <v>-4.5745629164725132E-3</v>
      </c>
      <c r="R1133" s="30">
        <f t="shared" si="71"/>
        <v>-3.8684258864742915E-3</v>
      </c>
      <c r="S1133" s="30">
        <f t="shared" si="71"/>
        <v>-3.5671163601432854E-3</v>
      </c>
      <c r="T1133" s="30">
        <f t="shared" si="71"/>
        <v>-3.6264103279757265E-3</v>
      </c>
      <c r="U1133" s="63">
        <f t="shared" si="70"/>
        <v>-1.1435848832432257E-3</v>
      </c>
    </row>
    <row r="1134" spans="1:21">
      <c r="A1134" s="28">
        <v>44972</v>
      </c>
      <c r="B1134" s="29">
        <v>1834.1999510000001</v>
      </c>
      <c r="C1134" s="29">
        <v>21.54599953</v>
      </c>
      <c r="D1134" s="29">
        <v>78.589996339999999</v>
      </c>
      <c r="E1134" s="29">
        <v>12687.889649999999</v>
      </c>
      <c r="F1134" s="29">
        <v>4147.6000979999999</v>
      </c>
      <c r="G1134" s="29">
        <v>34128.050779999998</v>
      </c>
      <c r="H1134" s="29">
        <v>10.23305416</v>
      </c>
      <c r="I1134" s="29">
        <v>8.3170261379999992</v>
      </c>
      <c r="J1134" s="29">
        <v>10.917084689999999</v>
      </c>
      <c r="L1134" s="30">
        <f t="shared" si="71"/>
        <v>-1.0679638079827414E-2</v>
      </c>
      <c r="M1134" s="30">
        <f t="shared" si="71"/>
        <v>-1.3551851152561967E-2</v>
      </c>
      <c r="N1134" s="30">
        <f t="shared" si="71"/>
        <v>-5.944867625923056E-3</v>
      </c>
      <c r="O1134" s="30">
        <f t="shared" si="71"/>
        <v>7.703983014416993E-3</v>
      </c>
      <c r="P1134" s="30">
        <f t="shared" si="71"/>
        <v>2.7731757281472813E-3</v>
      </c>
      <c r="Q1134" s="30">
        <f t="shared" si="71"/>
        <v>1.1376380466547875E-3</v>
      </c>
      <c r="R1134" s="30">
        <f t="shared" si="71"/>
        <v>-1.9418638318795534E-3</v>
      </c>
      <c r="S1134" s="30">
        <f t="shared" si="71"/>
        <v>-2.3866670677403778E-3</v>
      </c>
      <c r="T1134" s="30">
        <f t="shared" si="71"/>
        <v>-1.8198054362296157E-3</v>
      </c>
      <c r="U1134" s="63">
        <f t="shared" si="70"/>
        <v>-1.8702379455578432E-3</v>
      </c>
    </row>
    <row r="1135" spans="1:21">
      <c r="A1135" s="28">
        <v>44973</v>
      </c>
      <c r="B1135" s="29">
        <v>1842</v>
      </c>
      <c r="C1135" s="29">
        <v>21.684000019999999</v>
      </c>
      <c r="D1135" s="29">
        <v>78.489997860000003</v>
      </c>
      <c r="E1135" s="29">
        <v>12442.48047</v>
      </c>
      <c r="F1135" s="29">
        <v>4090.4099120000001</v>
      </c>
      <c r="G1135" s="29">
        <v>33696.851560000003</v>
      </c>
      <c r="H1135" s="29">
        <v>10.1932373</v>
      </c>
      <c r="I1135" s="29">
        <v>8.2871799470000003</v>
      </c>
      <c r="J1135" s="29">
        <v>10.887228009999999</v>
      </c>
      <c r="L1135" s="30">
        <f t="shared" si="71"/>
        <v>4.2525619934443704E-3</v>
      </c>
      <c r="M1135" s="30">
        <f t="shared" si="71"/>
        <v>6.4049240234991256E-3</v>
      </c>
      <c r="N1135" s="30">
        <f t="shared" si="71"/>
        <v>-1.272407235742512E-3</v>
      </c>
      <c r="O1135" s="30">
        <f t="shared" si="71"/>
        <v>-1.9342001449389912E-2</v>
      </c>
      <c r="P1135" s="30">
        <f t="shared" si="71"/>
        <v>-1.3788741597237753E-2</v>
      </c>
      <c r="Q1135" s="30">
        <f t="shared" si="71"/>
        <v>-1.2634745030697392E-2</v>
      </c>
      <c r="R1135" s="30">
        <f t="shared" si="71"/>
        <v>-3.8910045209806787E-3</v>
      </c>
      <c r="S1135" s="30">
        <f t="shared" si="71"/>
        <v>-3.5885652521439049E-3</v>
      </c>
      <c r="T1135" s="30">
        <f t="shared" si="71"/>
        <v>-2.7348583296553652E-3</v>
      </c>
      <c r="U1135" s="63">
        <f t="shared" si="70"/>
        <v>-6.6280723947843342E-3</v>
      </c>
    </row>
    <row r="1136" spans="1:21">
      <c r="A1136" s="28">
        <v>44974</v>
      </c>
      <c r="B1136" s="29">
        <v>1840.400024</v>
      </c>
      <c r="C1136" s="29">
        <v>21.694000240000001</v>
      </c>
      <c r="D1136" s="29">
        <v>76.339996339999999</v>
      </c>
      <c r="E1136" s="29">
        <v>12358.179690000001</v>
      </c>
      <c r="F1136" s="29">
        <v>4079.0900879999999</v>
      </c>
      <c r="G1136" s="29">
        <v>33826.691409999999</v>
      </c>
      <c r="H1136" s="29">
        <v>10.213145259999999</v>
      </c>
      <c r="I1136" s="29">
        <v>8.2971286769999999</v>
      </c>
      <c r="J1136" s="29">
        <v>10.897180560000001</v>
      </c>
      <c r="L1136" s="30">
        <f t="shared" ref="L1136:T1164" si="72">(B1136/B1135)-1</f>
        <v>-8.6860803474486659E-4</v>
      </c>
      <c r="M1136" s="30">
        <f t="shared" si="72"/>
        <v>4.6117967122194514E-4</v>
      </c>
      <c r="N1136" s="30">
        <f t="shared" si="72"/>
        <v>-2.7392044574072849E-2</v>
      </c>
      <c r="O1136" s="30">
        <f t="shared" si="72"/>
        <v>-6.7752390854264322E-3</v>
      </c>
      <c r="P1136" s="30">
        <f t="shared" si="72"/>
        <v>-2.7674057719230261E-3</v>
      </c>
      <c r="Q1136" s="30">
        <f t="shared" si="72"/>
        <v>3.8531745248902016E-3</v>
      </c>
      <c r="R1136" s="30">
        <f t="shared" si="72"/>
        <v>1.9530556793767584E-3</v>
      </c>
      <c r="S1136" s="30">
        <f t="shared" si="72"/>
        <v>1.2004964371024052E-3</v>
      </c>
      <c r="T1136" s="30">
        <f t="shared" si="72"/>
        <v>9.1414912876452981E-4</v>
      </c>
      <c r="U1136" s="63">
        <f t="shared" si="70"/>
        <v>-3.2808882811584707E-3</v>
      </c>
    </row>
    <row r="1137" spans="1:21">
      <c r="A1137" s="28">
        <v>44978</v>
      </c>
      <c r="B1137" s="29">
        <v>1833</v>
      </c>
      <c r="C1137" s="29">
        <v>21.868999479999999</v>
      </c>
      <c r="D1137" s="29">
        <v>76.160003660000001</v>
      </c>
      <c r="E1137" s="29">
        <v>12060.299800000001</v>
      </c>
      <c r="F1137" s="29">
        <v>3997.3400879999999</v>
      </c>
      <c r="G1137" s="29">
        <v>33129.589840000001</v>
      </c>
      <c r="H1137" s="29">
        <v>10.12355614</v>
      </c>
      <c r="I1137" s="29">
        <v>8.2274894710000002</v>
      </c>
      <c r="J1137" s="29">
        <v>10.80761528</v>
      </c>
      <c r="L1137" s="30">
        <f t="shared" si="72"/>
        <v>-4.0208780175499115E-3</v>
      </c>
      <c r="M1137" s="30">
        <f t="shared" si="72"/>
        <v>8.0667114439010312E-3</v>
      </c>
      <c r="N1137" s="30">
        <f t="shared" si="72"/>
        <v>-2.3577769010932892E-3</v>
      </c>
      <c r="O1137" s="30">
        <f t="shared" si="72"/>
        <v>-2.4103864604027359E-2</v>
      </c>
      <c r="P1137" s="30">
        <f t="shared" si="72"/>
        <v>-2.0041234254789986E-2</v>
      </c>
      <c r="Q1137" s="30">
        <f t="shared" si="72"/>
        <v>-2.0608032915507613E-2</v>
      </c>
      <c r="R1137" s="30">
        <f t="shared" si="72"/>
        <v>-8.7719422097007893E-3</v>
      </c>
      <c r="S1137" s="30">
        <f t="shared" si="72"/>
        <v>-8.3931693373687777E-3</v>
      </c>
      <c r="T1137" s="30">
        <f t="shared" si="72"/>
        <v>-8.2191241584786967E-3</v>
      </c>
      <c r="U1137" s="63">
        <f t="shared" si="70"/>
        <v>-1.0966639825496612E-2</v>
      </c>
    </row>
    <row r="1138" spans="1:21">
      <c r="A1138" s="28">
        <v>44979</v>
      </c>
      <c r="B1138" s="29">
        <v>1832</v>
      </c>
      <c r="C1138" s="29">
        <v>21.6609993</v>
      </c>
      <c r="D1138" s="29">
        <v>73.949996949999999</v>
      </c>
      <c r="E1138" s="29">
        <v>12066.26953</v>
      </c>
      <c r="F1138" s="29">
        <v>3991.0500489999999</v>
      </c>
      <c r="G1138" s="29">
        <v>33045.089840000001</v>
      </c>
      <c r="H1138" s="29">
        <v>10.143465040000001</v>
      </c>
      <c r="I1138" s="29">
        <v>8.2473850249999998</v>
      </c>
      <c r="J1138" s="29">
        <v>10.82751942</v>
      </c>
      <c r="L1138" s="30">
        <f t="shared" si="72"/>
        <v>-5.4555373704312515E-4</v>
      </c>
      <c r="M1138" s="30">
        <f t="shared" si="72"/>
        <v>-9.5111886664144274E-3</v>
      </c>
      <c r="N1138" s="30">
        <f t="shared" si="72"/>
        <v>-2.9017943852341466E-2</v>
      </c>
      <c r="O1138" s="30">
        <f t="shared" si="72"/>
        <v>4.949901825823666E-4</v>
      </c>
      <c r="P1138" s="30">
        <f t="shared" si="72"/>
        <v>-1.5735561302083756E-3</v>
      </c>
      <c r="Q1138" s="30">
        <f t="shared" si="72"/>
        <v>-2.5505899833984103E-3</v>
      </c>
      <c r="R1138" s="30">
        <f t="shared" si="72"/>
        <v>1.9665915538649159E-3</v>
      </c>
      <c r="S1138" s="30">
        <f t="shared" si="72"/>
        <v>2.4181804267422446E-3</v>
      </c>
      <c r="T1138" s="30">
        <f t="shared" si="72"/>
        <v>1.8416773251388463E-3</v>
      </c>
      <c r="U1138" s="63">
        <f t="shared" si="70"/>
        <v>-3.6115044229035756E-3</v>
      </c>
    </row>
    <row r="1139" spans="1:21">
      <c r="A1139" s="28">
        <v>44980</v>
      </c>
      <c r="B1139" s="29">
        <v>1818</v>
      </c>
      <c r="C1139" s="29">
        <v>21.29899979</v>
      </c>
      <c r="D1139" s="29">
        <v>75.38999939</v>
      </c>
      <c r="E1139" s="29">
        <v>12180.139649999999</v>
      </c>
      <c r="F1139" s="29">
        <v>4012.320068</v>
      </c>
      <c r="G1139" s="29">
        <v>33153.910159999999</v>
      </c>
      <c r="H1139" s="29">
        <v>10.173328400000001</v>
      </c>
      <c r="I1139" s="29">
        <v>8.2672834399999999</v>
      </c>
      <c r="J1139" s="29">
        <v>10.85737419</v>
      </c>
      <c r="L1139" s="30">
        <f t="shared" si="72"/>
        <v>-7.6419213973799582E-3</v>
      </c>
      <c r="M1139" s="30">
        <f t="shared" si="72"/>
        <v>-1.6712041073746797E-2</v>
      </c>
      <c r="N1139" s="30">
        <f t="shared" si="72"/>
        <v>1.9472650431258787E-2</v>
      </c>
      <c r="O1139" s="30">
        <f t="shared" si="72"/>
        <v>9.4370608676432877E-3</v>
      </c>
      <c r="P1139" s="30">
        <f t="shared" si="72"/>
        <v>5.3294292827346101E-3</v>
      </c>
      <c r="Q1139" s="30">
        <f t="shared" si="72"/>
        <v>3.2930859176625304E-3</v>
      </c>
      <c r="R1139" s="30">
        <f t="shared" si="72"/>
        <v>2.9440984793891456E-3</v>
      </c>
      <c r="S1139" s="30">
        <f t="shared" si="72"/>
        <v>2.4126938344315452E-3</v>
      </c>
      <c r="T1139" s="30">
        <f t="shared" si="72"/>
        <v>2.7573046828115455E-3</v>
      </c>
      <c r="U1139" s="63">
        <f t="shared" si="70"/>
        <v>2.0443930221632784E-3</v>
      </c>
    </row>
    <row r="1140" spans="1:21">
      <c r="A1140" s="28">
        <v>44981</v>
      </c>
      <c r="B1140" s="29">
        <v>1808.8000489999999</v>
      </c>
      <c r="C1140" s="29">
        <v>20.805999759999999</v>
      </c>
      <c r="D1140" s="29">
        <v>76.319999690000003</v>
      </c>
      <c r="E1140" s="29">
        <v>11969.650390000001</v>
      </c>
      <c r="F1140" s="29">
        <v>3970.040039</v>
      </c>
      <c r="G1140" s="29">
        <v>32816.921880000002</v>
      </c>
      <c r="H1140" s="29">
        <v>10.12355614</v>
      </c>
      <c r="I1140" s="29">
        <v>8.2175397869999998</v>
      </c>
      <c r="J1140" s="29">
        <v>10.80761528</v>
      </c>
      <c r="L1140" s="30">
        <f t="shared" si="72"/>
        <v>-5.0604790979098535E-3</v>
      </c>
      <c r="M1140" s="30">
        <f t="shared" si="72"/>
        <v>-2.3146628238921663E-2</v>
      </c>
      <c r="N1140" s="30">
        <f t="shared" si="72"/>
        <v>1.2335857640600523E-2</v>
      </c>
      <c r="O1140" s="30">
        <f t="shared" si="72"/>
        <v>-1.7281350300445752E-2</v>
      </c>
      <c r="P1140" s="30">
        <f t="shared" si="72"/>
        <v>-1.0537551412511115E-2</v>
      </c>
      <c r="Q1140" s="30">
        <f t="shared" si="72"/>
        <v>-1.0164360052063226E-2</v>
      </c>
      <c r="R1140" s="30">
        <f t="shared" si="72"/>
        <v>-4.892426356746804E-3</v>
      </c>
      <c r="S1140" s="30">
        <f t="shared" si="72"/>
        <v>-6.0169284579409954E-3</v>
      </c>
      <c r="T1140" s="30">
        <f t="shared" si="72"/>
        <v>-4.5829598509949943E-3</v>
      </c>
      <c r="U1140" s="63">
        <f t="shared" si="70"/>
        <v>-9.8008469132358361E-3</v>
      </c>
    </row>
    <row r="1141" spans="1:21">
      <c r="A1141" s="28">
        <v>44984</v>
      </c>
      <c r="B1141" s="29">
        <v>1817</v>
      </c>
      <c r="C1141" s="29">
        <v>20.670000080000001</v>
      </c>
      <c r="D1141" s="29">
        <v>75.680000309999997</v>
      </c>
      <c r="E1141" s="29">
        <v>12057.79004</v>
      </c>
      <c r="F1141" s="29">
        <v>3982.23999</v>
      </c>
      <c r="G1141" s="29">
        <v>32889.089840000001</v>
      </c>
      <c r="H1141" s="29">
        <v>10.13351059</v>
      </c>
      <c r="I1141" s="29">
        <v>8.2374372480000009</v>
      </c>
      <c r="J1141" s="29">
        <v>10.82751942</v>
      </c>
      <c r="L1141" s="30">
        <f t="shared" si="72"/>
        <v>4.5333650916989932E-3</v>
      </c>
      <c r="M1141" s="30">
        <f t="shared" si="72"/>
        <v>-6.5365606829170808E-3</v>
      </c>
      <c r="N1141" s="30">
        <f t="shared" si="72"/>
        <v>-8.3857361451727952E-3</v>
      </c>
      <c r="O1141" s="30">
        <f t="shared" si="72"/>
        <v>7.3635943513967739E-3</v>
      </c>
      <c r="P1141" s="30">
        <f t="shared" si="72"/>
        <v>3.0730045239224513E-3</v>
      </c>
      <c r="Q1141" s="30">
        <f t="shared" si="72"/>
        <v>2.1991081389014511E-3</v>
      </c>
      <c r="R1141" s="30">
        <f t="shared" si="72"/>
        <v>9.8329577693245795E-4</v>
      </c>
      <c r="S1141" s="30">
        <f t="shared" si="72"/>
        <v>2.4213403908890374E-3</v>
      </c>
      <c r="T1141" s="30">
        <f t="shared" si="72"/>
        <v>1.8416773251388463E-3</v>
      </c>
      <c r="U1141" s="63">
        <f t="shared" si="70"/>
        <v>1.0167884270705393E-3</v>
      </c>
    </row>
    <row r="1142" spans="1:21">
      <c r="A1142" s="28">
        <v>44985</v>
      </c>
      <c r="B1142" s="29">
        <v>1828.900024</v>
      </c>
      <c r="C1142" s="29">
        <v>20.961000439999999</v>
      </c>
      <c r="D1142" s="29">
        <v>77.050003050000001</v>
      </c>
      <c r="E1142" s="29">
        <v>12042.12012</v>
      </c>
      <c r="F1142" s="29">
        <v>3970.1499020000001</v>
      </c>
      <c r="G1142" s="29">
        <v>32656.699219999999</v>
      </c>
      <c r="H1142" s="29">
        <v>10.16543293</v>
      </c>
      <c r="I1142" s="29">
        <v>8.2573823930000003</v>
      </c>
      <c r="J1142" s="29">
        <v>10.832506179999999</v>
      </c>
      <c r="L1142" s="30">
        <f t="shared" si="72"/>
        <v>6.5492702256466639E-3</v>
      </c>
      <c r="M1142" s="30">
        <f t="shared" si="72"/>
        <v>1.407839181779047E-2</v>
      </c>
      <c r="N1142" s="30">
        <f t="shared" si="72"/>
        <v>1.8102573128808253E-2</v>
      </c>
      <c r="O1142" s="30">
        <f t="shared" si="72"/>
        <v>-1.2995681586772667E-3</v>
      </c>
      <c r="P1142" s="30">
        <f t="shared" si="72"/>
        <v>-3.0360018558298618E-3</v>
      </c>
      <c r="Q1142" s="30">
        <f t="shared" si="72"/>
        <v>-7.065887840938867E-3</v>
      </c>
      <c r="R1142" s="30">
        <f t="shared" si="72"/>
        <v>3.1501758168093197E-3</v>
      </c>
      <c r="S1142" s="30">
        <f t="shared" si="72"/>
        <v>2.4212803569267916E-3</v>
      </c>
      <c r="T1142" s="30">
        <f t="shared" si="72"/>
        <v>4.6056347779788176E-4</v>
      </c>
      <c r="U1142" s="63">
        <f t="shared" si="70"/>
        <v>3.0484151311469996E-3</v>
      </c>
    </row>
    <row r="1143" spans="1:21">
      <c r="A1143" s="28">
        <v>44986</v>
      </c>
      <c r="B1143" s="29">
        <v>1837.6999510000001</v>
      </c>
      <c r="C1143" s="29">
        <v>20.958999630000001</v>
      </c>
      <c r="D1143" s="29">
        <v>77.690002440000001</v>
      </c>
      <c r="E1143" s="29">
        <v>11938.570309999999</v>
      </c>
      <c r="F1143" s="29">
        <v>3951.389893</v>
      </c>
      <c r="G1143" s="29">
        <v>32661.839840000001</v>
      </c>
      <c r="H1143" s="29">
        <v>10.105578420000001</v>
      </c>
      <c r="I1143" s="29">
        <v>8.2075185780000002</v>
      </c>
      <c r="J1143" s="29">
        <v>10.77265835</v>
      </c>
      <c r="L1143" s="30">
        <f t="shared" si="72"/>
        <v>4.8115954314187359E-3</v>
      </c>
      <c r="M1143" s="30">
        <f t="shared" si="72"/>
        <v>-9.5453936262535066E-5</v>
      </c>
      <c r="N1143" s="30">
        <f t="shared" si="72"/>
        <v>8.3062863681482302E-3</v>
      </c>
      <c r="O1143" s="30">
        <f t="shared" si="72"/>
        <v>-8.5989683683707074E-3</v>
      </c>
      <c r="P1143" s="30">
        <f t="shared" si="72"/>
        <v>-4.7252646532438547E-3</v>
      </c>
      <c r="Q1143" s="30">
        <f t="shared" si="72"/>
        <v>1.5741394944335241E-4</v>
      </c>
      <c r="R1143" s="30">
        <f t="shared" si="72"/>
        <v>-5.8880433732790838E-3</v>
      </c>
      <c r="S1143" s="30">
        <f t="shared" si="72"/>
        <v>-6.0386951489943552E-3</v>
      </c>
      <c r="T1143" s="30">
        <f t="shared" si="72"/>
        <v>-5.5248369126708052E-3</v>
      </c>
      <c r="U1143" s="63">
        <f t="shared" si="70"/>
        <v>-3.1108999703191396E-3</v>
      </c>
    </row>
    <row r="1144" spans="1:21">
      <c r="A1144" s="28">
        <v>44987</v>
      </c>
      <c r="B1144" s="29">
        <v>1833.5</v>
      </c>
      <c r="C1144" s="29">
        <v>20.76600075</v>
      </c>
      <c r="D1144" s="29">
        <v>78.160003660000001</v>
      </c>
      <c r="E1144" s="29">
        <v>12044.87012</v>
      </c>
      <c r="F1144" s="29">
        <v>3981.3500979999999</v>
      </c>
      <c r="G1144" s="29">
        <v>33003.570310000003</v>
      </c>
      <c r="H1144" s="29">
        <v>10.06567478</v>
      </c>
      <c r="I1144" s="29">
        <v>8.1776008610000002</v>
      </c>
      <c r="J1144" s="29">
        <v>10.73275948</v>
      </c>
      <c r="L1144" s="30">
        <f t="shared" si="72"/>
        <v>-2.2854389247355389E-3</v>
      </c>
      <c r="M1144" s="30">
        <f t="shared" si="72"/>
        <v>-9.2084013267383913E-3</v>
      </c>
      <c r="N1144" s="30">
        <f t="shared" si="72"/>
        <v>6.0497001575328113E-3</v>
      </c>
      <c r="O1144" s="30">
        <f t="shared" si="72"/>
        <v>8.9038978068387564E-3</v>
      </c>
      <c r="P1144" s="30">
        <f t="shared" si="72"/>
        <v>7.5821940662132992E-3</v>
      </c>
      <c r="Q1144" s="30">
        <f t="shared" si="72"/>
        <v>1.0462682802745649E-2</v>
      </c>
      <c r="R1144" s="30">
        <f t="shared" si="72"/>
        <v>-3.9486745183261451E-3</v>
      </c>
      <c r="S1144" s="30">
        <f t="shared" si="72"/>
        <v>-3.6451598270144103E-3</v>
      </c>
      <c r="T1144" s="30">
        <f t="shared" si="72"/>
        <v>-3.7037162698100312E-3</v>
      </c>
      <c r="U1144" s="63">
        <f t="shared" si="70"/>
        <v>1.6321733185377953E-3</v>
      </c>
    </row>
    <row r="1145" spans="1:21">
      <c r="A1145" s="28">
        <v>44988</v>
      </c>
      <c r="B1145" s="29">
        <v>1847.6999510000001</v>
      </c>
      <c r="C1145" s="29">
        <v>21.093000409999998</v>
      </c>
      <c r="D1145" s="29">
        <v>79.680000309999997</v>
      </c>
      <c r="E1145" s="29">
        <v>12290.809569999999</v>
      </c>
      <c r="F1145" s="29">
        <v>4045.639893</v>
      </c>
      <c r="G1145" s="29">
        <v>33390.96875</v>
      </c>
      <c r="H1145" s="29">
        <v>10.145482060000001</v>
      </c>
      <c r="I1145" s="29">
        <v>8.2374372480000009</v>
      </c>
      <c r="J1145" s="29">
        <v>10.81255722</v>
      </c>
      <c r="L1145" s="30">
        <f t="shared" si="72"/>
        <v>7.7447237523862178E-3</v>
      </c>
      <c r="M1145" s="30">
        <f t="shared" si="72"/>
        <v>1.5746877019639838E-2</v>
      </c>
      <c r="N1145" s="30">
        <f t="shared" si="72"/>
        <v>1.9447243843693451E-2</v>
      </c>
      <c r="O1145" s="30">
        <f t="shared" si="72"/>
        <v>2.0418605393812239E-2</v>
      </c>
      <c r="P1145" s="30">
        <f t="shared" si="72"/>
        <v>1.614773717897755E-2</v>
      </c>
      <c r="Q1145" s="30">
        <f t="shared" si="72"/>
        <v>1.1738076709919332E-2</v>
      </c>
      <c r="R1145" s="30">
        <f t="shared" si="72"/>
        <v>7.9286567214127412E-3</v>
      </c>
      <c r="S1145" s="30">
        <f t="shared" si="72"/>
        <v>7.3171077944593765E-3</v>
      </c>
      <c r="T1145" s="30">
        <f t="shared" si="72"/>
        <v>7.434969557335025E-3</v>
      </c>
      <c r="U1145" s="63">
        <f t="shared" si="70"/>
        <v>1.3955111047832258E-2</v>
      </c>
    </row>
    <row r="1146" spans="1:21">
      <c r="A1146" s="28">
        <v>44991</v>
      </c>
      <c r="B1146" s="29">
        <v>1847.900024</v>
      </c>
      <c r="C1146" s="29">
        <v>20.98399925</v>
      </c>
      <c r="D1146" s="29">
        <v>80.459999080000003</v>
      </c>
      <c r="E1146" s="29">
        <v>12302.48047</v>
      </c>
      <c r="F1146" s="29">
        <v>4048.419922</v>
      </c>
      <c r="G1146" s="29">
        <v>33431.441409999999</v>
      </c>
      <c r="H1146" s="29">
        <v>10.125529289999999</v>
      </c>
      <c r="I1146" s="29">
        <v>8.2274646760000003</v>
      </c>
      <c r="J1146" s="29">
        <v>10.80258179</v>
      </c>
      <c r="L1146" s="30">
        <f t="shared" si="72"/>
        <v>1.0828219153857788E-4</v>
      </c>
      <c r="M1146" s="30">
        <f t="shared" si="72"/>
        <v>-5.1676460380819522E-3</v>
      </c>
      <c r="N1146" s="30">
        <f t="shared" si="72"/>
        <v>9.7891411516739524E-3</v>
      </c>
      <c r="O1146" s="30">
        <f t="shared" si="72"/>
        <v>9.4956316209526825E-4</v>
      </c>
      <c r="P1146" s="30">
        <f t="shared" si="72"/>
        <v>6.8716669637614025E-4</v>
      </c>
      <c r="Q1146" s="30">
        <f t="shared" si="72"/>
        <v>1.212084030955296E-3</v>
      </c>
      <c r="R1146" s="30">
        <f t="shared" si="72"/>
        <v>-1.9666655445252923E-3</v>
      </c>
      <c r="S1146" s="30">
        <f t="shared" si="72"/>
        <v>-1.2106401177650605E-3</v>
      </c>
      <c r="T1146" s="30">
        <f t="shared" si="72"/>
        <v>-9.2257823908192815E-4</v>
      </c>
      <c r="U1146" s="63">
        <f t="shared" si="70"/>
        <v>3.7657756022234666E-6</v>
      </c>
    </row>
    <row r="1147" spans="1:21">
      <c r="A1147" s="28">
        <v>44992</v>
      </c>
      <c r="B1147" s="29">
        <v>1813.900024</v>
      </c>
      <c r="C1147" s="29">
        <v>20.054000850000001</v>
      </c>
      <c r="D1147" s="29">
        <v>77.58000183</v>
      </c>
      <c r="E1147" s="29">
        <v>12152.16992</v>
      </c>
      <c r="F1147" s="29">
        <v>3986.3701169999999</v>
      </c>
      <c r="G1147" s="29">
        <v>32856.460939999997</v>
      </c>
      <c r="H1147" s="29">
        <v>10.115554810000001</v>
      </c>
      <c r="I1147" s="29">
        <v>8.2174921039999997</v>
      </c>
      <c r="J1147" s="29">
        <v>10.792607309999999</v>
      </c>
      <c r="L1147" s="30">
        <f t="shared" si="72"/>
        <v>-1.8399263790474407E-2</v>
      </c>
      <c r="M1147" s="30">
        <f t="shared" si="72"/>
        <v>-4.4319406845194198E-2</v>
      </c>
      <c r="N1147" s="30">
        <f t="shared" si="72"/>
        <v>-3.5794149675995812E-2</v>
      </c>
      <c r="O1147" s="30">
        <f t="shared" si="72"/>
        <v>-1.2217906004121426E-2</v>
      </c>
      <c r="P1147" s="30">
        <f t="shared" si="72"/>
        <v>-1.5326919192055088E-2</v>
      </c>
      <c r="Q1147" s="30">
        <f t="shared" si="72"/>
        <v>-1.7198793882336583E-2</v>
      </c>
      <c r="R1147" s="30">
        <f t="shared" si="72"/>
        <v>-9.850823314342394E-4</v>
      </c>
      <c r="S1147" s="30">
        <f t="shared" si="72"/>
        <v>-1.2121075437845352E-3</v>
      </c>
      <c r="T1147" s="30">
        <f t="shared" si="72"/>
        <v>-9.2334223372725344E-4</v>
      </c>
      <c r="U1147" s="63">
        <f t="shared" si="70"/>
        <v>-1.7385626657608289E-2</v>
      </c>
    </row>
    <row r="1148" spans="1:21">
      <c r="A1148" s="28">
        <v>44993</v>
      </c>
      <c r="B1148" s="29">
        <v>1812.6999510000001</v>
      </c>
      <c r="C1148" s="29">
        <v>20.004999160000001</v>
      </c>
      <c r="D1148" s="29">
        <v>76.660003660000001</v>
      </c>
      <c r="E1148" s="29">
        <v>12215.33008</v>
      </c>
      <c r="F1148" s="29">
        <v>3992.01001</v>
      </c>
      <c r="G1148" s="29">
        <v>32798.398439999997</v>
      </c>
      <c r="H1148" s="29">
        <v>10.105578420000001</v>
      </c>
      <c r="I1148" s="29">
        <v>8.2075185780000002</v>
      </c>
      <c r="J1148" s="29">
        <v>10.782633779999999</v>
      </c>
      <c r="L1148" s="30">
        <f t="shared" si="72"/>
        <v>-6.6159820503974842E-4</v>
      </c>
      <c r="M1148" s="30">
        <f t="shared" si="72"/>
        <v>-2.4434869813023674E-3</v>
      </c>
      <c r="N1148" s="30">
        <f t="shared" si="72"/>
        <v>-1.1858702607612459E-2</v>
      </c>
      <c r="O1148" s="30">
        <f t="shared" si="72"/>
        <v>5.1974388455555687E-3</v>
      </c>
      <c r="P1148" s="30">
        <f t="shared" si="72"/>
        <v>1.4147941195796765E-3</v>
      </c>
      <c r="Q1148" s="30">
        <f t="shared" si="72"/>
        <v>-1.7671562407780561E-3</v>
      </c>
      <c r="R1148" s="30">
        <f t="shared" si="72"/>
        <v>-9.8624249360379501E-4</v>
      </c>
      <c r="S1148" s="30">
        <f t="shared" si="72"/>
        <v>-1.2136946252914171E-3</v>
      </c>
      <c r="T1148" s="30">
        <f t="shared" si="72"/>
        <v>-9.2410755932526012E-4</v>
      </c>
      <c r="U1148" s="63">
        <f t="shared" si="70"/>
        <v>-5.954631579087699E-4</v>
      </c>
    </row>
    <row r="1149" spans="1:21">
      <c r="A1149" s="28">
        <v>44994</v>
      </c>
      <c r="B1149" s="29">
        <v>1829.3000489999999</v>
      </c>
      <c r="C1149" s="29">
        <v>20.024999619999999</v>
      </c>
      <c r="D1149" s="29">
        <v>75.72000122</v>
      </c>
      <c r="E1149" s="29">
        <v>11995.87988</v>
      </c>
      <c r="F1149" s="29">
        <v>3918.320068</v>
      </c>
      <c r="G1149" s="29">
        <v>32254.859380000002</v>
      </c>
      <c r="H1149" s="29">
        <v>10.145482060000001</v>
      </c>
      <c r="I1149" s="29">
        <v>8.2374372480000009</v>
      </c>
      <c r="J1149" s="29">
        <v>10.81255722</v>
      </c>
      <c r="L1149" s="30">
        <f t="shared" si="72"/>
        <v>9.1576645052824368E-3</v>
      </c>
      <c r="M1149" s="30">
        <f t="shared" si="72"/>
        <v>9.9977309871568387E-4</v>
      </c>
      <c r="N1149" s="30">
        <f t="shared" si="72"/>
        <v>-1.2261967063934232E-2</v>
      </c>
      <c r="O1149" s="30">
        <f t="shared" si="72"/>
        <v>-1.7965146955734146E-2</v>
      </c>
      <c r="P1149" s="30">
        <f t="shared" si="72"/>
        <v>-1.8459358021499561E-2</v>
      </c>
      <c r="Q1149" s="30">
        <f t="shared" si="72"/>
        <v>-1.6572121989258837E-2</v>
      </c>
      <c r="R1149" s="30">
        <f t="shared" si="72"/>
        <v>3.9486745183261451E-3</v>
      </c>
      <c r="S1149" s="30">
        <f t="shared" si="72"/>
        <v>3.6452759400626977E-3</v>
      </c>
      <c r="T1149" s="30">
        <f t="shared" si="72"/>
        <v>2.7751512859042204E-3</v>
      </c>
      <c r="U1149" s="63">
        <f t="shared" si="70"/>
        <v>-7.666125817947244E-3</v>
      </c>
    </row>
    <row r="1150" spans="1:21">
      <c r="A1150" s="28">
        <v>44995</v>
      </c>
      <c r="B1150" s="29">
        <v>1862</v>
      </c>
      <c r="C1150" s="29">
        <v>20.375</v>
      </c>
      <c r="D1150" s="29">
        <v>76.680000309999997</v>
      </c>
      <c r="E1150" s="29">
        <v>11830.280269999999</v>
      </c>
      <c r="F1150" s="29">
        <v>3861.5900879999999</v>
      </c>
      <c r="G1150" s="29">
        <v>31909.640630000002</v>
      </c>
      <c r="H1150" s="29">
        <v>10.265192989999999</v>
      </c>
      <c r="I1150" s="29">
        <v>8.3371639250000005</v>
      </c>
      <c r="J1150" s="29">
        <v>10.93225288</v>
      </c>
      <c r="L1150" s="30">
        <f t="shared" si="72"/>
        <v>1.7875662889680566E-2</v>
      </c>
      <c r="M1150" s="30">
        <f t="shared" si="72"/>
        <v>1.7478171617563376E-2</v>
      </c>
      <c r="N1150" s="30">
        <f t="shared" si="72"/>
        <v>1.2678276208828665E-2</v>
      </c>
      <c r="O1150" s="30">
        <f t="shared" si="72"/>
        <v>-1.3804707254204462E-2</v>
      </c>
      <c r="P1150" s="30">
        <f t="shared" si="72"/>
        <v>-1.4478138338748892E-2</v>
      </c>
      <c r="Q1150" s="30">
        <f t="shared" si="72"/>
        <v>-1.0702844676298784E-2</v>
      </c>
      <c r="R1150" s="30">
        <f t="shared" si="72"/>
        <v>1.179943242637771E-2</v>
      </c>
      <c r="S1150" s="30">
        <f t="shared" si="72"/>
        <v>1.2106517354558699E-2</v>
      </c>
      <c r="T1150" s="30">
        <f t="shared" si="72"/>
        <v>1.1070060260915726E-2</v>
      </c>
      <c r="U1150" s="63">
        <f t="shared" si="70"/>
        <v>1.2690032234437441E-3</v>
      </c>
    </row>
    <row r="1151" spans="1:21">
      <c r="A1151" s="28">
        <v>44998</v>
      </c>
      <c r="B1151" s="29">
        <v>1911.6999510000001</v>
      </c>
      <c r="C1151" s="29">
        <v>21.792999269999999</v>
      </c>
      <c r="D1151" s="29">
        <v>74.800003050000001</v>
      </c>
      <c r="E1151" s="29">
        <v>11923.16992</v>
      </c>
      <c r="F1151" s="29">
        <v>3855.76001</v>
      </c>
      <c r="G1151" s="29">
        <v>31819.140630000002</v>
      </c>
      <c r="H1151" s="29">
        <v>10.33502388</v>
      </c>
      <c r="I1151" s="29">
        <v>8.4069728850000001</v>
      </c>
      <c r="J1151" s="29">
        <v>10.99210167</v>
      </c>
      <c r="L1151" s="30">
        <f t="shared" si="72"/>
        <v>2.6691703007518885E-2</v>
      </c>
      <c r="M1151" s="30">
        <f t="shared" si="72"/>
        <v>6.9595056196319005E-2</v>
      </c>
      <c r="N1151" s="30">
        <f t="shared" si="72"/>
        <v>-2.4517439389665996E-2</v>
      </c>
      <c r="O1151" s="30">
        <f t="shared" si="72"/>
        <v>7.851855398181673E-3</v>
      </c>
      <c r="P1151" s="30">
        <f t="shared" si="72"/>
        <v>-1.5097609707765969E-3</v>
      </c>
      <c r="Q1151" s="30">
        <f t="shared" si="72"/>
        <v>-2.8361334760667045E-3</v>
      </c>
      <c r="R1151" s="30">
        <f t="shared" si="72"/>
        <v>6.8026865221166855E-3</v>
      </c>
      <c r="S1151" s="30">
        <f t="shared" si="72"/>
        <v>8.3732262707068017E-3</v>
      </c>
      <c r="T1151" s="30">
        <f t="shared" si="72"/>
        <v>5.4745156974451703E-3</v>
      </c>
      <c r="U1151" s="63">
        <f t="shared" si="70"/>
        <v>1.2375269182735588E-2</v>
      </c>
    </row>
    <row r="1152" spans="1:21">
      <c r="A1152" s="28">
        <v>44999</v>
      </c>
      <c r="B1152" s="29">
        <v>1906.1999510000001</v>
      </c>
      <c r="C1152" s="29">
        <v>21.929000850000001</v>
      </c>
      <c r="D1152" s="29">
        <v>71.33000183</v>
      </c>
      <c r="E1152" s="29">
        <v>12199.79004</v>
      </c>
      <c r="F1152" s="29">
        <v>3919.290039</v>
      </c>
      <c r="G1152" s="29">
        <v>32155.400389999999</v>
      </c>
      <c r="H1152" s="29">
        <v>10.265192989999999</v>
      </c>
      <c r="I1152" s="29">
        <v>8.3371639250000005</v>
      </c>
      <c r="J1152" s="29">
        <v>10.93225288</v>
      </c>
      <c r="L1152" s="30">
        <f t="shared" si="72"/>
        <v>-2.8770205267426574E-3</v>
      </c>
      <c r="M1152" s="30">
        <f t="shared" si="72"/>
        <v>6.2406086612969425E-3</v>
      </c>
      <c r="N1152" s="30">
        <f t="shared" si="72"/>
        <v>-4.6390388750124578E-2</v>
      </c>
      <c r="O1152" s="30">
        <f t="shared" si="72"/>
        <v>2.3200216205591095E-2</v>
      </c>
      <c r="P1152" s="30">
        <f t="shared" si="72"/>
        <v>1.6476655402626994E-2</v>
      </c>
      <c r="Q1152" s="30">
        <f t="shared" si="72"/>
        <v>1.0567845433353984E-2</v>
      </c>
      <c r="R1152" s="30">
        <f t="shared" si="72"/>
        <v>-6.7567226559712701E-3</v>
      </c>
      <c r="S1152" s="30">
        <f t="shared" si="72"/>
        <v>-8.3036975323846907E-3</v>
      </c>
      <c r="T1152" s="30">
        <f t="shared" si="72"/>
        <v>-5.4447085549929053E-3</v>
      </c>
      <c r="U1152" s="63">
        <f t="shared" si="70"/>
        <v>3.5284447446179449E-3</v>
      </c>
    </row>
    <row r="1153" spans="1:21">
      <c r="A1153" s="28">
        <v>45000</v>
      </c>
      <c r="B1153" s="29">
        <v>1926.599976</v>
      </c>
      <c r="C1153" s="29">
        <v>21.774000170000001</v>
      </c>
      <c r="D1153" s="29">
        <v>67.61000061</v>
      </c>
      <c r="E1153" s="29">
        <v>12251.320309999999</v>
      </c>
      <c r="F1153" s="29">
        <v>3891.929932</v>
      </c>
      <c r="G1153" s="29">
        <v>31874.570309999999</v>
      </c>
      <c r="H1153" s="29">
        <v>10.364952089999999</v>
      </c>
      <c r="I1153" s="29">
        <v>8.4169454570000006</v>
      </c>
      <c r="J1153" s="29">
        <v>11.0020752</v>
      </c>
      <c r="L1153" s="30">
        <f t="shared" si="72"/>
        <v>1.0701933440559586E-2</v>
      </c>
      <c r="M1153" s="30">
        <f t="shared" si="72"/>
        <v>-7.0682965019813748E-3</v>
      </c>
      <c r="N1153" s="30">
        <f t="shared" si="72"/>
        <v>-5.2151985483833818E-2</v>
      </c>
      <c r="O1153" s="30">
        <f t="shared" si="72"/>
        <v>4.2238653149804239E-3</v>
      </c>
      <c r="P1153" s="30">
        <f t="shared" si="72"/>
        <v>-6.9808834579083712E-3</v>
      </c>
      <c r="Q1153" s="30">
        <f t="shared" si="72"/>
        <v>-8.7335276996686195E-3</v>
      </c>
      <c r="R1153" s="30">
        <f t="shared" si="72"/>
        <v>9.7181904029648436E-3</v>
      </c>
      <c r="S1153" s="30">
        <f t="shared" si="72"/>
        <v>9.5693850711948691E-3</v>
      </c>
      <c r="T1153" s="30">
        <f t="shared" si="72"/>
        <v>6.3868189627900307E-3</v>
      </c>
      <c r="U1153" s="63">
        <f t="shared" si="70"/>
        <v>-4.1595322984346976E-3</v>
      </c>
    </row>
    <row r="1154" spans="1:21">
      <c r="A1154" s="28">
        <v>45001</v>
      </c>
      <c r="B1154" s="29">
        <v>1919</v>
      </c>
      <c r="C1154" s="29">
        <v>21.58799934</v>
      </c>
      <c r="D1154" s="29">
        <v>68.349998470000003</v>
      </c>
      <c r="E1154" s="29">
        <v>12581.389649999999</v>
      </c>
      <c r="F1154" s="29">
        <v>3960.280029</v>
      </c>
      <c r="G1154" s="29">
        <v>32246.550780000001</v>
      </c>
      <c r="H1154" s="29">
        <v>10.30509567</v>
      </c>
      <c r="I1154" s="29">
        <v>8.3770542139999993</v>
      </c>
      <c r="J1154" s="29">
        <v>10.952201840000001</v>
      </c>
      <c r="L1154" s="30">
        <f t="shared" si="72"/>
        <v>-3.944760767504496E-3</v>
      </c>
      <c r="M1154" s="30">
        <f t="shared" si="72"/>
        <v>-8.5423362059247054E-3</v>
      </c>
      <c r="N1154" s="30">
        <f t="shared" si="72"/>
        <v>1.0945094709710057E-2</v>
      </c>
      <c r="O1154" s="30">
        <f t="shared" si="72"/>
        <v>2.6941532149035829E-2</v>
      </c>
      <c r="P1154" s="30">
        <f t="shared" si="72"/>
        <v>1.7562006046927037E-2</v>
      </c>
      <c r="Q1154" s="30">
        <f t="shared" si="72"/>
        <v>1.1670132848294434E-2</v>
      </c>
      <c r="R1154" s="30">
        <f t="shared" si="72"/>
        <v>-5.7748863169129194E-3</v>
      </c>
      <c r="S1154" s="30">
        <f t="shared" si="72"/>
        <v>-4.7393966378652674E-3</v>
      </c>
      <c r="T1154" s="30">
        <f t="shared" si="72"/>
        <v>-4.5330866307838891E-3</v>
      </c>
      <c r="U1154" s="63">
        <f t="shared" si="70"/>
        <v>6.9491691782255956E-3</v>
      </c>
    </row>
    <row r="1155" spans="1:21">
      <c r="A1155" s="28">
        <v>45002</v>
      </c>
      <c r="B1155" s="29">
        <v>1969.8000489999999</v>
      </c>
      <c r="C1155" s="29">
        <v>22.350999829999999</v>
      </c>
      <c r="D1155" s="29">
        <v>66.739997860000003</v>
      </c>
      <c r="E1155" s="29">
        <v>12519.87988</v>
      </c>
      <c r="F1155" s="29">
        <v>3916.639893</v>
      </c>
      <c r="G1155" s="29">
        <v>31861.980469999999</v>
      </c>
      <c r="H1155" s="29">
        <v>10.394879339999999</v>
      </c>
      <c r="I1155" s="29">
        <v>8.4468641279999996</v>
      </c>
      <c r="J1155" s="29">
        <v>11.04197407</v>
      </c>
      <c r="L1155" s="30">
        <f t="shared" si="72"/>
        <v>2.6472146430432497E-2</v>
      </c>
      <c r="M1155" s="30">
        <f t="shared" si="72"/>
        <v>3.5343733246565812E-2</v>
      </c>
      <c r="N1155" s="30">
        <f t="shared" si="72"/>
        <v>-2.3555239883533585E-2</v>
      </c>
      <c r="O1155" s="30">
        <f t="shared" si="72"/>
        <v>-4.8889488133767589E-3</v>
      </c>
      <c r="P1155" s="30">
        <f t="shared" si="72"/>
        <v>-1.1019457129403887E-2</v>
      </c>
      <c r="Q1155" s="30">
        <f t="shared" si="72"/>
        <v>-1.1925936284587713E-2</v>
      </c>
      <c r="R1155" s="30">
        <f t="shared" si="72"/>
        <v>8.7125508462164714E-3</v>
      </c>
      <c r="S1155" s="30">
        <f t="shared" si="72"/>
        <v>8.3334680923194959E-3</v>
      </c>
      <c r="T1155" s="30">
        <f t="shared" si="72"/>
        <v>8.1967289602105087E-3</v>
      </c>
      <c r="U1155" s="63">
        <f t="shared" si="70"/>
        <v>2.9031563846814482E-3</v>
      </c>
    </row>
    <row r="1156" spans="1:21">
      <c r="A1156" s="28">
        <v>45005</v>
      </c>
      <c r="B1156" s="29">
        <v>1979.1999510000001</v>
      </c>
      <c r="C1156" s="29">
        <v>22.533000950000002</v>
      </c>
      <c r="D1156" s="29">
        <v>67.63999939</v>
      </c>
      <c r="E1156" s="29">
        <v>12562.610350000001</v>
      </c>
      <c r="F1156" s="29">
        <v>3951.570068</v>
      </c>
      <c r="G1156" s="29">
        <v>32244.58008</v>
      </c>
      <c r="H1156" s="29">
        <v>10.34499931</v>
      </c>
      <c r="I1156" s="29">
        <v>8.3970003129999995</v>
      </c>
      <c r="J1156" s="29">
        <v>11.0020752</v>
      </c>
      <c r="L1156" s="30">
        <f t="shared" si="72"/>
        <v>4.7720082070117353E-3</v>
      </c>
      <c r="M1156" s="30">
        <f t="shared" si="72"/>
        <v>8.1428625736785776E-3</v>
      </c>
      <c r="N1156" s="30">
        <f t="shared" si="72"/>
        <v>1.3485189674232956E-2</v>
      </c>
      <c r="O1156" s="30">
        <f t="shared" si="72"/>
        <v>3.413009582325266E-3</v>
      </c>
      <c r="P1156" s="30">
        <f t="shared" si="72"/>
        <v>8.9184035178799803E-3</v>
      </c>
      <c r="Q1156" s="30">
        <f t="shared" si="72"/>
        <v>1.2008029769531747E-2</v>
      </c>
      <c r="R1156" s="30">
        <f t="shared" si="72"/>
        <v>-4.7985193832946749E-3</v>
      </c>
      <c r="S1156" s="30">
        <f t="shared" si="72"/>
        <v>-5.903233939173913E-3</v>
      </c>
      <c r="T1156" s="30">
        <f t="shared" si="72"/>
        <v>-3.6133819683928925E-3</v>
      </c>
      <c r="U1156" s="63">
        <f t="shared" ref="U1156:U1219" si="73">SUMPRODUCT($L$2:$T$2,L1156:T1156)</f>
        <v>4.7390885998282745E-3</v>
      </c>
    </row>
    <row r="1157" spans="1:21">
      <c r="A1157" s="28">
        <v>45006</v>
      </c>
      <c r="B1157" s="29">
        <v>1938</v>
      </c>
      <c r="C1157" s="29">
        <v>22.323999400000002</v>
      </c>
      <c r="D1157" s="29">
        <v>69.33000183</v>
      </c>
      <c r="E1157" s="29">
        <v>12741.440430000001</v>
      </c>
      <c r="F1157" s="29">
        <v>4002.8701169999999</v>
      </c>
      <c r="G1157" s="29">
        <v>32560.599610000001</v>
      </c>
      <c r="H1157" s="29">
        <v>10.31507206</v>
      </c>
      <c r="I1157" s="29">
        <v>8.3670825959999995</v>
      </c>
      <c r="J1157" s="29">
        <v>10.98212719</v>
      </c>
      <c r="L1157" s="30">
        <f t="shared" si="72"/>
        <v>-2.0816467269607397E-2</v>
      </c>
      <c r="M1157" s="30">
        <f t="shared" si="72"/>
        <v>-9.2753535343014226E-3</v>
      </c>
      <c r="N1157" s="30">
        <f t="shared" si="72"/>
        <v>2.4985252147265102E-2</v>
      </c>
      <c r="O1157" s="30">
        <f t="shared" si="72"/>
        <v>1.4235105206458876E-2</v>
      </c>
      <c r="P1157" s="30">
        <f t="shared" si="72"/>
        <v>1.2982193942461029E-2</v>
      </c>
      <c r="Q1157" s="30">
        <f t="shared" si="72"/>
        <v>9.8007022952677492E-3</v>
      </c>
      <c r="R1157" s="30">
        <f t="shared" si="72"/>
        <v>-2.8929194776331491E-3</v>
      </c>
      <c r="S1157" s="30">
        <f t="shared" si="72"/>
        <v>-3.5629053096118968E-3</v>
      </c>
      <c r="T1157" s="30">
        <f t="shared" si="72"/>
        <v>-1.8131134024607087E-3</v>
      </c>
      <c r="U1157" s="63">
        <f t="shared" si="73"/>
        <v>4.5516508646736668E-3</v>
      </c>
    </row>
    <row r="1158" spans="1:21">
      <c r="A1158" s="28">
        <v>45007</v>
      </c>
      <c r="B1158" s="29">
        <v>1946.8000489999999</v>
      </c>
      <c r="C1158" s="29">
        <v>22.674999239999998</v>
      </c>
      <c r="D1158" s="29">
        <v>70.900001529999997</v>
      </c>
      <c r="E1158" s="29">
        <v>12567.150390000001</v>
      </c>
      <c r="F1158" s="29">
        <v>3936.969971</v>
      </c>
      <c r="G1158" s="29">
        <v>32030.109380000002</v>
      </c>
      <c r="H1158" s="29">
        <v>10.41483021</v>
      </c>
      <c r="I1158" s="29">
        <v>8.4568357469999995</v>
      </c>
      <c r="J1158" s="29">
        <v>11.091848369999999</v>
      </c>
      <c r="L1158" s="30">
        <f t="shared" si="72"/>
        <v>4.5407889576882798E-3</v>
      </c>
      <c r="M1158" s="30">
        <f t="shared" si="72"/>
        <v>1.5722981967110972E-2</v>
      </c>
      <c r="N1158" s="30">
        <f t="shared" si="72"/>
        <v>2.2645314561648311E-2</v>
      </c>
      <c r="O1158" s="30">
        <f t="shared" si="72"/>
        <v>-1.3678990296075999E-2</v>
      </c>
      <c r="P1158" s="30">
        <f t="shared" si="72"/>
        <v>-1.6463223655477921E-2</v>
      </c>
      <c r="Q1158" s="30">
        <f t="shared" si="72"/>
        <v>-1.6292397448266716E-2</v>
      </c>
      <c r="R1158" s="30">
        <f t="shared" si="72"/>
        <v>9.6711054871680968E-3</v>
      </c>
      <c r="S1158" s="30">
        <f t="shared" si="72"/>
        <v>1.0726934982440373E-2</v>
      </c>
      <c r="T1158" s="30">
        <f t="shared" si="72"/>
        <v>9.9908859278108331E-3</v>
      </c>
      <c r="U1158" s="63">
        <f t="shared" si="73"/>
        <v>-9.6386326618898548E-5</v>
      </c>
    </row>
    <row r="1159" spans="1:21">
      <c r="A1159" s="28">
        <v>45008</v>
      </c>
      <c r="B1159" s="29">
        <v>1993.8000489999999</v>
      </c>
      <c r="C1159" s="29">
        <v>23.143999099999998</v>
      </c>
      <c r="D1159" s="29">
        <v>69.959999080000003</v>
      </c>
      <c r="E1159" s="29">
        <v>12729.23047</v>
      </c>
      <c r="F1159" s="29">
        <v>3948.719971</v>
      </c>
      <c r="G1159" s="29">
        <v>32105.25</v>
      </c>
      <c r="H1159" s="29">
        <v>10.444758419999999</v>
      </c>
      <c r="I1159" s="29">
        <v>8.4767818449999996</v>
      </c>
      <c r="J1159" s="29">
        <v>11.12177181</v>
      </c>
      <c r="L1159" s="30">
        <f t="shared" si="72"/>
        <v>2.4142181434678944E-2</v>
      </c>
      <c r="M1159" s="30">
        <f t="shared" si="72"/>
        <v>2.0683566735149261E-2</v>
      </c>
      <c r="N1159" s="30">
        <f t="shared" si="72"/>
        <v>-1.3258144283709972E-2</v>
      </c>
      <c r="O1159" s="30">
        <f t="shared" si="72"/>
        <v>1.2897122654708548E-2</v>
      </c>
      <c r="P1159" s="30">
        <f t="shared" si="72"/>
        <v>2.9845287331504711E-3</v>
      </c>
      <c r="Q1159" s="30">
        <f t="shared" si="72"/>
        <v>2.345937040318713E-3</v>
      </c>
      <c r="R1159" s="30">
        <f t="shared" si="72"/>
        <v>2.8736147778254395E-3</v>
      </c>
      <c r="S1159" s="30">
        <f t="shared" si="72"/>
        <v>2.3585769662224365E-3</v>
      </c>
      <c r="T1159" s="30">
        <f t="shared" si="72"/>
        <v>2.6977866088517821E-3</v>
      </c>
      <c r="U1159" s="63">
        <f t="shared" si="73"/>
        <v>6.6151747653100295E-3</v>
      </c>
    </row>
    <row r="1160" spans="1:21">
      <c r="A1160" s="28">
        <v>45009</v>
      </c>
      <c r="B1160" s="29">
        <v>1982.099976</v>
      </c>
      <c r="C1160" s="29">
        <v>23.24699974</v>
      </c>
      <c r="D1160" s="29">
        <v>69.260002139999997</v>
      </c>
      <c r="E1160" s="29">
        <v>12767.049800000001</v>
      </c>
      <c r="F1160" s="29">
        <v>3970.98999</v>
      </c>
      <c r="G1160" s="29">
        <v>32237.529299999998</v>
      </c>
      <c r="H1160" s="29">
        <v>10.444758419999999</v>
      </c>
      <c r="I1160" s="29">
        <v>8.4767818449999996</v>
      </c>
      <c r="J1160" s="29">
        <v>11.11179733</v>
      </c>
      <c r="L1160" s="30">
        <f t="shared" si="72"/>
        <v>-5.8682278626024376E-3</v>
      </c>
      <c r="M1160" s="30">
        <f t="shared" si="72"/>
        <v>4.4504253372530389E-3</v>
      </c>
      <c r="N1160" s="30">
        <f t="shared" si="72"/>
        <v>-1.0005673945186144E-2</v>
      </c>
      <c r="O1160" s="30">
        <f t="shared" si="72"/>
        <v>2.9710617691409702E-3</v>
      </c>
      <c r="P1160" s="30">
        <f t="shared" si="72"/>
        <v>5.6398071181431586E-3</v>
      </c>
      <c r="Q1160" s="30">
        <f t="shared" si="72"/>
        <v>4.1201766066296663E-3</v>
      </c>
      <c r="R1160" s="30">
        <f t="shared" si="72"/>
        <v>0</v>
      </c>
      <c r="S1160" s="30">
        <f t="shared" si="72"/>
        <v>0</v>
      </c>
      <c r="T1160" s="30">
        <f t="shared" si="72"/>
        <v>-8.9684271269008242E-4</v>
      </c>
      <c r="U1160" s="63">
        <f t="shared" si="73"/>
        <v>1.7177477389857469E-3</v>
      </c>
    </row>
    <row r="1161" spans="1:21">
      <c r="A1161" s="28">
        <v>45012</v>
      </c>
      <c r="B1161" s="29">
        <v>1952.400024</v>
      </c>
      <c r="C1161" s="29">
        <v>23.054000850000001</v>
      </c>
      <c r="D1161" s="29">
        <v>72.809997559999999</v>
      </c>
      <c r="E1161" s="29">
        <v>12673.070309999999</v>
      </c>
      <c r="F1161" s="29">
        <v>3977.530029</v>
      </c>
      <c r="G1161" s="29">
        <v>32432.08008</v>
      </c>
      <c r="H1161" s="29">
        <v>10.354975700000001</v>
      </c>
      <c r="I1161" s="29">
        <v>8.3970003129999995</v>
      </c>
      <c r="J1161" s="29">
        <v>11.02202511</v>
      </c>
      <c r="L1161" s="30">
        <f t="shared" si="72"/>
        <v>-1.4984083729185138E-2</v>
      </c>
      <c r="M1161" s="30">
        <f t="shared" si="72"/>
        <v>-8.3020988582847011E-3</v>
      </c>
      <c r="N1161" s="30">
        <f t="shared" si="72"/>
        <v>5.1256068586659209E-2</v>
      </c>
      <c r="O1161" s="30">
        <f t="shared" si="72"/>
        <v>-7.3610968447856973E-3</v>
      </c>
      <c r="P1161" s="30">
        <f t="shared" si="72"/>
        <v>1.6469542901063061E-3</v>
      </c>
      <c r="Q1161" s="30">
        <f t="shared" si="72"/>
        <v>6.0349159574086819E-3</v>
      </c>
      <c r="R1161" s="30">
        <f t="shared" si="72"/>
        <v>-8.5959594649962501E-3</v>
      </c>
      <c r="S1161" s="30">
        <f t="shared" si="72"/>
        <v>-9.4117712899570716E-3</v>
      </c>
      <c r="T1161" s="30">
        <f t="shared" si="72"/>
        <v>-8.0790008433316851E-3</v>
      </c>
      <c r="U1161" s="63">
        <f t="shared" si="73"/>
        <v>-6.8609264149289495E-4</v>
      </c>
    </row>
    <row r="1162" spans="1:21">
      <c r="A1162" s="28">
        <v>45013</v>
      </c>
      <c r="B1162" s="29">
        <v>1972.400024</v>
      </c>
      <c r="C1162" s="29">
        <v>23.323999400000002</v>
      </c>
      <c r="D1162" s="29">
        <v>73.199996949999999</v>
      </c>
      <c r="E1162" s="29">
        <v>12610.570309999999</v>
      </c>
      <c r="F1162" s="29">
        <v>3971.2700199999999</v>
      </c>
      <c r="G1162" s="29">
        <v>32394.25</v>
      </c>
      <c r="H1162" s="29">
        <v>10.33502388</v>
      </c>
      <c r="I1162" s="29">
        <v>8.3770542139999993</v>
      </c>
      <c r="J1162" s="29">
        <v>11.0020752</v>
      </c>
      <c r="L1162" s="30">
        <f t="shared" si="72"/>
        <v>1.0243802373565147E-2</v>
      </c>
      <c r="M1162" s="30">
        <f t="shared" si="72"/>
        <v>1.1711570228384094E-2</v>
      </c>
      <c r="N1162" s="30">
        <f t="shared" si="72"/>
        <v>5.356398888471503E-3</v>
      </c>
      <c r="O1162" s="30">
        <f t="shared" si="72"/>
        <v>-4.931717292744997E-3</v>
      </c>
      <c r="P1162" s="30">
        <f t="shared" si="72"/>
        <v>-1.5738433033462007E-3</v>
      </c>
      <c r="Q1162" s="30">
        <f t="shared" si="72"/>
        <v>-1.1664401391056067E-3</v>
      </c>
      <c r="R1162" s="30">
        <f t="shared" si="72"/>
        <v>-1.9267857866630544E-3</v>
      </c>
      <c r="S1162" s="30">
        <f t="shared" si="72"/>
        <v>-2.3753838581046516E-3</v>
      </c>
      <c r="T1162" s="30">
        <f t="shared" si="72"/>
        <v>-1.8100040419885E-3</v>
      </c>
      <c r="U1162" s="63">
        <f t="shared" si="73"/>
        <v>1.1082188489742028E-3</v>
      </c>
    </row>
    <row r="1163" spans="1:21">
      <c r="A1163" s="28">
        <v>45014</v>
      </c>
      <c r="B1163" s="29">
        <v>1966.099976</v>
      </c>
      <c r="C1163" s="29">
        <v>23.375999449999998</v>
      </c>
      <c r="D1163" s="29">
        <v>72.97000122</v>
      </c>
      <c r="E1163" s="29">
        <v>12846.030269999999</v>
      </c>
      <c r="F1163" s="29">
        <v>4027.8100589999999</v>
      </c>
      <c r="G1163" s="29">
        <v>32717.599610000001</v>
      </c>
      <c r="H1163" s="29">
        <v>10.33502388</v>
      </c>
      <c r="I1163" s="29">
        <v>8.3870277400000006</v>
      </c>
      <c r="J1163" s="29">
        <v>11.0020752</v>
      </c>
      <c r="L1163" s="30">
        <f t="shared" si="72"/>
        <v>-3.1941025772366238E-3</v>
      </c>
      <c r="M1163" s="30">
        <f t="shared" si="72"/>
        <v>2.229465414923526E-3</v>
      </c>
      <c r="N1163" s="30">
        <f t="shared" si="72"/>
        <v>-3.1420183003163515E-3</v>
      </c>
      <c r="O1163" s="30">
        <f t="shared" si="72"/>
        <v>1.8671634526575165E-2</v>
      </c>
      <c r="P1163" s="30">
        <f t="shared" si="72"/>
        <v>1.423726886241794E-2</v>
      </c>
      <c r="Q1163" s="30">
        <f t="shared" si="72"/>
        <v>9.9816976778286381E-3</v>
      </c>
      <c r="R1163" s="30">
        <f t="shared" si="72"/>
        <v>0</v>
      </c>
      <c r="S1163" s="30">
        <f t="shared" si="72"/>
        <v>1.1905767523066046E-3</v>
      </c>
      <c r="T1163" s="30">
        <f t="shared" si="72"/>
        <v>0</v>
      </c>
      <c r="U1163" s="63">
        <f t="shared" si="73"/>
        <v>6.9368424261834118E-3</v>
      </c>
    </row>
    <row r="1164" spans="1:21">
      <c r="A1164" s="28">
        <v>45015</v>
      </c>
      <c r="B1164" s="29">
        <v>1980.3000489999999</v>
      </c>
      <c r="C1164" s="29">
        <v>23.902000430000001</v>
      </c>
      <c r="D1164" s="29">
        <v>74.370002749999998</v>
      </c>
      <c r="E1164" s="29">
        <v>12963.139649999999</v>
      </c>
      <c r="F1164" s="29">
        <v>4050.830078</v>
      </c>
      <c r="G1164" s="29">
        <v>32859.03125</v>
      </c>
      <c r="H1164" s="29">
        <v>10.34499931</v>
      </c>
      <c r="I1164" s="29">
        <v>8.3970003129999995</v>
      </c>
      <c r="J1164" s="29">
        <v>11.03200054</v>
      </c>
      <c r="L1164" s="30">
        <f t="shared" si="72"/>
        <v>7.2224572368337903E-3</v>
      </c>
      <c r="M1164" s="30">
        <f t="shared" si="72"/>
        <v>2.2501753609512676E-2</v>
      </c>
      <c r="N1164" s="30">
        <f t="shared" si="72"/>
        <v>1.9185987482432498E-2</v>
      </c>
      <c r="O1164" s="30">
        <f t="shared" ref="O1164:T1206" si="74">(E1164/E1163)-1</f>
        <v>9.1163867388270869E-3</v>
      </c>
      <c r="P1164" s="30">
        <f t="shared" si="74"/>
        <v>5.7152692561961427E-3</v>
      </c>
      <c r="Q1164" s="30">
        <f t="shared" si="74"/>
        <v>4.3228000124058141E-3</v>
      </c>
      <c r="R1164" s="30">
        <f t="shared" si="74"/>
        <v>9.6520628455487589E-4</v>
      </c>
      <c r="S1164" s="30">
        <f t="shared" si="74"/>
        <v>1.1890473370483878E-3</v>
      </c>
      <c r="T1164" s="30">
        <f t="shared" si="74"/>
        <v>2.7199723194037961E-3</v>
      </c>
      <c r="U1164" s="63">
        <f t="shared" si="73"/>
        <v>8.6703453811042344E-3</v>
      </c>
    </row>
    <row r="1165" spans="1:21">
      <c r="A1165" s="28">
        <v>45016</v>
      </c>
      <c r="B1165" s="29">
        <v>1969</v>
      </c>
      <c r="C1165" s="29">
        <v>24.07600021</v>
      </c>
      <c r="D1165" s="29">
        <v>75.66999817</v>
      </c>
      <c r="E1165" s="29">
        <v>13181.349609999999</v>
      </c>
      <c r="F1165" s="29">
        <v>4109.3100590000004</v>
      </c>
      <c r="G1165" s="29">
        <v>33274.148439999997</v>
      </c>
      <c r="H1165" s="29">
        <v>10.420000079999999</v>
      </c>
      <c r="I1165" s="29">
        <v>8.4600000380000004</v>
      </c>
      <c r="J1165" s="29">
        <v>11.09000015</v>
      </c>
      <c r="L1165" s="30">
        <f t="shared" ref="L1165:T1209" si="75">(B1165/B1164)-1</f>
        <v>-5.7062307329165396E-3</v>
      </c>
      <c r="M1165" s="30">
        <f t="shared" si="75"/>
        <v>7.2797162107656188E-3</v>
      </c>
      <c r="N1165" s="30">
        <f t="shared" si="75"/>
        <v>1.7480104503559524E-2</v>
      </c>
      <c r="O1165" s="30">
        <f t="shared" si="74"/>
        <v>1.6833110333730028E-2</v>
      </c>
      <c r="P1165" s="30">
        <f t="shared" si="74"/>
        <v>1.4436542603355473E-2</v>
      </c>
      <c r="Q1165" s="30">
        <f t="shared" si="74"/>
        <v>1.2633275364744678E-2</v>
      </c>
      <c r="R1165" s="30">
        <f t="shared" si="74"/>
        <v>7.2499540843371513E-3</v>
      </c>
      <c r="S1165" s="30">
        <f t="shared" si="74"/>
        <v>7.5026464989487174E-3</v>
      </c>
      <c r="T1165" s="30">
        <f t="shared" si="74"/>
        <v>5.2573973133616114E-3</v>
      </c>
      <c r="U1165" s="63">
        <f t="shared" si="73"/>
        <v>1.0634969906076453E-2</v>
      </c>
    </row>
    <row r="1166" spans="1:21">
      <c r="A1166" s="28">
        <v>45019</v>
      </c>
      <c r="B1166" s="29">
        <v>1983.900024</v>
      </c>
      <c r="C1166" s="29">
        <v>23.940999980000001</v>
      </c>
      <c r="D1166" s="29">
        <v>80.41999817</v>
      </c>
      <c r="E1166" s="29">
        <v>13148.349609999999</v>
      </c>
      <c r="F1166" s="29">
        <v>4124.5097660000001</v>
      </c>
      <c r="G1166" s="29">
        <v>33601.148439999997</v>
      </c>
      <c r="H1166" s="29">
        <v>10.460000040000001</v>
      </c>
      <c r="I1166" s="29">
        <v>8.5</v>
      </c>
      <c r="J1166" s="29">
        <v>11.130000109999999</v>
      </c>
      <c r="L1166" s="30">
        <f t="shared" si="75"/>
        <v>7.5673052310818445E-3</v>
      </c>
      <c r="M1166" s="30">
        <f t="shared" si="75"/>
        <v>-5.6072532323673263E-3</v>
      </c>
      <c r="N1166" s="30">
        <f t="shared" si="75"/>
        <v>6.277256660332764E-2</v>
      </c>
      <c r="O1166" s="30">
        <f t="shared" si="74"/>
        <v>-2.5035372686696977E-3</v>
      </c>
      <c r="P1166" s="30">
        <f t="shared" si="74"/>
        <v>3.6988464685721034E-3</v>
      </c>
      <c r="Q1166" s="30">
        <f t="shared" si="74"/>
        <v>9.8274490957941385E-3</v>
      </c>
      <c r="R1166" s="30">
        <f t="shared" si="74"/>
        <v>3.8387677248463703E-3</v>
      </c>
      <c r="S1166" s="30">
        <f t="shared" si="74"/>
        <v>4.7281278747435262E-3</v>
      </c>
      <c r="T1166" s="30">
        <f t="shared" si="74"/>
        <v>3.6068493651011391E-3</v>
      </c>
      <c r="U1166" s="63">
        <f t="shared" si="73"/>
        <v>6.5563896339885519E-3</v>
      </c>
    </row>
    <row r="1167" spans="1:21">
      <c r="A1167" s="28">
        <v>45020</v>
      </c>
      <c r="B1167" s="29">
        <v>2022.1999510000001</v>
      </c>
      <c r="C1167" s="29">
        <v>25.021999359999999</v>
      </c>
      <c r="D1167" s="29">
        <v>80.709999080000003</v>
      </c>
      <c r="E1167" s="29">
        <v>13100.08008</v>
      </c>
      <c r="F1167" s="29">
        <v>4100.6000979999999</v>
      </c>
      <c r="G1167" s="29">
        <v>33402.378909999999</v>
      </c>
      <c r="H1167" s="29">
        <v>10.510000229999999</v>
      </c>
      <c r="I1167" s="29">
        <v>8.5299997330000004</v>
      </c>
      <c r="J1167" s="29">
        <v>11.18000031</v>
      </c>
      <c r="L1167" s="30">
        <f t="shared" si="75"/>
        <v>1.9305371508982816E-2</v>
      </c>
      <c r="M1167" s="30">
        <f t="shared" si="75"/>
        <v>4.5152641113698211E-2</v>
      </c>
      <c r="N1167" s="30">
        <f t="shared" si="75"/>
        <v>3.6060795399046608E-3</v>
      </c>
      <c r="O1167" s="30">
        <f t="shared" si="74"/>
        <v>-3.6711474391651899E-3</v>
      </c>
      <c r="P1167" s="30">
        <f t="shared" si="74"/>
        <v>-5.7969720903796595E-3</v>
      </c>
      <c r="Q1167" s="30">
        <f t="shared" si="74"/>
        <v>-5.9155576290772505E-3</v>
      </c>
      <c r="R1167" s="30">
        <f t="shared" si="74"/>
        <v>4.7801328689094369E-3</v>
      </c>
      <c r="S1167" s="30">
        <f t="shared" si="74"/>
        <v>3.5293803529412582E-3</v>
      </c>
      <c r="T1167" s="30">
        <f t="shared" si="74"/>
        <v>4.4923809079819854E-3</v>
      </c>
      <c r="U1167" s="63">
        <f t="shared" si="73"/>
        <v>6.8623199597826479E-3</v>
      </c>
    </row>
    <row r="1168" spans="1:21">
      <c r="A1168" s="28">
        <v>45021</v>
      </c>
      <c r="B1168" s="29">
        <v>2020.900024</v>
      </c>
      <c r="C1168" s="29">
        <v>24.96299934</v>
      </c>
      <c r="D1168" s="29">
        <v>80.61000061</v>
      </c>
      <c r="E1168" s="29">
        <v>12967.200199999999</v>
      </c>
      <c r="F1168" s="29">
        <v>4090.3798830000001</v>
      </c>
      <c r="G1168" s="29">
        <v>33482.71875</v>
      </c>
      <c r="H1168" s="29">
        <v>10.539999959999999</v>
      </c>
      <c r="I1168" s="29">
        <v>8.5600004199999997</v>
      </c>
      <c r="J1168" s="29">
        <v>11.19999981</v>
      </c>
      <c r="L1168" s="30">
        <f t="shared" si="75"/>
        <v>-6.428281235776323E-4</v>
      </c>
      <c r="M1168" s="30">
        <f t="shared" si="75"/>
        <v>-2.3579258855835894E-3</v>
      </c>
      <c r="N1168" s="30">
        <f t="shared" si="75"/>
        <v>-1.2389848982761187E-3</v>
      </c>
      <c r="O1168" s="30">
        <f t="shared" si="74"/>
        <v>-1.014344028345826E-2</v>
      </c>
      <c r="P1168" s="30">
        <f t="shared" si="74"/>
        <v>-2.4923705691234366E-3</v>
      </c>
      <c r="Q1168" s="30">
        <f t="shared" si="74"/>
        <v>2.4052131201932614E-3</v>
      </c>
      <c r="R1168" s="30">
        <f t="shared" si="74"/>
        <v>2.8543986054698767E-3</v>
      </c>
      <c r="S1168" s="30">
        <f t="shared" si="74"/>
        <v>3.5170794770291725E-3</v>
      </c>
      <c r="T1168" s="30">
        <f t="shared" si="74"/>
        <v>1.7888639933318906E-3</v>
      </c>
      <c r="U1168" s="63">
        <f t="shared" si="73"/>
        <v>-1.6375396744016833E-3</v>
      </c>
    </row>
    <row r="1169" spans="1:21">
      <c r="A1169" s="28">
        <v>45022</v>
      </c>
      <c r="B1169" s="29">
        <v>2011.900024</v>
      </c>
      <c r="C1169" s="29">
        <v>25.024999619999999</v>
      </c>
      <c r="D1169" s="29">
        <v>80.699996949999999</v>
      </c>
      <c r="E1169" s="29">
        <v>13062.599609999999</v>
      </c>
      <c r="F1169" s="29">
        <v>4105.0200199999999</v>
      </c>
      <c r="G1169" s="29">
        <v>33485.289060000003</v>
      </c>
      <c r="H1169" s="29">
        <v>10.52999973</v>
      </c>
      <c r="I1169" s="29">
        <v>8.5500001910000005</v>
      </c>
      <c r="J1169" s="29">
        <v>11.19999981</v>
      </c>
      <c r="L1169" s="30">
        <f t="shared" si="75"/>
        <v>-4.4534612762219261E-3</v>
      </c>
      <c r="M1169" s="30">
        <f t="shared" si="75"/>
        <v>2.4836871225106805E-3</v>
      </c>
      <c r="N1169" s="30">
        <f t="shared" si="75"/>
        <v>1.116441375995203E-3</v>
      </c>
      <c r="O1169" s="30">
        <f t="shared" si="74"/>
        <v>7.3569782627400659E-3</v>
      </c>
      <c r="P1169" s="30">
        <f t="shared" si="74"/>
        <v>3.5791631630219811E-3</v>
      </c>
      <c r="Q1169" s="30">
        <f t="shared" si="74"/>
        <v>7.6765271637357912E-5</v>
      </c>
      <c r="R1169" s="30">
        <f t="shared" si="74"/>
        <v>-9.4878842864809521E-4</v>
      </c>
      <c r="S1169" s="30">
        <f t="shared" si="74"/>
        <v>-1.1682509940810215E-3</v>
      </c>
      <c r="T1169" s="30">
        <f t="shared" si="74"/>
        <v>0</v>
      </c>
      <c r="U1169" s="63">
        <f t="shared" si="73"/>
        <v>1.9974623427005248E-3</v>
      </c>
    </row>
    <row r="1170" spans="1:21">
      <c r="A1170" s="28">
        <v>45026</v>
      </c>
      <c r="B1170" s="29">
        <v>1989.099976</v>
      </c>
      <c r="C1170" s="29">
        <v>24.846000669999999</v>
      </c>
      <c r="D1170" s="29">
        <v>79.739997860000003</v>
      </c>
      <c r="E1170" s="29">
        <v>13051.23047</v>
      </c>
      <c r="F1170" s="29">
        <v>4109.1098629999997</v>
      </c>
      <c r="G1170" s="29">
        <v>33586.519529999998</v>
      </c>
      <c r="H1170" s="29">
        <v>10.44999981</v>
      </c>
      <c r="I1170" s="29">
        <v>8.4899997710000008</v>
      </c>
      <c r="J1170" s="29">
        <v>11.10999966</v>
      </c>
      <c r="L1170" s="30">
        <f t="shared" si="75"/>
        <v>-1.1332594924209793E-2</v>
      </c>
      <c r="M1170" s="30">
        <f t="shared" si="75"/>
        <v>-7.1528053034192185E-3</v>
      </c>
      <c r="N1170" s="30">
        <f t="shared" si="75"/>
        <v>-1.1895899953934252E-2</v>
      </c>
      <c r="O1170" s="30">
        <f t="shared" si="74"/>
        <v>-8.703581476458E-4</v>
      </c>
      <c r="P1170" s="30">
        <f t="shared" si="74"/>
        <v>9.9630281462048664E-4</v>
      </c>
      <c r="Q1170" s="30">
        <f t="shared" si="74"/>
        <v>3.0231326305294459E-3</v>
      </c>
      <c r="R1170" s="30">
        <f t="shared" si="74"/>
        <v>-7.5973335281368515E-3</v>
      </c>
      <c r="S1170" s="30">
        <f t="shared" si="74"/>
        <v>-7.017592825688812E-3</v>
      </c>
      <c r="T1170" s="30">
        <f t="shared" si="74"/>
        <v>-8.0357278148918132E-3</v>
      </c>
      <c r="U1170" s="63">
        <f t="shared" si="73"/>
        <v>-4.2895530202653413E-3</v>
      </c>
    </row>
    <row r="1171" spans="1:21">
      <c r="A1171" s="28">
        <v>45027</v>
      </c>
      <c r="B1171" s="29">
        <v>2004.8000489999999</v>
      </c>
      <c r="C1171" s="29">
        <v>25.131000520000001</v>
      </c>
      <c r="D1171" s="29">
        <v>81.52999878</v>
      </c>
      <c r="E1171" s="29">
        <v>12964.150390000001</v>
      </c>
      <c r="F1171" s="29">
        <v>4108.9399409999996</v>
      </c>
      <c r="G1171" s="29">
        <v>33684.789060000003</v>
      </c>
      <c r="H1171" s="29">
        <v>10.460000040000001</v>
      </c>
      <c r="I1171" s="29">
        <v>8.4899997710000008</v>
      </c>
      <c r="J1171" s="29">
        <v>11.130000109999999</v>
      </c>
      <c r="L1171" s="30">
        <f t="shared" si="75"/>
        <v>7.8930537375865306E-3</v>
      </c>
      <c r="M1171" s="30">
        <f t="shared" si="75"/>
        <v>1.147065291454008E-2</v>
      </c>
      <c r="N1171" s="30">
        <f t="shared" si="75"/>
        <v>2.244796799647153E-2</v>
      </c>
      <c r="O1171" s="30">
        <f t="shared" si="74"/>
        <v>-6.672173953265581E-3</v>
      </c>
      <c r="P1171" s="30">
        <f t="shared" si="74"/>
        <v>-4.1352508369341123E-5</v>
      </c>
      <c r="Q1171" s="30">
        <f t="shared" si="74"/>
        <v>2.9258622618586472E-3</v>
      </c>
      <c r="R1171" s="30">
        <f t="shared" si="74"/>
        <v>9.5695982601173846E-4</v>
      </c>
      <c r="S1171" s="30">
        <f t="shared" si="74"/>
        <v>0</v>
      </c>
      <c r="T1171" s="30">
        <f t="shared" si="74"/>
        <v>1.8002205771443514E-3</v>
      </c>
      <c r="U1171" s="63">
        <f t="shared" si="73"/>
        <v>3.3914463258906472E-3</v>
      </c>
    </row>
    <row r="1172" spans="1:21">
      <c r="A1172" s="28">
        <v>45028</v>
      </c>
      <c r="B1172" s="29">
        <v>2010.900024</v>
      </c>
      <c r="C1172" s="29">
        <v>25.403999330000001</v>
      </c>
      <c r="D1172" s="29">
        <v>83.260002139999997</v>
      </c>
      <c r="E1172" s="29">
        <v>12848.349609999999</v>
      </c>
      <c r="F1172" s="29">
        <v>4091.9499510000001</v>
      </c>
      <c r="G1172" s="29">
        <v>33646.5</v>
      </c>
      <c r="H1172" s="29">
        <v>10.47999954</v>
      </c>
      <c r="I1172" s="29">
        <v>8.5100002289999992</v>
      </c>
      <c r="J1172" s="29">
        <v>11.149999619999999</v>
      </c>
      <c r="L1172" s="30">
        <f t="shared" si="75"/>
        <v>3.0426849814986223E-3</v>
      </c>
      <c r="M1172" s="30">
        <f t="shared" si="75"/>
        <v>1.0863029897386633E-2</v>
      </c>
      <c r="N1172" s="30">
        <f t="shared" si="75"/>
        <v>2.1219224652121227E-2</v>
      </c>
      <c r="O1172" s="30">
        <f t="shared" si="74"/>
        <v>-8.9323848085969271E-3</v>
      </c>
      <c r="P1172" s="30">
        <f t="shared" si="74"/>
        <v>-4.1348839953754268E-3</v>
      </c>
      <c r="Q1172" s="30">
        <f t="shared" si="74"/>
        <v>-1.136686945903187E-3</v>
      </c>
      <c r="R1172" s="30">
        <f t="shared" si="74"/>
        <v>1.911998080642352E-3</v>
      </c>
      <c r="S1172" s="30">
        <f t="shared" si="74"/>
        <v>2.3557666124227605E-3</v>
      </c>
      <c r="T1172" s="30">
        <f t="shared" si="74"/>
        <v>1.7969011502552146E-3</v>
      </c>
      <c r="U1172" s="63">
        <f t="shared" si="73"/>
        <v>1.6214691259771232E-3</v>
      </c>
    </row>
    <row r="1173" spans="1:21">
      <c r="A1173" s="28">
        <v>45029</v>
      </c>
      <c r="B1173" s="29">
        <v>2041.3000489999999</v>
      </c>
      <c r="C1173" s="29">
        <v>25.874000550000002</v>
      </c>
      <c r="D1173" s="29">
        <v>82.160003660000001</v>
      </c>
      <c r="E1173" s="29">
        <v>13109.389649999999</v>
      </c>
      <c r="F1173" s="29">
        <v>4146.2202150000003</v>
      </c>
      <c r="G1173" s="29">
        <v>34029.691409999999</v>
      </c>
      <c r="H1173" s="29">
        <v>10.460000040000001</v>
      </c>
      <c r="I1173" s="29">
        <v>8.4899997710000008</v>
      </c>
      <c r="J1173" s="29">
        <v>11.130000109999999</v>
      </c>
      <c r="L1173" s="30">
        <f t="shared" si="75"/>
        <v>1.5117621282598304E-2</v>
      </c>
      <c r="M1173" s="30">
        <f t="shared" si="75"/>
        <v>1.8501071972749195E-2</v>
      </c>
      <c r="N1173" s="30">
        <f t="shared" si="75"/>
        <v>-1.3211607635445044E-2</v>
      </c>
      <c r="O1173" s="30">
        <f t="shared" si="75"/>
        <v>2.0317009415499632E-2</v>
      </c>
      <c r="P1173" s="30">
        <f t="shared" si="75"/>
        <v>1.3262690074383077E-2</v>
      </c>
      <c r="Q1173" s="30">
        <f t="shared" si="75"/>
        <v>1.1388745040346038E-2</v>
      </c>
      <c r="R1173" s="30">
        <f t="shared" si="74"/>
        <v>-1.9083493204045121E-3</v>
      </c>
      <c r="S1173" s="30">
        <f t="shared" si="74"/>
        <v>-2.350230019012467E-3</v>
      </c>
      <c r="T1173" s="30">
        <f t="shared" si="74"/>
        <v>-1.7936780880356551E-3</v>
      </c>
      <c r="U1173" s="63">
        <f t="shared" si="73"/>
        <v>8.8775780746360895E-3</v>
      </c>
    </row>
    <row r="1174" spans="1:21">
      <c r="A1174" s="28">
        <v>45030</v>
      </c>
      <c r="B1174" s="29">
        <v>2002.1999510000001</v>
      </c>
      <c r="C1174" s="29">
        <v>25.42399979</v>
      </c>
      <c r="D1174" s="29">
        <v>82.519996640000002</v>
      </c>
      <c r="E1174" s="29">
        <v>13079.51953</v>
      </c>
      <c r="F1174" s="29">
        <v>4137.6401370000003</v>
      </c>
      <c r="G1174" s="29">
        <v>33886.46875</v>
      </c>
      <c r="H1174" s="29">
        <v>10.40999985</v>
      </c>
      <c r="I1174" s="29">
        <v>8.4600000380000004</v>
      </c>
      <c r="J1174" s="29">
        <v>11.079999920000001</v>
      </c>
      <c r="L1174" s="30">
        <f t="shared" si="75"/>
        <v>-1.9154507941718024E-2</v>
      </c>
      <c r="M1174" s="30">
        <f t="shared" si="75"/>
        <v>-1.7392005504923813E-2</v>
      </c>
      <c r="N1174" s="30">
        <f t="shared" si="75"/>
        <v>4.3816086168855239E-3</v>
      </c>
      <c r="O1174" s="30">
        <f t="shared" si="75"/>
        <v>-2.2785286575107699E-3</v>
      </c>
      <c r="P1174" s="30">
        <f t="shared" si="75"/>
        <v>-2.0693734425777377E-3</v>
      </c>
      <c r="Q1174" s="30">
        <f t="shared" si="75"/>
        <v>-4.2087557678501808E-3</v>
      </c>
      <c r="R1174" s="30">
        <f t="shared" si="74"/>
        <v>-4.7801328689096589E-3</v>
      </c>
      <c r="S1174" s="30">
        <f t="shared" si="74"/>
        <v>-3.5335375511401645E-3</v>
      </c>
      <c r="T1174" s="30">
        <f t="shared" si="74"/>
        <v>-4.4923800095091337E-3</v>
      </c>
      <c r="U1174" s="63">
        <f t="shared" si="73"/>
        <v>-5.4563095250511036E-3</v>
      </c>
    </row>
    <row r="1175" spans="1:21">
      <c r="A1175" s="28">
        <v>45033</v>
      </c>
      <c r="B1175" s="29">
        <v>1994.1999510000001</v>
      </c>
      <c r="C1175" s="29">
        <v>25.052999499999999</v>
      </c>
      <c r="D1175" s="29">
        <v>80.83000183</v>
      </c>
      <c r="E1175" s="29">
        <v>13087.70996</v>
      </c>
      <c r="F1175" s="29">
        <v>4151.3198240000002</v>
      </c>
      <c r="G1175" s="29">
        <v>33987.179689999997</v>
      </c>
      <c r="H1175" s="29">
        <v>10.35999966</v>
      </c>
      <c r="I1175" s="29">
        <v>8.4200000760000009</v>
      </c>
      <c r="J1175" s="29">
        <v>11.02999973</v>
      </c>
      <c r="L1175" s="30">
        <f t="shared" si="75"/>
        <v>-3.9956049324666454E-3</v>
      </c>
      <c r="M1175" s="30">
        <f t="shared" si="75"/>
        <v>-1.4592522540293862E-2</v>
      </c>
      <c r="N1175" s="30">
        <f t="shared" si="75"/>
        <v>-2.0479821604607373E-2</v>
      </c>
      <c r="O1175" s="30">
        <f t="shared" si="75"/>
        <v>6.2620266602420038E-4</v>
      </c>
      <c r="P1175" s="30">
        <f t="shared" si="75"/>
        <v>3.30615678189905E-3</v>
      </c>
      <c r="Q1175" s="30">
        <f t="shared" si="75"/>
        <v>2.9720104724690888E-3</v>
      </c>
      <c r="R1175" s="30">
        <f t="shared" si="74"/>
        <v>-4.8030922882290605E-3</v>
      </c>
      <c r="S1175" s="30">
        <f t="shared" si="74"/>
        <v>-4.7281278747435262E-3</v>
      </c>
      <c r="T1175" s="30">
        <f t="shared" si="74"/>
        <v>-4.512652559658159E-3</v>
      </c>
      <c r="U1175" s="63">
        <f t="shared" si="73"/>
        <v>-4.0224203247271172E-3</v>
      </c>
    </row>
    <row r="1176" spans="1:21">
      <c r="A1176" s="28">
        <v>45034</v>
      </c>
      <c r="B1176" s="29">
        <v>2007.400024</v>
      </c>
      <c r="C1176" s="29">
        <v>25.247999190000002</v>
      </c>
      <c r="D1176" s="29">
        <v>80.86000061</v>
      </c>
      <c r="E1176" s="29">
        <v>13091.79004</v>
      </c>
      <c r="F1176" s="29">
        <v>4154.8701170000004</v>
      </c>
      <c r="G1176" s="29">
        <v>33976.628909999999</v>
      </c>
      <c r="H1176" s="29">
        <v>10.369999890000001</v>
      </c>
      <c r="I1176" s="29">
        <v>8.4200000760000009</v>
      </c>
      <c r="J1176" s="29">
        <v>11.05000019</v>
      </c>
      <c r="L1176" s="30">
        <f t="shared" si="75"/>
        <v>6.6192324362361887E-3</v>
      </c>
      <c r="M1176" s="30">
        <f t="shared" si="75"/>
        <v>7.7834867637307514E-3</v>
      </c>
      <c r="N1176" s="30">
        <f t="shared" si="75"/>
        <v>3.7113422393697526E-4</v>
      </c>
      <c r="O1176" s="30">
        <f t="shared" si="75"/>
        <v>3.1174896238295169E-4</v>
      </c>
      <c r="P1176" s="30">
        <f t="shared" si="75"/>
        <v>8.5522030354656664E-4</v>
      </c>
      <c r="Q1176" s="30">
        <f t="shared" si="75"/>
        <v>-3.1043411357556394E-4</v>
      </c>
      <c r="R1176" s="30">
        <f t="shared" si="74"/>
        <v>9.6527319770212117E-4</v>
      </c>
      <c r="S1176" s="30">
        <f t="shared" si="74"/>
        <v>0</v>
      </c>
      <c r="T1176" s="30">
        <f t="shared" si="74"/>
        <v>1.8132783762090376E-3</v>
      </c>
      <c r="U1176" s="63">
        <f t="shared" si="73"/>
        <v>2.0864505966008309E-3</v>
      </c>
    </row>
    <row r="1177" spans="1:21">
      <c r="A1177" s="28">
        <v>45035</v>
      </c>
      <c r="B1177" s="29">
        <v>1995.1999510000001</v>
      </c>
      <c r="C1177" s="29">
        <v>25.365999219999999</v>
      </c>
      <c r="D1177" s="29">
        <v>79.160003660000001</v>
      </c>
      <c r="E1177" s="29">
        <v>13088.70996</v>
      </c>
      <c r="F1177" s="29">
        <v>4154.5200199999999</v>
      </c>
      <c r="G1177" s="29">
        <v>33897.011720000002</v>
      </c>
      <c r="H1177" s="29">
        <v>10.35999966</v>
      </c>
      <c r="I1177" s="29">
        <v>8.4200000760000009</v>
      </c>
      <c r="J1177" s="29">
        <v>11.039999959999999</v>
      </c>
      <c r="L1177" s="30">
        <f t="shared" si="75"/>
        <v>-6.0775494939417918E-3</v>
      </c>
      <c r="M1177" s="30">
        <f t="shared" si="75"/>
        <v>4.6736388539940776E-3</v>
      </c>
      <c r="N1177" s="30">
        <f t="shared" si="75"/>
        <v>-2.1023954206967455E-2</v>
      </c>
      <c r="O1177" s="30">
        <f t="shared" si="75"/>
        <v>-2.3526805659035421E-4</v>
      </c>
      <c r="P1177" s="30">
        <f t="shared" si="75"/>
        <v>-8.4261839754740109E-5</v>
      </c>
      <c r="Q1177" s="30">
        <f t="shared" si="75"/>
        <v>-2.3432928031469347E-3</v>
      </c>
      <c r="R1177" s="30">
        <f t="shared" si="74"/>
        <v>-9.6434234388420581E-4</v>
      </c>
      <c r="S1177" s="30">
        <f t="shared" si="74"/>
        <v>0</v>
      </c>
      <c r="T1177" s="30">
        <f t="shared" si="74"/>
        <v>-9.0499817448430608E-4</v>
      </c>
      <c r="U1177" s="63">
        <f t="shared" si="73"/>
        <v>-1.4618159846312955E-3</v>
      </c>
    </row>
    <row r="1178" spans="1:21">
      <c r="A1178" s="28">
        <v>45036</v>
      </c>
      <c r="B1178" s="29">
        <v>2007.599976</v>
      </c>
      <c r="C1178" s="29">
        <v>25.368000030000001</v>
      </c>
      <c r="D1178" s="29">
        <v>77.290000919999997</v>
      </c>
      <c r="E1178" s="29">
        <v>12985.98047</v>
      </c>
      <c r="F1178" s="29">
        <v>4129.7900390000004</v>
      </c>
      <c r="G1178" s="29">
        <v>33786.621090000001</v>
      </c>
      <c r="H1178" s="29">
        <v>10.399999619999999</v>
      </c>
      <c r="I1178" s="29">
        <v>8.4399995800000003</v>
      </c>
      <c r="J1178" s="29">
        <v>11.079999920000001</v>
      </c>
      <c r="L1178" s="30">
        <f t="shared" si="75"/>
        <v>6.2149284806192195E-3</v>
      </c>
      <c r="M1178" s="30">
        <f t="shared" si="75"/>
        <v>7.8877633900686916E-5</v>
      </c>
      <c r="N1178" s="30">
        <f t="shared" si="75"/>
        <v>-2.3623075461591037E-2</v>
      </c>
      <c r="O1178" s="30">
        <f t="shared" si="75"/>
        <v>-7.8487100954905964E-3</v>
      </c>
      <c r="P1178" s="30">
        <f t="shared" si="75"/>
        <v>-5.9525482801739971E-3</v>
      </c>
      <c r="Q1178" s="30">
        <f t="shared" si="75"/>
        <v>-3.2566478399884691E-3</v>
      </c>
      <c r="R1178" s="30">
        <f t="shared" si="74"/>
        <v>3.8610001267123106E-3</v>
      </c>
      <c r="S1178" s="30">
        <f t="shared" si="74"/>
        <v>2.3752379833112958E-3</v>
      </c>
      <c r="T1178" s="30">
        <f t="shared" si="74"/>
        <v>3.6231847957362007E-3</v>
      </c>
      <c r="U1178" s="63">
        <f t="shared" si="73"/>
        <v>-3.4800733235534793E-3</v>
      </c>
    </row>
    <row r="1179" spans="1:21">
      <c r="A1179" s="28">
        <v>45037</v>
      </c>
      <c r="B1179" s="29">
        <v>1979.5</v>
      </c>
      <c r="C1179" s="29">
        <v>25.052999499999999</v>
      </c>
      <c r="D1179" s="29">
        <v>77.870002749999998</v>
      </c>
      <c r="E1179" s="29">
        <v>13000.76953</v>
      </c>
      <c r="F1179" s="29">
        <v>4133.5200199999999</v>
      </c>
      <c r="G1179" s="29">
        <v>33808.960939999997</v>
      </c>
      <c r="H1179" s="29">
        <v>10.380000109999999</v>
      </c>
      <c r="I1179" s="29">
        <v>8.4300003050000001</v>
      </c>
      <c r="J1179" s="29">
        <v>11.06000042</v>
      </c>
      <c r="L1179" s="30">
        <f t="shared" si="75"/>
        <v>-1.3996800326720016E-2</v>
      </c>
      <c r="M1179" s="30">
        <f t="shared" si="75"/>
        <v>-1.2417239420824844E-2</v>
      </c>
      <c r="N1179" s="30">
        <f t="shared" si="75"/>
        <v>7.5042285301605283E-3</v>
      </c>
      <c r="O1179" s="30">
        <f t="shared" si="75"/>
        <v>1.1388481627678804E-3</v>
      </c>
      <c r="P1179" s="30">
        <f t="shared" si="75"/>
        <v>9.0318901560970666E-4</v>
      </c>
      <c r="Q1179" s="30">
        <f t="shared" si="75"/>
        <v>6.6120402926617139E-4</v>
      </c>
      <c r="R1179" s="30">
        <f t="shared" si="74"/>
        <v>-1.9230298779568944E-3</v>
      </c>
      <c r="S1179" s="30">
        <f t="shared" si="74"/>
        <v>-1.184748281705561E-3</v>
      </c>
      <c r="T1179" s="30">
        <f t="shared" si="74"/>
        <v>-1.8050090383033845E-3</v>
      </c>
      <c r="U1179" s="63">
        <f t="shared" si="73"/>
        <v>-2.058837746993896E-3</v>
      </c>
    </row>
    <row r="1180" spans="1:21">
      <c r="A1180" s="28">
        <v>45040</v>
      </c>
      <c r="B1180" s="29">
        <v>1989.099976</v>
      </c>
      <c r="C1180" s="29">
        <v>25.305999759999999</v>
      </c>
      <c r="D1180" s="29">
        <v>78.760002139999997</v>
      </c>
      <c r="E1180" s="29">
        <v>12969.759770000001</v>
      </c>
      <c r="F1180" s="29">
        <v>4137.0400390000004</v>
      </c>
      <c r="G1180" s="29">
        <v>33875.398439999997</v>
      </c>
      <c r="H1180" s="29">
        <v>10.420000079999999</v>
      </c>
      <c r="I1180" s="29">
        <v>8.4600000380000004</v>
      </c>
      <c r="J1180" s="29">
        <v>11.100000380000001</v>
      </c>
      <c r="L1180" s="30">
        <f t="shared" si="75"/>
        <v>4.8496973983329639E-3</v>
      </c>
      <c r="M1180" s="30">
        <f t="shared" si="75"/>
        <v>1.0098601566650656E-2</v>
      </c>
      <c r="N1180" s="30">
        <f t="shared" si="75"/>
        <v>1.1429297015146167E-2</v>
      </c>
      <c r="O1180" s="30">
        <f t="shared" si="75"/>
        <v>-2.3852249613718346E-3</v>
      </c>
      <c r="P1180" s="30">
        <f t="shared" si="75"/>
        <v>8.5157903747146158E-4</v>
      </c>
      <c r="Q1180" s="30">
        <f t="shared" si="75"/>
        <v>1.9650855321435845E-3</v>
      </c>
      <c r="R1180" s="30">
        <f t="shared" si="74"/>
        <v>3.8535616161954334E-3</v>
      </c>
      <c r="S1180" s="30">
        <f t="shared" si="74"/>
        <v>3.5586870598578457E-3</v>
      </c>
      <c r="T1180" s="30">
        <f t="shared" si="74"/>
        <v>3.6166327740521087E-3</v>
      </c>
      <c r="U1180" s="63">
        <f t="shared" si="73"/>
        <v>3.6630566472311771E-3</v>
      </c>
    </row>
    <row r="1181" spans="1:21">
      <c r="A1181" s="28">
        <v>45041</v>
      </c>
      <c r="B1181" s="29">
        <v>1994</v>
      </c>
      <c r="C1181" s="29">
        <v>24.877000809999998</v>
      </c>
      <c r="D1181" s="29">
        <v>77.069999690000003</v>
      </c>
      <c r="E1181" s="29">
        <v>12725.110350000001</v>
      </c>
      <c r="F1181" s="29">
        <v>4071.6298830000001</v>
      </c>
      <c r="G1181" s="29">
        <v>33530.828130000002</v>
      </c>
      <c r="H1181" s="29">
        <v>10.5</v>
      </c>
      <c r="I1181" s="29">
        <v>8.5200004580000002</v>
      </c>
      <c r="J1181" s="29">
        <v>11.18000031</v>
      </c>
      <c r="L1181" s="30">
        <f t="shared" si="75"/>
        <v>2.4634377653827144E-3</v>
      </c>
      <c r="M1181" s="30">
        <f t="shared" si="75"/>
        <v>-1.6952460051710694E-2</v>
      </c>
      <c r="N1181" s="30">
        <f t="shared" si="75"/>
        <v>-2.1457623210775489E-2</v>
      </c>
      <c r="O1181" s="30">
        <f t="shared" si="75"/>
        <v>-1.8863064878494651E-2</v>
      </c>
      <c r="P1181" s="30">
        <f t="shared" si="75"/>
        <v>-1.5810858822582485E-2</v>
      </c>
      <c r="Q1181" s="30">
        <f t="shared" si="75"/>
        <v>-1.0171697629189458E-2</v>
      </c>
      <c r="R1181" s="30">
        <f t="shared" si="74"/>
        <v>7.6775354496927406E-3</v>
      </c>
      <c r="S1181" s="30">
        <f t="shared" si="74"/>
        <v>7.0922481950939087E-3</v>
      </c>
      <c r="T1181" s="30">
        <f t="shared" si="74"/>
        <v>7.2072006541679112E-3</v>
      </c>
      <c r="U1181" s="63">
        <f t="shared" si="73"/>
        <v>-9.5433145754439119E-3</v>
      </c>
    </row>
    <row r="1182" spans="1:21">
      <c r="A1182" s="28">
        <v>45042</v>
      </c>
      <c r="B1182" s="29">
        <v>1985.6999510000001</v>
      </c>
      <c r="C1182" s="29">
        <v>24.871000290000001</v>
      </c>
      <c r="D1182" s="29">
        <v>74.300003050000001</v>
      </c>
      <c r="E1182" s="29">
        <v>12806.48047</v>
      </c>
      <c r="F1182" s="29">
        <v>4055.98999</v>
      </c>
      <c r="G1182" s="29">
        <v>33301.871090000001</v>
      </c>
      <c r="H1182" s="29">
        <v>10.460000040000001</v>
      </c>
      <c r="I1182" s="29">
        <v>8.4799995419999998</v>
      </c>
      <c r="J1182" s="29">
        <v>11.14000034</v>
      </c>
      <c r="L1182" s="30">
        <f t="shared" si="75"/>
        <v>-4.1625120361082901E-3</v>
      </c>
      <c r="M1182" s="30">
        <f t="shared" si="75"/>
        <v>-2.4120753324829991E-4</v>
      </c>
      <c r="N1182" s="30">
        <f t="shared" si="75"/>
        <v>-3.5941308565483387E-2</v>
      </c>
      <c r="O1182" s="30">
        <f t="shared" si="75"/>
        <v>6.3944529958437357E-3</v>
      </c>
      <c r="P1182" s="30">
        <f t="shared" si="75"/>
        <v>-3.8411873007662134E-3</v>
      </c>
      <c r="Q1182" s="30">
        <f t="shared" si="75"/>
        <v>-6.8282548558695755E-3</v>
      </c>
      <c r="R1182" s="30">
        <f t="shared" si="74"/>
        <v>-3.8095199999998997E-3</v>
      </c>
      <c r="S1182" s="30">
        <f t="shared" si="74"/>
        <v>-4.6949429401075271E-3</v>
      </c>
      <c r="T1182" s="30">
        <f t="shared" si="74"/>
        <v>-3.5778147487368628E-3</v>
      </c>
      <c r="U1182" s="63">
        <f t="shared" si="73"/>
        <v>-4.7334066249185907E-3</v>
      </c>
    </row>
    <row r="1183" spans="1:21">
      <c r="A1183" s="28">
        <v>45043</v>
      </c>
      <c r="B1183" s="29">
        <v>1989.900024</v>
      </c>
      <c r="C1183" s="29">
        <v>24.982999800000002</v>
      </c>
      <c r="D1183" s="29">
        <v>74.760002139999997</v>
      </c>
      <c r="E1183" s="29">
        <v>13160.030269999999</v>
      </c>
      <c r="F1183" s="29">
        <v>4135.3500979999999</v>
      </c>
      <c r="G1183" s="29">
        <v>33826.160159999999</v>
      </c>
      <c r="H1183" s="29">
        <v>10.40999985</v>
      </c>
      <c r="I1183" s="29">
        <v>8.4499998089999995</v>
      </c>
      <c r="J1183" s="29">
        <v>11.09000015</v>
      </c>
      <c r="L1183" s="30">
        <f t="shared" si="75"/>
        <v>2.1151599454312109E-3</v>
      </c>
      <c r="M1183" s="30">
        <f t="shared" si="75"/>
        <v>4.5032169472103423E-3</v>
      </c>
      <c r="N1183" s="30">
        <f t="shared" si="75"/>
        <v>6.1911045910785223E-3</v>
      </c>
      <c r="O1183" s="30">
        <f t="shared" si="75"/>
        <v>2.7607101016412061E-2</v>
      </c>
      <c r="P1183" s="30">
        <f t="shared" si="75"/>
        <v>1.9566149866163673E-2</v>
      </c>
      <c r="Q1183" s="30">
        <f t="shared" si="75"/>
        <v>1.574353190495148E-2</v>
      </c>
      <c r="R1183" s="30">
        <f t="shared" si="74"/>
        <v>-4.7801328689096589E-3</v>
      </c>
      <c r="S1183" s="30">
        <f t="shared" si="74"/>
        <v>-3.5377045542770436E-3</v>
      </c>
      <c r="T1183" s="30">
        <f t="shared" si="74"/>
        <v>-4.4883472597812002E-3</v>
      </c>
      <c r="U1183" s="63">
        <f t="shared" si="73"/>
        <v>9.9065226009645638E-3</v>
      </c>
    </row>
    <row r="1184" spans="1:21">
      <c r="A1184" s="28">
        <v>45044</v>
      </c>
      <c r="B1184" s="29">
        <v>1990.099976</v>
      </c>
      <c r="C1184" s="29">
        <v>24.999000550000002</v>
      </c>
      <c r="D1184" s="29">
        <v>76.77999878</v>
      </c>
      <c r="E1184" s="29">
        <v>13245.990229999999</v>
      </c>
      <c r="F1184" s="29">
        <v>4169.4799800000001</v>
      </c>
      <c r="G1184" s="29">
        <v>34098.160159999999</v>
      </c>
      <c r="H1184" s="29">
        <v>10.460000040000001</v>
      </c>
      <c r="I1184" s="29">
        <v>8.4899997710000008</v>
      </c>
      <c r="J1184" s="29">
        <v>11.119999890000001</v>
      </c>
      <c r="L1184" s="30">
        <f t="shared" si="75"/>
        <v>1.0048344016699851E-4</v>
      </c>
      <c r="M1184" s="30">
        <f t="shared" si="75"/>
        <v>6.4046552167851267E-4</v>
      </c>
      <c r="N1184" s="30">
        <f t="shared" si="75"/>
        <v>2.7019750965459277E-2</v>
      </c>
      <c r="O1184" s="30">
        <f t="shared" si="75"/>
        <v>6.531896829747863E-3</v>
      </c>
      <c r="P1184" s="30">
        <f t="shared" si="75"/>
        <v>8.2532025562978006E-3</v>
      </c>
      <c r="Q1184" s="30">
        <f t="shared" si="75"/>
        <v>8.0411137035187874E-3</v>
      </c>
      <c r="R1184" s="30">
        <f t="shared" si="74"/>
        <v>4.8030922882289495E-3</v>
      </c>
      <c r="S1184" s="30">
        <f t="shared" si="74"/>
        <v>4.7337234206086265E-3</v>
      </c>
      <c r="T1184" s="30">
        <f t="shared" si="74"/>
        <v>2.7051162844213827E-3</v>
      </c>
      <c r="U1184" s="63">
        <f t="shared" si="73"/>
        <v>6.7405670270454573E-3</v>
      </c>
    </row>
    <row r="1185" spans="1:21">
      <c r="A1185" s="28">
        <v>45047</v>
      </c>
      <c r="B1185" s="29">
        <v>1983.400024</v>
      </c>
      <c r="C1185" s="29">
        <v>25.009000780000001</v>
      </c>
      <c r="D1185" s="29">
        <v>75.660003660000001</v>
      </c>
      <c r="E1185" s="29">
        <v>13231.469730000001</v>
      </c>
      <c r="F1185" s="29">
        <v>4167.8701170000004</v>
      </c>
      <c r="G1185" s="29">
        <v>34051.699220000002</v>
      </c>
      <c r="H1185" s="29">
        <v>10.35999966</v>
      </c>
      <c r="I1185" s="29">
        <v>8.4099998469999999</v>
      </c>
      <c r="J1185" s="29">
        <v>11.010000229999999</v>
      </c>
      <c r="L1185" s="30">
        <f t="shared" si="75"/>
        <v>-3.3666409129186059E-3</v>
      </c>
      <c r="M1185" s="30">
        <f t="shared" si="75"/>
        <v>4.0002519220716515E-4</v>
      </c>
      <c r="N1185" s="30">
        <f t="shared" si="75"/>
        <v>-1.4587068739205789E-2</v>
      </c>
      <c r="O1185" s="30">
        <f t="shared" si="75"/>
        <v>-1.0962185346560238E-3</v>
      </c>
      <c r="P1185" s="30">
        <f t="shared" si="75"/>
        <v>-3.861064227965727E-4</v>
      </c>
      <c r="Q1185" s="30">
        <f t="shared" si="75"/>
        <v>-1.362564425235413E-3</v>
      </c>
      <c r="R1185" s="30">
        <f t="shared" si="74"/>
        <v>-9.5602657378193179E-3</v>
      </c>
      <c r="S1185" s="30">
        <f t="shared" si="74"/>
        <v>-9.4228417147034227E-3</v>
      </c>
      <c r="T1185" s="30">
        <f t="shared" si="74"/>
        <v>-9.8920558532489267E-3</v>
      </c>
      <c r="U1185" s="63">
        <f t="shared" si="73"/>
        <v>-4.0433626339434212E-3</v>
      </c>
    </row>
    <row r="1186" spans="1:21">
      <c r="A1186" s="28">
        <v>45048</v>
      </c>
      <c r="B1186" s="29">
        <v>2014.3000489999999</v>
      </c>
      <c r="C1186" s="29">
        <v>25.403999330000001</v>
      </c>
      <c r="D1186" s="29">
        <v>71.660003660000001</v>
      </c>
      <c r="E1186" s="29">
        <v>13113.660159999999</v>
      </c>
      <c r="F1186" s="29">
        <v>4119.580078</v>
      </c>
      <c r="G1186" s="29">
        <v>33684.53125</v>
      </c>
      <c r="H1186" s="29">
        <v>10.460000040000001</v>
      </c>
      <c r="I1186" s="29">
        <v>8.4799995419999998</v>
      </c>
      <c r="J1186" s="29">
        <v>11.10999966</v>
      </c>
      <c r="L1186" s="30">
        <f t="shared" si="75"/>
        <v>1.5579320674647734E-2</v>
      </c>
      <c r="M1186" s="30">
        <f t="shared" si="75"/>
        <v>1.579425557521219E-2</v>
      </c>
      <c r="N1186" s="30">
        <f t="shared" si="75"/>
        <v>-5.2868091547750296E-2</v>
      </c>
      <c r="O1186" s="30">
        <f t="shared" si="75"/>
        <v>-8.9037402801057652E-3</v>
      </c>
      <c r="P1186" s="30">
        <f t="shared" si="75"/>
        <v>-1.1586262921925994E-2</v>
      </c>
      <c r="Q1186" s="30">
        <f t="shared" si="75"/>
        <v>-1.0782662199258164E-2</v>
      </c>
      <c r="R1186" s="30">
        <f t="shared" si="74"/>
        <v>9.6525466488288636E-3</v>
      </c>
      <c r="S1186" s="30">
        <f t="shared" si="74"/>
        <v>8.3233883797240171E-3</v>
      </c>
      <c r="T1186" s="30">
        <f t="shared" si="74"/>
        <v>9.0826001735697659E-3</v>
      </c>
      <c r="U1186" s="63">
        <f t="shared" si="73"/>
        <v>-3.3699926218439956E-3</v>
      </c>
    </row>
    <row r="1187" spans="1:21">
      <c r="A1187" s="28">
        <v>45049</v>
      </c>
      <c r="B1187" s="29">
        <v>2028.599976</v>
      </c>
      <c r="C1187" s="29">
        <v>25.475999829999999</v>
      </c>
      <c r="D1187" s="29">
        <v>68.599998470000003</v>
      </c>
      <c r="E1187" s="29">
        <v>13030.20996</v>
      </c>
      <c r="F1187" s="29">
        <v>4090.75</v>
      </c>
      <c r="G1187" s="29">
        <v>33414.238279999998</v>
      </c>
      <c r="H1187" s="29">
        <v>10.5</v>
      </c>
      <c r="I1187" s="29">
        <v>8.5200004580000002</v>
      </c>
      <c r="J1187" s="29">
        <v>11.15999985</v>
      </c>
      <c r="L1187" s="30">
        <f t="shared" si="75"/>
        <v>7.0992040173454285E-3</v>
      </c>
      <c r="M1187" s="30">
        <f t="shared" si="75"/>
        <v>2.834219095375623E-3</v>
      </c>
      <c r="N1187" s="30">
        <f t="shared" si="75"/>
        <v>-4.2701716909178233E-2</v>
      </c>
      <c r="O1187" s="30">
        <f t="shared" si="75"/>
        <v>-6.3636085564077183E-3</v>
      </c>
      <c r="P1187" s="30">
        <f t="shared" si="75"/>
        <v>-6.9983050345259201E-3</v>
      </c>
      <c r="Q1187" s="30">
        <f t="shared" si="75"/>
        <v>-8.0242461441407675E-3</v>
      </c>
      <c r="R1187" s="30">
        <f t="shared" si="74"/>
        <v>3.8240879394870753E-3</v>
      </c>
      <c r="S1187" s="30">
        <f t="shared" si="74"/>
        <v>4.7170894057106949E-3</v>
      </c>
      <c r="T1187" s="30">
        <f t="shared" si="74"/>
        <v>4.5004672844428661E-3</v>
      </c>
      <c r="U1187" s="63">
        <f t="shared" si="73"/>
        <v>-4.3583269166654372E-3</v>
      </c>
    </row>
    <row r="1188" spans="1:21">
      <c r="A1188" s="28">
        <v>45050</v>
      </c>
      <c r="B1188" s="29">
        <v>2048</v>
      </c>
      <c r="C1188" s="29">
        <v>26.034999849999998</v>
      </c>
      <c r="D1188" s="29">
        <v>68.559997559999999</v>
      </c>
      <c r="E1188" s="29">
        <v>12982.48047</v>
      </c>
      <c r="F1188" s="29">
        <v>4061.219971</v>
      </c>
      <c r="G1188" s="29">
        <v>33127.738279999998</v>
      </c>
      <c r="H1188" s="29">
        <v>10.47999954</v>
      </c>
      <c r="I1188" s="29">
        <v>8.5</v>
      </c>
      <c r="J1188" s="29">
        <v>11.14000034</v>
      </c>
      <c r="L1188" s="30">
        <f t="shared" si="75"/>
        <v>9.563257532050784E-3</v>
      </c>
      <c r="M1188" s="30">
        <f t="shared" si="75"/>
        <v>2.1942221060220479E-2</v>
      </c>
      <c r="N1188" s="30">
        <f t="shared" si="75"/>
        <v>-5.8310365731994995E-4</v>
      </c>
      <c r="O1188" s="30">
        <f t="shared" si="75"/>
        <v>-3.662987023733244E-3</v>
      </c>
      <c r="P1188" s="30">
        <f t="shared" si="75"/>
        <v>-7.2187322618101346E-3</v>
      </c>
      <c r="Q1188" s="30">
        <f t="shared" si="75"/>
        <v>-8.5741891704735895E-3</v>
      </c>
      <c r="R1188" s="30">
        <f t="shared" si="74"/>
        <v>-1.9048057142857511E-3</v>
      </c>
      <c r="S1188" s="30">
        <f t="shared" si="74"/>
        <v>-2.3474714700537636E-3</v>
      </c>
      <c r="T1188" s="30">
        <f t="shared" si="74"/>
        <v>-1.7920708126174523E-3</v>
      </c>
      <c r="U1188" s="63">
        <f t="shared" si="73"/>
        <v>3.57420661123051E-4</v>
      </c>
    </row>
    <row r="1189" spans="1:21">
      <c r="A1189" s="28">
        <v>45051</v>
      </c>
      <c r="B1189" s="29">
        <v>2017.400024</v>
      </c>
      <c r="C1189" s="29">
        <v>25.743000030000001</v>
      </c>
      <c r="D1189" s="29">
        <v>71.339996339999999</v>
      </c>
      <c r="E1189" s="29">
        <v>13259.12988</v>
      </c>
      <c r="F1189" s="29">
        <v>4136.25</v>
      </c>
      <c r="G1189" s="29">
        <v>33674.378909999999</v>
      </c>
      <c r="H1189" s="29">
        <v>10.44999981</v>
      </c>
      <c r="I1189" s="29">
        <v>8.4799995419999998</v>
      </c>
      <c r="J1189" s="29">
        <v>11.10999966</v>
      </c>
      <c r="L1189" s="30">
        <f t="shared" si="75"/>
        <v>-1.4941394531249985E-2</v>
      </c>
      <c r="M1189" s="30">
        <f t="shared" si="75"/>
        <v>-1.1215664362678957E-2</v>
      </c>
      <c r="N1189" s="30">
        <f t="shared" si="75"/>
        <v>4.0548408385911783E-2</v>
      </c>
      <c r="O1189" s="30">
        <f t="shared" si="75"/>
        <v>2.1309441646323535E-2</v>
      </c>
      <c r="P1189" s="30">
        <f t="shared" si="75"/>
        <v>1.847475131506493E-2</v>
      </c>
      <c r="Q1189" s="30">
        <f t="shared" si="75"/>
        <v>1.6500994585858075E-2</v>
      </c>
      <c r="R1189" s="30">
        <f t="shared" si="74"/>
        <v>-2.8625697821357265E-3</v>
      </c>
      <c r="S1189" s="30">
        <f t="shared" si="74"/>
        <v>-2.3529950588235815E-3</v>
      </c>
      <c r="T1189" s="30">
        <f t="shared" si="74"/>
        <v>-2.693059163766609E-3</v>
      </c>
      <c r="U1189" s="63">
        <f t="shared" si="73"/>
        <v>8.5371700601345121E-3</v>
      </c>
    </row>
    <row r="1190" spans="1:21">
      <c r="A1190" s="28">
        <v>45054</v>
      </c>
      <c r="B1190" s="29">
        <v>2026.3000489999999</v>
      </c>
      <c r="C1190" s="29">
        <v>25.635999680000001</v>
      </c>
      <c r="D1190" s="29">
        <v>73.160003660000001</v>
      </c>
      <c r="E1190" s="29">
        <v>13291.639649999999</v>
      </c>
      <c r="F1190" s="29">
        <v>4138.1201170000004</v>
      </c>
      <c r="G1190" s="29">
        <v>33618.691409999999</v>
      </c>
      <c r="H1190" s="29">
        <v>10.399999619999999</v>
      </c>
      <c r="I1190" s="29">
        <v>8.4300003050000001</v>
      </c>
      <c r="J1190" s="29">
        <v>11.05000019</v>
      </c>
      <c r="L1190" s="30">
        <f t="shared" si="75"/>
        <v>4.4116312551407688E-3</v>
      </c>
      <c r="M1190" s="30">
        <f t="shared" si="75"/>
        <v>-4.1564833110090404E-3</v>
      </c>
      <c r="N1190" s="30">
        <f t="shared" si="75"/>
        <v>2.5511738342766543E-2</v>
      </c>
      <c r="O1190" s="30">
        <f t="shared" si="75"/>
        <v>2.4518780865880885E-3</v>
      </c>
      <c r="P1190" s="30">
        <f t="shared" si="75"/>
        <v>4.5212861891830158E-4</v>
      </c>
      <c r="Q1190" s="30">
        <f t="shared" si="75"/>
        <v>-1.6537053333287588E-3</v>
      </c>
      <c r="R1190" s="30">
        <f t="shared" si="74"/>
        <v>-4.7847072640282429E-3</v>
      </c>
      <c r="S1190" s="30">
        <f t="shared" si="74"/>
        <v>-5.8961367571261913E-3</v>
      </c>
      <c r="T1190" s="30">
        <f t="shared" si="74"/>
        <v>-5.4004925145064719E-3</v>
      </c>
      <c r="U1190" s="63">
        <f t="shared" si="73"/>
        <v>4.6542618860116703E-4</v>
      </c>
    </row>
    <row r="1191" spans="1:21">
      <c r="A1191" s="28">
        <v>45055</v>
      </c>
      <c r="B1191" s="29">
        <v>2036.1999510000001</v>
      </c>
      <c r="C1191" s="29">
        <v>25.69799995</v>
      </c>
      <c r="D1191" s="29">
        <v>73.709999080000003</v>
      </c>
      <c r="E1191" s="29">
        <v>13201.110350000001</v>
      </c>
      <c r="F1191" s="29">
        <v>4119.169922</v>
      </c>
      <c r="G1191" s="29">
        <v>33561.808590000001</v>
      </c>
      <c r="H1191" s="29">
        <v>10.380000109999999</v>
      </c>
      <c r="I1191" s="29">
        <v>8.4200000760000009</v>
      </c>
      <c r="J1191" s="29">
        <v>11.039999959999999</v>
      </c>
      <c r="L1191" s="30">
        <f t="shared" si="75"/>
        <v>4.8857038743526093E-3</v>
      </c>
      <c r="M1191" s="30">
        <f t="shared" si="75"/>
        <v>2.4184845831609625E-3</v>
      </c>
      <c r="N1191" s="30">
        <f t="shared" si="75"/>
        <v>7.5177062942208828E-3</v>
      </c>
      <c r="O1191" s="30">
        <f t="shared" si="75"/>
        <v>-6.8109956622243173E-3</v>
      </c>
      <c r="P1191" s="30">
        <f t="shared" si="75"/>
        <v>-4.5794212019487635E-3</v>
      </c>
      <c r="Q1191" s="30">
        <f t="shared" si="75"/>
        <v>-1.6919998255220392E-3</v>
      </c>
      <c r="R1191" s="30">
        <f t="shared" si="74"/>
        <v>-1.9230298779568944E-3</v>
      </c>
      <c r="S1191" s="30">
        <f t="shared" si="74"/>
        <v>-1.1862667423709894E-3</v>
      </c>
      <c r="T1191" s="30">
        <f t="shared" si="74"/>
        <v>-9.0499817448430608E-4</v>
      </c>
      <c r="U1191" s="63">
        <f t="shared" si="73"/>
        <v>-1.3630307741507746E-3</v>
      </c>
    </row>
    <row r="1192" spans="1:21">
      <c r="A1192" s="28">
        <v>45056</v>
      </c>
      <c r="B1192" s="29">
        <v>2030.5</v>
      </c>
      <c r="C1192" s="29">
        <v>25.461000439999999</v>
      </c>
      <c r="D1192" s="29">
        <v>72.559997559999999</v>
      </c>
      <c r="E1192" s="29">
        <v>13347.83008</v>
      </c>
      <c r="F1192" s="29">
        <v>4137.6401370000003</v>
      </c>
      <c r="G1192" s="29">
        <v>33531.328130000002</v>
      </c>
      <c r="H1192" s="29">
        <v>10.44999981</v>
      </c>
      <c r="I1192" s="29">
        <v>8.4700002669999996</v>
      </c>
      <c r="J1192" s="29">
        <v>11.10999966</v>
      </c>
      <c r="L1192" s="30">
        <f t="shared" si="75"/>
        <v>-2.7993080921158153E-3</v>
      </c>
      <c r="M1192" s="30">
        <f t="shared" si="75"/>
        <v>-9.2224885384514232E-3</v>
      </c>
      <c r="N1192" s="30">
        <f t="shared" si="75"/>
        <v>-1.5601703084433205E-2</v>
      </c>
      <c r="O1192" s="30">
        <f t="shared" si="75"/>
        <v>1.1114196163052315E-2</v>
      </c>
      <c r="P1192" s="30">
        <f t="shared" si="75"/>
        <v>4.4839653012014313E-3</v>
      </c>
      <c r="Q1192" s="30">
        <f t="shared" si="75"/>
        <v>-9.0818883965271269E-4</v>
      </c>
      <c r="R1192" s="30">
        <f t="shared" si="74"/>
        <v>6.7437089844115672E-3</v>
      </c>
      <c r="S1192" s="30">
        <f t="shared" si="74"/>
        <v>5.938264910770874E-3</v>
      </c>
      <c r="T1192" s="30">
        <f t="shared" si="74"/>
        <v>6.3405525592048484E-3</v>
      </c>
      <c r="U1192" s="63">
        <f t="shared" si="73"/>
        <v>1.5499821467106763E-3</v>
      </c>
    </row>
    <row r="1193" spans="1:21">
      <c r="A1193" s="28">
        <v>45057</v>
      </c>
      <c r="B1193" s="29">
        <v>2014.6999510000001</v>
      </c>
      <c r="C1193" s="29">
        <v>24.254999160000001</v>
      </c>
      <c r="D1193" s="29">
        <v>70.870002749999998</v>
      </c>
      <c r="E1193" s="29">
        <v>13389.780269999999</v>
      </c>
      <c r="F1193" s="29">
        <v>4130.6201170000004</v>
      </c>
      <c r="G1193" s="29">
        <v>33309.511720000002</v>
      </c>
      <c r="H1193" s="29">
        <v>10.47000027</v>
      </c>
      <c r="I1193" s="29">
        <v>8.4899997710000008</v>
      </c>
      <c r="J1193" s="29">
        <v>11.14000034</v>
      </c>
      <c r="L1193" s="30">
        <f t="shared" si="75"/>
        <v>-7.7813587786259575E-3</v>
      </c>
      <c r="M1193" s="30">
        <f t="shared" si="75"/>
        <v>-4.7366610076536309E-2</v>
      </c>
      <c r="N1193" s="30">
        <f t="shared" si="75"/>
        <v>-2.3290998715959743E-2</v>
      </c>
      <c r="O1193" s="30">
        <f t="shared" si="75"/>
        <v>3.1428471705567951E-3</v>
      </c>
      <c r="P1193" s="30">
        <f t="shared" si="75"/>
        <v>-1.6966241063897103E-3</v>
      </c>
      <c r="Q1193" s="30">
        <f t="shared" si="75"/>
        <v>-6.6151990502739677E-3</v>
      </c>
      <c r="R1193" s="30">
        <f t="shared" si="74"/>
        <v>1.9139196520234769E-3</v>
      </c>
      <c r="S1193" s="30">
        <f t="shared" si="74"/>
        <v>2.3612164544930536E-3</v>
      </c>
      <c r="T1193" s="30">
        <f t="shared" si="74"/>
        <v>2.7003313157618614E-3</v>
      </c>
      <c r="U1193" s="63">
        <f t="shared" si="73"/>
        <v>-9.0810056453633162E-3</v>
      </c>
    </row>
    <row r="1194" spans="1:21">
      <c r="A1194" s="28">
        <v>45058</v>
      </c>
      <c r="B1194" s="29">
        <v>2014.5</v>
      </c>
      <c r="C1194" s="29">
        <v>23.992000579999999</v>
      </c>
      <c r="D1194" s="29">
        <v>70.040000919999997</v>
      </c>
      <c r="E1194" s="29">
        <v>13340.179690000001</v>
      </c>
      <c r="F1194" s="29">
        <v>4124.080078</v>
      </c>
      <c r="G1194" s="29">
        <v>33300.621090000001</v>
      </c>
      <c r="H1194" s="29">
        <v>10.43000031</v>
      </c>
      <c r="I1194" s="29">
        <v>8.4499998089999995</v>
      </c>
      <c r="J1194" s="29">
        <v>11.079999920000001</v>
      </c>
      <c r="L1194" s="30">
        <f t="shared" si="75"/>
        <v>-9.9246044008127754E-5</v>
      </c>
      <c r="M1194" s="30">
        <f t="shared" si="75"/>
        <v>-1.0843066959726921E-2</v>
      </c>
      <c r="N1194" s="30">
        <f t="shared" si="75"/>
        <v>-1.1711609958982239E-2</v>
      </c>
      <c r="O1194" s="30">
        <f t="shared" si="75"/>
        <v>-3.7043610126396009E-3</v>
      </c>
      <c r="P1194" s="30">
        <f t="shared" si="75"/>
        <v>-1.5833068194976985E-3</v>
      </c>
      <c r="Q1194" s="30">
        <f t="shared" si="75"/>
        <v>-2.6690964655184946E-4</v>
      </c>
      <c r="R1194" s="30">
        <f t="shared" si="74"/>
        <v>-3.8204354315646283E-3</v>
      </c>
      <c r="S1194" s="30">
        <f t="shared" si="74"/>
        <v>-4.7114208573517669E-3</v>
      </c>
      <c r="T1194" s="30">
        <f t="shared" si="74"/>
        <v>-5.3860339469253837E-3</v>
      </c>
      <c r="U1194" s="63">
        <f t="shared" si="73"/>
        <v>-4.7374817308001868E-3</v>
      </c>
    </row>
    <row r="1195" spans="1:21">
      <c r="A1195" s="28">
        <v>45061</v>
      </c>
      <c r="B1195" s="29">
        <v>2018</v>
      </c>
      <c r="C1195" s="29">
        <v>24.127000809999998</v>
      </c>
      <c r="D1195" s="29">
        <v>71.11000061</v>
      </c>
      <c r="E1195" s="29">
        <v>13413.509770000001</v>
      </c>
      <c r="F1195" s="29">
        <v>4136.2797849999997</v>
      </c>
      <c r="G1195" s="29">
        <v>33348.601560000003</v>
      </c>
      <c r="H1195" s="29">
        <v>10.399999619999999</v>
      </c>
      <c r="I1195" s="29">
        <v>8.4300003050000001</v>
      </c>
      <c r="J1195" s="29">
        <v>11.06000042</v>
      </c>
      <c r="L1195" s="30">
        <f t="shared" si="75"/>
        <v>1.7374038222883748E-3</v>
      </c>
      <c r="M1195" s="30">
        <f t="shared" si="75"/>
        <v>5.626885075708854E-3</v>
      </c>
      <c r="N1195" s="30">
        <f t="shared" si="75"/>
        <v>1.5276979953529057E-2</v>
      </c>
      <c r="O1195" s="30">
        <f t="shared" si="75"/>
        <v>5.4969334524759272E-3</v>
      </c>
      <c r="P1195" s="30">
        <f t="shared" si="75"/>
        <v>2.9581644316460931E-3</v>
      </c>
      <c r="Q1195" s="30">
        <f t="shared" si="75"/>
        <v>1.440828081564316E-3</v>
      </c>
      <c r="R1195" s="30">
        <f t="shared" si="74"/>
        <v>-2.876384382389463E-3</v>
      </c>
      <c r="S1195" s="30">
        <f t="shared" si="74"/>
        <v>-2.3668052605987366E-3</v>
      </c>
      <c r="T1195" s="30">
        <f t="shared" si="74"/>
        <v>-1.8050090383033845E-3</v>
      </c>
      <c r="U1195" s="63">
        <f t="shared" si="73"/>
        <v>3.116180487129608E-3</v>
      </c>
    </row>
    <row r="1196" spans="1:21">
      <c r="A1196" s="28">
        <v>45062</v>
      </c>
      <c r="B1196" s="29">
        <v>1988.400024</v>
      </c>
      <c r="C1196" s="29">
        <v>23.73699951</v>
      </c>
      <c r="D1196" s="29">
        <v>70.86000061</v>
      </c>
      <c r="E1196" s="29">
        <v>13426.009770000001</v>
      </c>
      <c r="F1196" s="29">
        <v>4109.8999020000001</v>
      </c>
      <c r="G1196" s="29">
        <v>33012.140630000002</v>
      </c>
      <c r="H1196" s="29">
        <v>10.369999890000001</v>
      </c>
      <c r="I1196" s="29">
        <v>8.4099998469999999</v>
      </c>
      <c r="J1196" s="29">
        <v>11.039999959999999</v>
      </c>
      <c r="L1196" s="30">
        <f t="shared" si="75"/>
        <v>-1.4667976214073342E-2</v>
      </c>
      <c r="M1196" s="30">
        <f t="shared" si="75"/>
        <v>-1.6164516388557981E-2</v>
      </c>
      <c r="N1196" s="30">
        <f t="shared" si="75"/>
        <v>-3.5156799023405849E-3</v>
      </c>
      <c r="O1196" s="30">
        <f t="shared" si="75"/>
        <v>9.3189629070522528E-4</v>
      </c>
      <c r="P1196" s="30">
        <f t="shared" si="75"/>
        <v>-6.3776834187244669E-3</v>
      </c>
      <c r="Q1196" s="30">
        <f t="shared" si="75"/>
        <v>-1.0089206571215592E-2</v>
      </c>
      <c r="R1196" s="30">
        <f t="shared" si="74"/>
        <v>-2.8845895284752565E-3</v>
      </c>
      <c r="S1196" s="30">
        <f t="shared" si="74"/>
        <v>-2.3725334847423118E-3</v>
      </c>
      <c r="T1196" s="30">
        <f t="shared" si="74"/>
        <v>-1.8083597866627166E-3</v>
      </c>
      <c r="U1196" s="63">
        <f t="shared" si="73"/>
        <v>-6.2736598651060207E-3</v>
      </c>
    </row>
    <row r="1197" spans="1:21">
      <c r="A1197" s="28">
        <v>45063</v>
      </c>
      <c r="B1197" s="29">
        <v>1980.6999510000001</v>
      </c>
      <c r="C1197" s="29">
        <v>23.752000809999998</v>
      </c>
      <c r="D1197" s="29">
        <v>72.83000183</v>
      </c>
      <c r="E1197" s="29">
        <v>13589.259770000001</v>
      </c>
      <c r="F1197" s="29">
        <v>4158.7700199999999</v>
      </c>
      <c r="G1197" s="29">
        <v>33420.769529999998</v>
      </c>
      <c r="H1197" s="29">
        <v>10.350000380000001</v>
      </c>
      <c r="I1197" s="29">
        <v>8.3999996190000008</v>
      </c>
      <c r="J1197" s="29">
        <v>11.02000046</v>
      </c>
      <c r="L1197" s="30">
        <f t="shared" si="75"/>
        <v>-3.872496935757419E-3</v>
      </c>
      <c r="M1197" s="30">
        <f t="shared" si="75"/>
        <v>6.3197962293748411E-4</v>
      </c>
      <c r="N1197" s="30">
        <f t="shared" si="75"/>
        <v>2.7801315312463881E-2</v>
      </c>
      <c r="O1197" s="30">
        <f t="shared" si="75"/>
        <v>1.21592344111634E-2</v>
      </c>
      <c r="P1197" s="30">
        <f t="shared" si="75"/>
        <v>1.1890829257476199E-2</v>
      </c>
      <c r="Q1197" s="30">
        <f t="shared" si="75"/>
        <v>1.2378140047926811E-2</v>
      </c>
      <c r="R1197" s="30">
        <f t="shared" si="74"/>
        <v>-1.9285930773524917E-3</v>
      </c>
      <c r="S1197" s="30">
        <f t="shared" si="74"/>
        <v>-1.1890877743079287E-3</v>
      </c>
      <c r="T1197" s="30">
        <f t="shared" si="74"/>
        <v>-1.8115489196069978E-3</v>
      </c>
      <c r="U1197" s="63">
        <f t="shared" si="73"/>
        <v>7.0306004383491527E-3</v>
      </c>
    </row>
    <row r="1198" spans="1:21">
      <c r="A1198" s="28">
        <v>45064</v>
      </c>
      <c r="B1198" s="29">
        <v>1956.5</v>
      </c>
      <c r="C1198" s="29">
        <v>23.495000839999999</v>
      </c>
      <c r="D1198" s="29">
        <v>71.86000061</v>
      </c>
      <c r="E1198" s="29">
        <v>13834.62012</v>
      </c>
      <c r="F1198" s="29">
        <v>4198.0498049999997</v>
      </c>
      <c r="G1198" s="29">
        <v>33535.910159999999</v>
      </c>
      <c r="H1198" s="29">
        <v>10.30000019</v>
      </c>
      <c r="I1198" s="29">
        <v>8.3599996569999995</v>
      </c>
      <c r="J1198" s="29">
        <v>10.97000027</v>
      </c>
      <c r="L1198" s="30">
        <f t="shared" si="75"/>
        <v>-1.2217878325175957E-2</v>
      </c>
      <c r="M1198" s="30">
        <f t="shared" si="75"/>
        <v>-1.0820139829727404E-2</v>
      </c>
      <c r="N1198" s="30">
        <f t="shared" si="75"/>
        <v>-1.3318703770791918E-2</v>
      </c>
      <c r="O1198" s="30">
        <f t="shared" si="75"/>
        <v>1.8055461015004104E-2</v>
      </c>
      <c r="P1198" s="30">
        <f t="shared" si="75"/>
        <v>9.4450486107908738E-3</v>
      </c>
      <c r="Q1198" s="30">
        <f t="shared" si="75"/>
        <v>3.445181891956306E-3</v>
      </c>
      <c r="R1198" s="30">
        <f t="shared" si="74"/>
        <v>-4.8309360545164548E-3</v>
      </c>
      <c r="S1198" s="30">
        <f t="shared" si="74"/>
        <v>-4.7619004540816467E-3</v>
      </c>
      <c r="T1198" s="30">
        <f t="shared" si="74"/>
        <v>-4.5372221336550389E-3</v>
      </c>
      <c r="U1198" s="63">
        <f t="shared" si="73"/>
        <v>5.5952514729711402E-4</v>
      </c>
    </row>
    <row r="1199" spans="1:21">
      <c r="A1199" s="28">
        <v>45065</v>
      </c>
      <c r="B1199" s="29">
        <v>1978.6999510000001</v>
      </c>
      <c r="C1199" s="29">
        <v>23.920000080000001</v>
      </c>
      <c r="D1199" s="29">
        <v>71.550003050000001</v>
      </c>
      <c r="E1199" s="29">
        <v>13803.490229999999</v>
      </c>
      <c r="F1199" s="29">
        <v>4191.9799800000001</v>
      </c>
      <c r="G1199" s="29">
        <v>33426.628909999999</v>
      </c>
      <c r="H1199" s="29">
        <v>10.27000046</v>
      </c>
      <c r="I1199" s="29">
        <v>8.3400001530000001</v>
      </c>
      <c r="J1199" s="29">
        <v>10.93999958</v>
      </c>
      <c r="L1199" s="30">
        <f t="shared" si="75"/>
        <v>1.1346767697418825E-2</v>
      </c>
      <c r="M1199" s="30">
        <f t="shared" si="75"/>
        <v>1.8088922102800886E-2</v>
      </c>
      <c r="N1199" s="30">
        <f t="shared" si="75"/>
        <v>-4.3139097880394717E-3</v>
      </c>
      <c r="O1199" s="30">
        <f t="shared" si="75"/>
        <v>-2.2501441839373193E-3</v>
      </c>
      <c r="P1199" s="30">
        <f t="shared" si="75"/>
        <v>-1.445867791461275E-3</v>
      </c>
      <c r="Q1199" s="30">
        <f t="shared" si="75"/>
        <v>-3.2586337892313022E-3</v>
      </c>
      <c r="R1199" s="30">
        <f t="shared" si="74"/>
        <v>-2.9125950919035581E-3</v>
      </c>
      <c r="S1199" s="30">
        <f t="shared" si="74"/>
        <v>-2.3922852656164117E-3</v>
      </c>
      <c r="T1199" s="30">
        <f t="shared" si="74"/>
        <v>-2.7347939162812862E-3</v>
      </c>
      <c r="U1199" s="63">
        <f t="shared" si="73"/>
        <v>1.5650588847132725E-3</v>
      </c>
    </row>
    <row r="1200" spans="1:21">
      <c r="A1200" s="28">
        <v>45068</v>
      </c>
      <c r="B1200" s="29">
        <v>1974.8000489999999</v>
      </c>
      <c r="C1200" s="29">
        <v>23.715000150000002</v>
      </c>
      <c r="D1200" s="29">
        <v>71.989997860000003</v>
      </c>
      <c r="E1200" s="29">
        <v>13849.740229999999</v>
      </c>
      <c r="F1200" s="29">
        <v>4192.6298829999996</v>
      </c>
      <c r="G1200" s="29">
        <v>33286.578130000002</v>
      </c>
      <c r="H1200" s="29">
        <v>10.27000046</v>
      </c>
      <c r="I1200" s="29">
        <v>8.3299999239999991</v>
      </c>
      <c r="J1200" s="29">
        <v>10.93000031</v>
      </c>
      <c r="L1200" s="30">
        <f t="shared" si="75"/>
        <v>-1.9709415760733595E-3</v>
      </c>
      <c r="M1200" s="30">
        <f t="shared" si="75"/>
        <v>-8.5702311586279833E-3</v>
      </c>
      <c r="N1200" s="30">
        <f t="shared" si="75"/>
        <v>6.1494729733628795E-3</v>
      </c>
      <c r="O1200" s="30">
        <f t="shared" si="75"/>
        <v>3.3506018571651808E-3</v>
      </c>
      <c r="P1200" s="30">
        <f t="shared" si="75"/>
        <v>1.5503485300505382E-4</v>
      </c>
      <c r="Q1200" s="30">
        <f t="shared" si="75"/>
        <v>-4.1897967149807647E-3</v>
      </c>
      <c r="R1200" s="30">
        <f t="shared" si="74"/>
        <v>0</v>
      </c>
      <c r="S1200" s="30">
        <f t="shared" si="74"/>
        <v>-1.1990682034225264E-3</v>
      </c>
      <c r="T1200" s="30">
        <f t="shared" si="74"/>
        <v>-9.1401008993452493E-4</v>
      </c>
      <c r="U1200" s="63">
        <f t="shared" si="73"/>
        <v>-8.6395949473690257E-4</v>
      </c>
    </row>
    <row r="1201" spans="1:21">
      <c r="A1201" s="28">
        <v>45069</v>
      </c>
      <c r="B1201" s="29">
        <v>1972.400024</v>
      </c>
      <c r="C1201" s="29">
        <v>23.474000929999999</v>
      </c>
      <c r="D1201" s="29">
        <v>72.910003660000001</v>
      </c>
      <c r="E1201" s="29">
        <v>13672.54004</v>
      </c>
      <c r="F1201" s="29">
        <v>4145.580078</v>
      </c>
      <c r="G1201" s="29">
        <v>33055.511720000002</v>
      </c>
      <c r="H1201" s="29">
        <v>10.27999973</v>
      </c>
      <c r="I1201" s="29">
        <v>8.3400001530000001</v>
      </c>
      <c r="J1201" s="29">
        <v>10.94999981</v>
      </c>
      <c r="L1201" s="30">
        <f t="shared" si="75"/>
        <v>-1.2153255724371981E-3</v>
      </c>
      <c r="M1201" s="30">
        <f t="shared" si="75"/>
        <v>-1.0162311552842307E-2</v>
      </c>
      <c r="N1201" s="30">
        <f t="shared" si="75"/>
        <v>1.2779633662292289E-2</v>
      </c>
      <c r="O1201" s="30">
        <f t="shared" si="75"/>
        <v>-1.2794477517792391E-2</v>
      </c>
      <c r="P1201" s="30">
        <f t="shared" si="75"/>
        <v>-1.1222026821583797E-2</v>
      </c>
      <c r="Q1201" s="30">
        <f t="shared" si="75"/>
        <v>-6.9417291587490215E-3</v>
      </c>
      <c r="R1201" s="30">
        <f t="shared" si="74"/>
        <v>9.7363871004141345E-4</v>
      </c>
      <c r="S1201" s="30">
        <f t="shared" si="74"/>
        <v>1.2005076940264647E-3</v>
      </c>
      <c r="T1201" s="30">
        <f t="shared" si="74"/>
        <v>1.8297803689630854E-3</v>
      </c>
      <c r="U1201" s="63">
        <f t="shared" si="73"/>
        <v>-5.4338706263860363E-3</v>
      </c>
    </row>
    <row r="1202" spans="1:21">
      <c r="A1202" s="28">
        <v>45070</v>
      </c>
      <c r="B1202" s="29">
        <v>1962.8000489999999</v>
      </c>
      <c r="C1202" s="29">
        <v>23.114999770000001</v>
      </c>
      <c r="D1202" s="29">
        <v>74.339996339999999</v>
      </c>
      <c r="E1202" s="29">
        <v>13604.48047</v>
      </c>
      <c r="F1202" s="29">
        <v>4115.2402339999999</v>
      </c>
      <c r="G1202" s="29">
        <v>32799.921880000002</v>
      </c>
      <c r="H1202" s="29">
        <v>10.25</v>
      </c>
      <c r="I1202" s="29">
        <v>8.3100004199999997</v>
      </c>
      <c r="J1202" s="29">
        <v>10.920000079999999</v>
      </c>
      <c r="L1202" s="30">
        <f t="shared" si="75"/>
        <v>-4.8671541691281961E-3</v>
      </c>
      <c r="M1202" s="30">
        <f t="shared" si="75"/>
        <v>-1.5293565041193835E-2</v>
      </c>
      <c r="N1202" s="30">
        <f t="shared" si="75"/>
        <v>1.9613120397969697E-2</v>
      </c>
      <c r="O1202" s="30">
        <f t="shared" si="75"/>
        <v>-4.9778292695348281E-3</v>
      </c>
      <c r="P1202" s="30">
        <f t="shared" si="75"/>
        <v>-7.3186003958792822E-3</v>
      </c>
      <c r="Q1202" s="30">
        <f t="shared" si="75"/>
        <v>-7.7321398671724717E-3</v>
      </c>
      <c r="R1202" s="30">
        <f t="shared" si="74"/>
        <v>-2.9182617497987007E-3</v>
      </c>
      <c r="S1202" s="30">
        <f t="shared" si="74"/>
        <v>-3.5970902217800083E-3</v>
      </c>
      <c r="T1202" s="30">
        <f t="shared" si="74"/>
        <v>-2.739701417401208E-3</v>
      </c>
      <c r="U1202" s="63">
        <f t="shared" si="73"/>
        <v>-5.005009992231765E-3</v>
      </c>
    </row>
    <row r="1203" spans="1:21">
      <c r="A1203" s="28">
        <v>45071</v>
      </c>
      <c r="B1203" s="29">
        <v>1943.099976</v>
      </c>
      <c r="C1203" s="29">
        <v>22.7859993</v>
      </c>
      <c r="D1203" s="29">
        <v>71.83000183</v>
      </c>
      <c r="E1203" s="29">
        <v>13938.530269999999</v>
      </c>
      <c r="F1203" s="29">
        <v>4151.2797849999997</v>
      </c>
      <c r="G1203" s="29">
        <v>32764.650389999999</v>
      </c>
      <c r="H1203" s="29">
        <v>10.210000040000001</v>
      </c>
      <c r="I1203" s="29">
        <v>8.2799997330000004</v>
      </c>
      <c r="J1203" s="29">
        <v>10.869999890000001</v>
      </c>
      <c r="L1203" s="30">
        <f t="shared" si="75"/>
        <v>-1.0036719231812041E-2</v>
      </c>
      <c r="M1203" s="30">
        <f t="shared" si="75"/>
        <v>-1.423320239124537E-2</v>
      </c>
      <c r="N1203" s="30">
        <f t="shared" si="75"/>
        <v>-3.3763715813494688E-2</v>
      </c>
      <c r="O1203" s="30">
        <f t="shared" si="75"/>
        <v>2.4554395938649165E-2</v>
      </c>
      <c r="P1203" s="30">
        <f t="shared" si="75"/>
        <v>8.7575813198563779E-3</v>
      </c>
      <c r="Q1203" s="30">
        <f t="shared" si="75"/>
        <v>-1.0753528660538691E-3</v>
      </c>
      <c r="R1203" s="30">
        <f t="shared" si="74"/>
        <v>-3.9024351219512088E-3</v>
      </c>
      <c r="S1203" s="30">
        <f t="shared" si="74"/>
        <v>-3.6101907922646559E-3</v>
      </c>
      <c r="T1203" s="30">
        <f t="shared" si="74"/>
        <v>-4.5787719444777553E-3</v>
      </c>
      <c r="U1203" s="63">
        <f t="shared" si="73"/>
        <v>-8.0065528250138746E-4</v>
      </c>
    </row>
    <row r="1204" spans="1:21">
      <c r="A1204" s="28">
        <v>45072</v>
      </c>
      <c r="B1204" s="29">
        <v>1944.099976</v>
      </c>
      <c r="C1204" s="29">
        <v>23.239999770000001</v>
      </c>
      <c r="D1204" s="29">
        <v>72.66999817</v>
      </c>
      <c r="E1204" s="29">
        <v>14298.410159999999</v>
      </c>
      <c r="F1204" s="29">
        <v>4205.4501950000003</v>
      </c>
      <c r="G1204" s="29">
        <v>33093.339840000001</v>
      </c>
      <c r="H1204" s="29">
        <v>10.22000027</v>
      </c>
      <c r="I1204" s="29">
        <v>8.2899999619999996</v>
      </c>
      <c r="J1204" s="29">
        <v>10.89000034</v>
      </c>
      <c r="L1204" s="30">
        <f t="shared" si="75"/>
        <v>5.1464155851554949E-4</v>
      </c>
      <c r="M1204" s="30">
        <f t="shared" si="75"/>
        <v>1.9924536291897388E-2</v>
      </c>
      <c r="N1204" s="30">
        <f t="shared" si="75"/>
        <v>1.1694226905186733E-2</v>
      </c>
      <c r="O1204" s="30">
        <f t="shared" si="75"/>
        <v>2.5819070090522533E-2</v>
      </c>
      <c r="P1204" s="30">
        <f t="shared" si="75"/>
        <v>1.3049086740849702E-2</v>
      </c>
      <c r="Q1204" s="30">
        <f t="shared" si="75"/>
        <v>1.003183144296016E-2</v>
      </c>
      <c r="R1204" s="30">
        <f t="shared" si="74"/>
        <v>9.7945445257807684E-4</v>
      </c>
      <c r="S1204" s="30">
        <f t="shared" si="74"/>
        <v>1.2077571645494611E-3</v>
      </c>
      <c r="T1204" s="30">
        <f t="shared" si="74"/>
        <v>1.8399678199076952E-3</v>
      </c>
      <c r="U1204" s="63">
        <f t="shared" si="73"/>
        <v>1.1615984171591577E-2</v>
      </c>
    </row>
    <row r="1205" spans="1:21">
      <c r="A1205" s="28">
        <v>45076</v>
      </c>
      <c r="B1205" s="29">
        <v>1958</v>
      </c>
      <c r="C1205" s="29">
        <v>23.125</v>
      </c>
      <c r="D1205" s="29">
        <v>69.459999080000003</v>
      </c>
      <c r="E1205" s="29">
        <v>14354.990229999999</v>
      </c>
      <c r="F1205" s="29">
        <v>4205.5200199999999</v>
      </c>
      <c r="G1205" s="29">
        <v>33042.78125</v>
      </c>
      <c r="H1205" s="29">
        <v>10.289999959999999</v>
      </c>
      <c r="I1205" s="29">
        <v>8.3500003809999992</v>
      </c>
      <c r="J1205" s="29">
        <v>10.97000027</v>
      </c>
      <c r="L1205" s="30">
        <f t="shared" si="75"/>
        <v>7.1498504046070277E-3</v>
      </c>
      <c r="M1205" s="30">
        <f t="shared" si="75"/>
        <v>-4.9483550403667254E-3</v>
      </c>
      <c r="N1205" s="30">
        <f t="shared" si="75"/>
        <v>-4.4172274264968503E-2</v>
      </c>
      <c r="O1205" s="30">
        <f t="shared" si="75"/>
        <v>3.9570881914048339E-3</v>
      </c>
      <c r="P1205" s="30">
        <f t="shared" si="75"/>
        <v>1.6603454270569529E-5</v>
      </c>
      <c r="Q1205" s="30">
        <f t="shared" si="75"/>
        <v>-1.5277572540106643E-3</v>
      </c>
      <c r="R1205" s="30">
        <f t="shared" si="74"/>
        <v>6.8492845548622228E-3</v>
      </c>
      <c r="S1205" s="30">
        <f t="shared" si="74"/>
        <v>7.2376862816685428E-3</v>
      </c>
      <c r="T1205" s="30">
        <f t="shared" si="74"/>
        <v>7.3461825070979536E-3</v>
      </c>
      <c r="U1205" s="63">
        <f t="shared" si="73"/>
        <v>-1.3813703705476551E-3</v>
      </c>
    </row>
    <row r="1206" spans="1:21">
      <c r="A1206" s="28">
        <v>45077</v>
      </c>
      <c r="B1206" s="29">
        <v>1963.900024</v>
      </c>
      <c r="C1206" s="29">
        <v>23.474000929999999</v>
      </c>
      <c r="D1206" s="29">
        <v>68.089996339999999</v>
      </c>
      <c r="E1206" s="29">
        <v>14254.089840000001</v>
      </c>
      <c r="F1206" s="29">
        <v>4179.830078</v>
      </c>
      <c r="G1206" s="29">
        <v>32908.269529999998</v>
      </c>
      <c r="H1206" s="29">
        <v>10.31999969</v>
      </c>
      <c r="I1206" s="29">
        <v>8.3800001139999996</v>
      </c>
      <c r="J1206" s="29">
        <v>10.97999954</v>
      </c>
      <c r="L1206" s="30">
        <f t="shared" si="75"/>
        <v>3.0132911133811113E-3</v>
      </c>
      <c r="M1206" s="30">
        <f t="shared" si="75"/>
        <v>1.5091932108107997E-2</v>
      </c>
      <c r="N1206" s="30">
        <f t="shared" si="75"/>
        <v>-1.9723621626054344E-2</v>
      </c>
      <c r="O1206" s="30">
        <f t="shared" si="75"/>
        <v>-7.0289417396558473E-3</v>
      </c>
      <c r="P1206" s="30">
        <f t="shared" si="75"/>
        <v>-6.1086243503365445E-3</v>
      </c>
      <c r="Q1206" s="30">
        <f t="shared" si="75"/>
        <v>-4.0708352902345535E-3</v>
      </c>
      <c r="R1206" s="30">
        <f t="shared" si="74"/>
        <v>2.9154256673096235E-3</v>
      </c>
      <c r="S1206" s="30">
        <f t="shared" si="74"/>
        <v>3.5927822312755708E-3</v>
      </c>
      <c r="T1206" s="30">
        <f t="shared" si="74"/>
        <v>9.1151046070114816E-4</v>
      </c>
      <c r="U1206" s="63">
        <f t="shared" si="73"/>
        <v>-1.2144864616961191E-3</v>
      </c>
    </row>
    <row r="1207" spans="1:21">
      <c r="A1207" s="28">
        <v>45078</v>
      </c>
      <c r="B1207" s="29">
        <v>1978</v>
      </c>
      <c r="C1207" s="29">
        <v>23.875</v>
      </c>
      <c r="D1207" s="29">
        <v>70.099998470000003</v>
      </c>
      <c r="E1207" s="29">
        <v>14441.509770000001</v>
      </c>
      <c r="F1207" s="29">
        <v>4221.0200199999999</v>
      </c>
      <c r="G1207" s="29">
        <v>33061.570310000003</v>
      </c>
      <c r="H1207" s="29">
        <v>10.34000015</v>
      </c>
      <c r="I1207" s="29">
        <v>8.3900003430000005</v>
      </c>
      <c r="J1207" s="29">
        <v>11</v>
      </c>
      <c r="L1207" s="30">
        <f t="shared" si="75"/>
        <v>7.1795793205815528E-3</v>
      </c>
      <c r="M1207" s="30">
        <f t="shared" si="75"/>
        <v>1.7082689533658435E-2</v>
      </c>
      <c r="N1207" s="30">
        <f t="shared" si="75"/>
        <v>2.951978613661943E-2</v>
      </c>
      <c r="O1207" s="30">
        <f t="shared" si="75"/>
        <v>1.3148502086331781E-2</v>
      </c>
      <c r="P1207" s="30">
        <f t="shared" si="75"/>
        <v>9.8544537053786296E-3</v>
      </c>
      <c r="Q1207" s="30">
        <f t="shared" si="75"/>
        <v>4.6584272643157565E-3</v>
      </c>
      <c r="R1207" s="30">
        <f t="shared" si="75"/>
        <v>1.938029127983576E-3</v>
      </c>
      <c r="S1207" s="30">
        <f t="shared" si="75"/>
        <v>1.1933447331693436E-3</v>
      </c>
      <c r="T1207" s="30">
        <f t="shared" si="75"/>
        <v>1.8215355954378509E-3</v>
      </c>
      <c r="U1207" s="63">
        <f t="shared" si="73"/>
        <v>1.0343353595641718E-2</v>
      </c>
    </row>
    <row r="1208" spans="1:21">
      <c r="A1208" s="28">
        <v>45079</v>
      </c>
      <c r="B1208" s="29">
        <v>1952.400024</v>
      </c>
      <c r="C1208" s="29">
        <v>23.64299965</v>
      </c>
      <c r="D1208" s="29">
        <v>71.739997860000003</v>
      </c>
      <c r="E1208" s="29">
        <v>14546.639649999999</v>
      </c>
      <c r="F1208" s="29">
        <v>4282.3701170000004</v>
      </c>
      <c r="G1208" s="29">
        <v>33762.761720000002</v>
      </c>
      <c r="H1208" s="29">
        <v>10.289999959999999</v>
      </c>
      <c r="I1208" s="29">
        <v>8.3500003809999992</v>
      </c>
      <c r="J1208" s="29">
        <v>10.93999958</v>
      </c>
      <c r="L1208" s="30">
        <f t="shared" si="75"/>
        <v>-1.2942353892821057E-2</v>
      </c>
      <c r="M1208" s="30">
        <f t="shared" si="75"/>
        <v>-9.7172921465968898E-3</v>
      </c>
      <c r="N1208" s="30">
        <f t="shared" si="75"/>
        <v>2.3395141594787061E-2</v>
      </c>
      <c r="O1208" s="30">
        <f t="shared" si="75"/>
        <v>7.2797014768075652E-3</v>
      </c>
      <c r="P1208" s="30">
        <f t="shared" si="75"/>
        <v>1.4534424548879654E-2</v>
      </c>
      <c r="Q1208" s="30">
        <f t="shared" si="75"/>
        <v>2.1208654139090122E-2</v>
      </c>
      <c r="R1208" s="30">
        <f t="shared" si="75"/>
        <v>-4.835608247065637E-3</v>
      </c>
      <c r="S1208" s="30">
        <f t="shared" si="75"/>
        <v>-4.7675757288108134E-3</v>
      </c>
      <c r="T1208" s="30">
        <f t="shared" si="75"/>
        <v>-5.4545836363636413E-3</v>
      </c>
      <c r="U1208" s="63">
        <f t="shared" si="73"/>
        <v>4.2047889671441557E-3</v>
      </c>
    </row>
    <row r="1209" spans="1:21">
      <c r="A1209" s="28">
        <v>45082</v>
      </c>
      <c r="B1209" s="29">
        <v>1958</v>
      </c>
      <c r="C1209" s="29">
        <v>23.5340004</v>
      </c>
      <c r="D1209" s="29">
        <v>72.150001529999997</v>
      </c>
      <c r="E1209" s="29">
        <v>14556.5</v>
      </c>
      <c r="F1209" s="29">
        <v>4273.7900390000004</v>
      </c>
      <c r="G1209" s="29">
        <v>33562.859380000002</v>
      </c>
      <c r="H1209" s="29">
        <v>10.289999959999999</v>
      </c>
      <c r="I1209" s="29">
        <v>8.3500003809999992</v>
      </c>
      <c r="J1209" s="29">
        <v>10.93999958</v>
      </c>
      <c r="L1209" s="30">
        <f t="shared" si="75"/>
        <v>2.8682523720353625E-3</v>
      </c>
      <c r="M1209" s="30">
        <f t="shared" si="75"/>
        <v>-4.6102123932485473E-3</v>
      </c>
      <c r="N1209" s="30">
        <f t="shared" si="75"/>
        <v>5.715133568864994E-3</v>
      </c>
      <c r="O1209" s="30">
        <f t="shared" si="75"/>
        <v>6.7784383453806107E-4</v>
      </c>
      <c r="P1209" s="30">
        <f t="shared" si="75"/>
        <v>-2.0035816068160184E-3</v>
      </c>
      <c r="Q1209" s="30">
        <f t="shared" si="75"/>
        <v>-5.9207934960363584E-3</v>
      </c>
      <c r="R1209" s="30">
        <f t="shared" si="75"/>
        <v>0</v>
      </c>
      <c r="S1209" s="30">
        <f t="shared" si="75"/>
        <v>0</v>
      </c>
      <c r="T1209" s="30">
        <f t="shared" si="75"/>
        <v>0</v>
      </c>
      <c r="U1209" s="63">
        <f t="shared" si="73"/>
        <v>-8.1284739266005649E-4</v>
      </c>
    </row>
    <row r="1210" spans="1:21">
      <c r="A1210" s="28">
        <v>45083</v>
      </c>
      <c r="B1210" s="29">
        <v>1965.5</v>
      </c>
      <c r="C1210" s="29">
        <v>23.573999400000002</v>
      </c>
      <c r="D1210" s="29">
        <v>71.739997860000003</v>
      </c>
      <c r="E1210" s="29">
        <v>14558.089840000001</v>
      </c>
      <c r="F1210" s="29">
        <v>4283.8500979999999</v>
      </c>
      <c r="G1210" s="29">
        <v>33573.28125</v>
      </c>
      <c r="H1210" s="29">
        <v>10.30000019</v>
      </c>
      <c r="I1210" s="29">
        <v>8.3599996569999995</v>
      </c>
      <c r="J1210" s="29">
        <v>10.960000040000001</v>
      </c>
      <c r="L1210" s="30">
        <f t="shared" ref="L1210:T1238" si="76">(B1210/B1209)-1</f>
        <v>3.8304392236976348E-3</v>
      </c>
      <c r="M1210" s="30">
        <f t="shared" si="76"/>
        <v>1.6996260440278466E-3</v>
      </c>
      <c r="N1210" s="30">
        <f t="shared" si="76"/>
        <v>-5.682656428351085E-3</v>
      </c>
      <c r="O1210" s="30">
        <f t="shared" si="76"/>
        <v>1.0921856215451164E-4</v>
      </c>
      <c r="P1210" s="30">
        <f t="shared" si="76"/>
        <v>2.3538964030047627E-3</v>
      </c>
      <c r="Q1210" s="30">
        <f t="shared" si="76"/>
        <v>3.1051794133518662E-4</v>
      </c>
      <c r="R1210" s="30">
        <f t="shared" si="76"/>
        <v>9.7183965392377836E-4</v>
      </c>
      <c r="S1210" s="30">
        <f t="shared" si="76"/>
        <v>1.1975180291912135E-3</v>
      </c>
      <c r="T1210" s="30">
        <f t="shared" si="76"/>
        <v>1.8281956826180501E-3</v>
      </c>
      <c r="U1210" s="63">
        <f t="shared" si="73"/>
        <v>1.1680836311148887E-3</v>
      </c>
    </row>
    <row r="1211" spans="1:21">
      <c r="A1211" s="28">
        <v>45084</v>
      </c>
      <c r="B1211" s="29">
        <v>1942.6999510000001</v>
      </c>
      <c r="C1211" s="29">
        <v>23.43899918</v>
      </c>
      <c r="D1211" s="29">
        <v>72.52999878</v>
      </c>
      <c r="E1211" s="29">
        <v>14303.29004</v>
      </c>
      <c r="F1211" s="29">
        <v>4267.5200199999999</v>
      </c>
      <c r="G1211" s="29">
        <v>33665.019529999998</v>
      </c>
      <c r="H1211" s="29">
        <v>10.25</v>
      </c>
      <c r="I1211" s="29">
        <v>8.3199996949999999</v>
      </c>
      <c r="J1211" s="29">
        <v>10.899999619999999</v>
      </c>
      <c r="L1211" s="30">
        <f t="shared" si="76"/>
        <v>-1.1600126685321732E-2</v>
      </c>
      <c r="M1211" s="30">
        <f t="shared" si="76"/>
        <v>-5.7266574801050352E-3</v>
      </c>
      <c r="N1211" s="30">
        <f t="shared" si="76"/>
        <v>1.1012000886056361E-2</v>
      </c>
      <c r="O1211" s="30">
        <f t="shared" si="76"/>
        <v>-1.7502282428558003E-2</v>
      </c>
      <c r="P1211" s="30">
        <f t="shared" si="76"/>
        <v>-3.8120096703719852E-3</v>
      </c>
      <c r="Q1211" s="30">
        <f t="shared" si="76"/>
        <v>2.7324788219798002E-3</v>
      </c>
      <c r="R1211" s="30">
        <f t="shared" si="76"/>
        <v>-4.85438728909382E-3</v>
      </c>
      <c r="S1211" s="30">
        <f t="shared" si="76"/>
        <v>-4.7846846460701808E-3</v>
      </c>
      <c r="T1211" s="30">
        <f t="shared" si="76"/>
        <v>-5.4744908559326566E-3</v>
      </c>
      <c r="U1211" s="63">
        <f t="shared" si="73"/>
        <v>-5.1330391542185458E-3</v>
      </c>
    </row>
    <row r="1212" spans="1:21">
      <c r="A1212" s="28">
        <v>45085</v>
      </c>
      <c r="B1212" s="29">
        <v>1963.599976</v>
      </c>
      <c r="C1212" s="29">
        <v>24.263999940000001</v>
      </c>
      <c r="D1212" s="29">
        <v>71.290000919999997</v>
      </c>
      <c r="E1212" s="29">
        <v>14484.54004</v>
      </c>
      <c r="F1212" s="29">
        <v>4293.9301759999998</v>
      </c>
      <c r="G1212" s="29">
        <v>33833.609380000002</v>
      </c>
      <c r="H1212" s="29">
        <v>10.30000019</v>
      </c>
      <c r="I1212" s="29">
        <v>8.3599996569999995</v>
      </c>
      <c r="J1212" s="29">
        <v>10.94999981</v>
      </c>
      <c r="L1212" s="30">
        <f t="shared" si="76"/>
        <v>1.0758236231612539E-2</v>
      </c>
      <c r="M1212" s="30">
        <f t="shared" si="76"/>
        <v>3.5197781000135819E-2</v>
      </c>
      <c r="N1212" s="30">
        <f t="shared" si="76"/>
        <v>-1.7096344696781229E-2</v>
      </c>
      <c r="O1212" s="30">
        <f t="shared" si="76"/>
        <v>1.2671909713997564E-2</v>
      </c>
      <c r="P1212" s="30">
        <f t="shared" si="76"/>
        <v>6.1886425549797508E-3</v>
      </c>
      <c r="Q1212" s="30">
        <f t="shared" si="76"/>
        <v>5.0078643159487957E-3</v>
      </c>
      <c r="R1212" s="30">
        <f t="shared" si="76"/>
        <v>4.878067317073187E-3</v>
      </c>
      <c r="S1212" s="30">
        <f t="shared" si="76"/>
        <v>4.8076879166278896E-3</v>
      </c>
      <c r="T1212" s="30">
        <f t="shared" si="76"/>
        <v>4.5871735544151804E-3</v>
      </c>
      <c r="U1212" s="63">
        <f t="shared" si="73"/>
        <v>9.4021234410022157E-3</v>
      </c>
    </row>
    <row r="1213" spans="1:21">
      <c r="A1213" s="28">
        <v>45086</v>
      </c>
      <c r="B1213" s="29">
        <v>1962.1999510000001</v>
      </c>
      <c r="C1213" s="29">
        <v>24.333999630000001</v>
      </c>
      <c r="D1213" s="29">
        <v>70.16999817</v>
      </c>
      <c r="E1213" s="29">
        <v>14528.360350000001</v>
      </c>
      <c r="F1213" s="29">
        <v>4298.8598629999997</v>
      </c>
      <c r="G1213" s="29">
        <v>33876.78125</v>
      </c>
      <c r="H1213" s="29">
        <v>10.27000046</v>
      </c>
      <c r="I1213" s="29">
        <v>8.3400001530000001</v>
      </c>
      <c r="J1213" s="29">
        <v>10.93000031</v>
      </c>
      <c r="L1213" s="30">
        <f t="shared" si="76"/>
        <v>-7.129889066569417E-4</v>
      </c>
      <c r="M1213" s="30">
        <f t="shared" si="76"/>
        <v>2.8849196411595557E-3</v>
      </c>
      <c r="N1213" s="30">
        <f t="shared" si="76"/>
        <v>-1.5710516700046639E-2</v>
      </c>
      <c r="O1213" s="30">
        <f t="shared" si="76"/>
        <v>3.0253159492112935E-3</v>
      </c>
      <c r="P1213" s="30">
        <f t="shared" si="76"/>
        <v>1.1480594229391627E-3</v>
      </c>
      <c r="Q1213" s="30">
        <f t="shared" si="76"/>
        <v>1.276005451121609E-3</v>
      </c>
      <c r="R1213" s="30">
        <f t="shared" si="76"/>
        <v>-2.9125950919035581E-3</v>
      </c>
      <c r="S1213" s="30">
        <f t="shared" si="76"/>
        <v>-2.3922852656164117E-3</v>
      </c>
      <c r="T1213" s="30">
        <f t="shared" si="76"/>
        <v>-1.8264383878558998E-3</v>
      </c>
      <c r="U1213" s="63">
        <f t="shared" si="73"/>
        <v>-6.440744862965227E-4</v>
      </c>
    </row>
    <row r="1214" spans="1:21">
      <c r="A1214" s="28">
        <v>45089</v>
      </c>
      <c r="B1214" s="29">
        <v>1955.3000489999999</v>
      </c>
      <c r="C1214" s="29">
        <v>23.98500061</v>
      </c>
      <c r="D1214" s="29">
        <v>67.120002749999998</v>
      </c>
      <c r="E1214" s="29">
        <v>14784.299800000001</v>
      </c>
      <c r="F1214" s="29">
        <v>4338.9301759999998</v>
      </c>
      <c r="G1214" s="29">
        <v>34066.328130000002</v>
      </c>
      <c r="H1214" s="29">
        <v>10.289999959999999</v>
      </c>
      <c r="I1214" s="29">
        <v>8.3500003809999992</v>
      </c>
      <c r="J1214" s="29">
        <v>10.94999981</v>
      </c>
      <c r="L1214" s="30">
        <f t="shared" si="76"/>
        <v>-3.5164112589461949E-3</v>
      </c>
      <c r="M1214" s="30">
        <f t="shared" si="76"/>
        <v>-1.4342032765125023E-2</v>
      </c>
      <c r="N1214" s="30">
        <f t="shared" si="76"/>
        <v>-4.3465804468325819E-2</v>
      </c>
      <c r="O1214" s="30">
        <f t="shared" si="76"/>
        <v>1.7616540602945596E-2</v>
      </c>
      <c r="P1214" s="30">
        <f t="shared" si="76"/>
        <v>9.3211489271569636E-3</v>
      </c>
      <c r="Q1214" s="30">
        <f t="shared" si="76"/>
        <v>5.5951856406075695E-3</v>
      </c>
      <c r="R1214" s="30">
        <f t="shared" si="76"/>
        <v>1.9473708962227665E-3</v>
      </c>
      <c r="S1214" s="30">
        <f t="shared" si="76"/>
        <v>1.1990680835181067E-3</v>
      </c>
      <c r="T1214" s="30">
        <f t="shared" si="76"/>
        <v>1.8297803689630854E-3</v>
      </c>
      <c r="U1214" s="63">
        <f t="shared" si="73"/>
        <v>-1.7013514913255103E-4</v>
      </c>
    </row>
    <row r="1215" spans="1:21">
      <c r="A1215" s="28">
        <v>45090</v>
      </c>
      <c r="B1215" s="29">
        <v>1944.599976</v>
      </c>
      <c r="C1215" s="29">
        <v>23.756000520000001</v>
      </c>
      <c r="D1215" s="29">
        <v>69.41999817</v>
      </c>
      <c r="E1215" s="29">
        <v>14900.849609999999</v>
      </c>
      <c r="F1215" s="29">
        <v>4369.0097660000001</v>
      </c>
      <c r="G1215" s="29">
        <v>34212.121090000001</v>
      </c>
      <c r="H1215" s="29">
        <v>10.239999770000001</v>
      </c>
      <c r="I1215" s="29">
        <v>8.3199996949999999</v>
      </c>
      <c r="J1215" s="29">
        <v>10.899999619999999</v>
      </c>
      <c r="L1215" s="30">
        <f t="shared" si="76"/>
        <v>-5.4723432372808523E-3</v>
      </c>
      <c r="M1215" s="30">
        <f t="shared" si="76"/>
        <v>-9.5476374474021686E-3</v>
      </c>
      <c r="N1215" s="30">
        <f t="shared" si="76"/>
        <v>3.4266914865405118E-2</v>
      </c>
      <c r="O1215" s="30">
        <f t="shared" si="76"/>
        <v>7.8833500116115562E-3</v>
      </c>
      <c r="P1215" s="30">
        <f t="shared" si="76"/>
        <v>6.9324899871354706E-3</v>
      </c>
      <c r="Q1215" s="30">
        <f t="shared" si="76"/>
        <v>4.2796793198152105E-3</v>
      </c>
      <c r="R1215" s="30">
        <f t="shared" si="76"/>
        <v>-4.8591049751567361E-3</v>
      </c>
      <c r="S1215" s="30">
        <f t="shared" si="76"/>
        <v>-3.5928963630066368E-3</v>
      </c>
      <c r="T1215" s="30">
        <f t="shared" si="76"/>
        <v>-4.5662274764917132E-3</v>
      </c>
      <c r="U1215" s="63">
        <f t="shared" si="73"/>
        <v>2.9460610218399368E-3</v>
      </c>
    </row>
    <row r="1216" spans="1:21">
      <c r="A1216" s="28">
        <v>45091</v>
      </c>
      <c r="B1216" s="29">
        <v>1955.3000489999999</v>
      </c>
      <c r="C1216" s="29">
        <v>24.044000629999999</v>
      </c>
      <c r="D1216" s="29">
        <v>68.269996640000002</v>
      </c>
      <c r="E1216" s="29">
        <v>15005.690430000001</v>
      </c>
      <c r="F1216" s="29">
        <v>4372.5898440000001</v>
      </c>
      <c r="G1216" s="29">
        <v>33979.328130000002</v>
      </c>
      <c r="H1216" s="29">
        <v>10.25</v>
      </c>
      <c r="I1216" s="29">
        <v>8.3199996949999999</v>
      </c>
      <c r="J1216" s="29">
        <v>10.90999985</v>
      </c>
      <c r="L1216" s="30">
        <f t="shared" si="76"/>
        <v>5.5024545572657235E-3</v>
      </c>
      <c r="M1216" s="30">
        <f t="shared" si="76"/>
        <v>1.212325743794862E-2</v>
      </c>
      <c r="N1216" s="30">
        <f t="shared" si="76"/>
        <v>-1.656585364902774E-2</v>
      </c>
      <c r="O1216" s="30">
        <f t="shared" si="76"/>
        <v>7.0358954518703332E-3</v>
      </c>
      <c r="P1216" s="30">
        <f t="shared" si="76"/>
        <v>8.1942549725111391E-4</v>
      </c>
      <c r="Q1216" s="30">
        <f t="shared" si="76"/>
        <v>-6.8044000951476002E-3</v>
      </c>
      <c r="R1216" s="30">
        <f t="shared" si="76"/>
        <v>9.7658498287245266E-4</v>
      </c>
      <c r="S1216" s="30">
        <f t="shared" si="76"/>
        <v>0</v>
      </c>
      <c r="T1216" s="30">
        <f t="shared" si="76"/>
        <v>9.1745232556261769E-4</v>
      </c>
      <c r="U1216" s="63">
        <f t="shared" si="73"/>
        <v>1.8973279995439E-3</v>
      </c>
    </row>
    <row r="1217" spans="1:21">
      <c r="A1217" s="28">
        <v>45092</v>
      </c>
      <c r="B1217" s="29">
        <v>1957.8000489999999</v>
      </c>
      <c r="C1217" s="29">
        <v>23.89100075</v>
      </c>
      <c r="D1217" s="29">
        <v>70.620002749999998</v>
      </c>
      <c r="E1217" s="29">
        <v>15185.48047</v>
      </c>
      <c r="F1217" s="29">
        <v>4425.8398440000001</v>
      </c>
      <c r="G1217" s="29">
        <v>34408.058590000001</v>
      </c>
      <c r="H1217" s="29">
        <v>10.31000042</v>
      </c>
      <c r="I1217" s="29">
        <v>8.3699998860000004</v>
      </c>
      <c r="J1217" s="29">
        <v>10.97000027</v>
      </c>
      <c r="L1217" s="30">
        <f t="shared" si="76"/>
        <v>1.2785761455273992E-3</v>
      </c>
      <c r="M1217" s="30">
        <f t="shared" si="76"/>
        <v>-6.3633287302904407E-3</v>
      </c>
      <c r="N1217" s="30">
        <f t="shared" si="76"/>
        <v>3.4422238547806128E-2</v>
      </c>
      <c r="O1217" s="30">
        <f t="shared" si="76"/>
        <v>1.1981457357040703E-2</v>
      </c>
      <c r="P1217" s="30">
        <f t="shared" si="76"/>
        <v>1.217813741965057E-2</v>
      </c>
      <c r="Q1217" s="30">
        <f t="shared" si="76"/>
        <v>1.2617390737089895E-2</v>
      </c>
      <c r="R1217" s="30">
        <f t="shared" si="76"/>
        <v>5.8536995121951652E-3</v>
      </c>
      <c r="S1217" s="30">
        <f t="shared" si="76"/>
        <v>6.0096385616514869E-3</v>
      </c>
      <c r="T1217" s="30">
        <f t="shared" si="76"/>
        <v>5.4995802772628277E-3</v>
      </c>
      <c r="U1217" s="63">
        <f t="shared" si="73"/>
        <v>8.759278904044588E-3</v>
      </c>
    </row>
    <row r="1218" spans="1:21">
      <c r="A1218" s="28">
        <v>45093</v>
      </c>
      <c r="B1218" s="29">
        <v>1958.400024</v>
      </c>
      <c r="C1218" s="29">
        <v>24.07600021</v>
      </c>
      <c r="D1218" s="29">
        <v>71.77999878</v>
      </c>
      <c r="E1218" s="29">
        <v>15083.91992</v>
      </c>
      <c r="F1218" s="29">
        <v>4409.5898440000001</v>
      </c>
      <c r="G1218" s="29">
        <v>34299.121090000001</v>
      </c>
      <c r="H1218" s="29">
        <v>10.289999959999999</v>
      </c>
      <c r="I1218" s="29">
        <v>8.3500003809999992</v>
      </c>
      <c r="J1218" s="29">
        <v>10.94999981</v>
      </c>
      <c r="L1218" s="30">
        <f t="shared" si="76"/>
        <v>3.064536648196281E-4</v>
      </c>
      <c r="M1218" s="30">
        <f t="shared" si="76"/>
        <v>7.743478891314437E-3</v>
      </c>
      <c r="N1218" s="30">
        <f t="shared" si="76"/>
        <v>1.6425884803580093E-2</v>
      </c>
      <c r="O1218" s="30">
        <f t="shared" si="76"/>
        <v>-6.6880037283404414E-3</v>
      </c>
      <c r="P1218" s="30">
        <f t="shared" si="76"/>
        <v>-3.6716195282189279E-3</v>
      </c>
      <c r="Q1218" s="30">
        <f t="shared" si="76"/>
        <v>-3.1660461085026848E-3</v>
      </c>
      <c r="R1218" s="30">
        <f t="shared" si="76"/>
        <v>-1.9399087473558341E-3</v>
      </c>
      <c r="S1218" s="30">
        <f t="shared" si="76"/>
        <v>-2.3894271532133304E-3</v>
      </c>
      <c r="T1218" s="30">
        <f t="shared" si="76"/>
        <v>-1.8231959441875611E-3</v>
      </c>
      <c r="U1218" s="63">
        <f t="shared" si="73"/>
        <v>-1.2064723138206586E-4</v>
      </c>
    </row>
    <row r="1219" spans="1:21">
      <c r="A1219" s="28">
        <v>45097</v>
      </c>
      <c r="B1219" s="29">
        <v>1935.5</v>
      </c>
      <c r="C1219" s="29">
        <v>23.193000789999999</v>
      </c>
      <c r="D1219" s="29">
        <v>70.5</v>
      </c>
      <c r="E1219" s="29">
        <v>15070.150390000001</v>
      </c>
      <c r="F1219" s="29">
        <v>4388.7099609999996</v>
      </c>
      <c r="G1219" s="29">
        <v>34053.871090000001</v>
      </c>
      <c r="H1219" s="29">
        <v>10.30000019</v>
      </c>
      <c r="I1219" s="29">
        <v>8.3599996569999995</v>
      </c>
      <c r="J1219" s="29">
        <v>10.97000027</v>
      </c>
      <c r="L1219" s="30">
        <f t="shared" si="76"/>
        <v>-1.1693231065850962E-2</v>
      </c>
      <c r="M1219" s="30">
        <f t="shared" si="76"/>
        <v>-3.6675503085983774E-2</v>
      </c>
      <c r="N1219" s="30">
        <f t="shared" si="76"/>
        <v>-1.7832248561651443E-2</v>
      </c>
      <c r="O1219" s="30">
        <f t="shared" si="76"/>
        <v>-9.128615156424047E-4</v>
      </c>
      <c r="P1219" s="30">
        <f t="shared" si="76"/>
        <v>-4.7351077398753993E-3</v>
      </c>
      <c r="Q1219" s="30">
        <f t="shared" si="76"/>
        <v>-7.150328994042443E-3</v>
      </c>
      <c r="R1219" s="30">
        <f t="shared" si="76"/>
        <v>9.7183965392377836E-4</v>
      </c>
      <c r="S1219" s="30">
        <f t="shared" si="76"/>
        <v>1.1975180291912135E-3</v>
      </c>
      <c r="T1219" s="30">
        <f t="shared" si="76"/>
        <v>1.8265260590903942E-3</v>
      </c>
      <c r="U1219" s="63">
        <f t="shared" si="73"/>
        <v>-8.9643894511348965E-3</v>
      </c>
    </row>
    <row r="1220" spans="1:21">
      <c r="A1220" s="28">
        <v>45098</v>
      </c>
      <c r="B1220" s="29">
        <v>1933.3000489999999</v>
      </c>
      <c r="C1220" s="29">
        <v>22.774000170000001</v>
      </c>
      <c r="D1220" s="29">
        <v>72.52999878</v>
      </c>
      <c r="E1220" s="29">
        <v>14867.450199999999</v>
      </c>
      <c r="F1220" s="29">
        <v>4365.6899409999996</v>
      </c>
      <c r="G1220" s="29">
        <v>33951.519529999998</v>
      </c>
      <c r="H1220" s="29">
        <v>10.31000042</v>
      </c>
      <c r="I1220" s="29">
        <v>8.3699998860000004</v>
      </c>
      <c r="J1220" s="29">
        <v>10.97999954</v>
      </c>
      <c r="L1220" s="30">
        <f t="shared" si="76"/>
        <v>-1.1366318780676732E-3</v>
      </c>
      <c r="M1220" s="30">
        <f t="shared" si="76"/>
        <v>-1.8065821831069639E-2</v>
      </c>
      <c r="N1220" s="30">
        <f t="shared" si="76"/>
        <v>2.8794308936170188E-2</v>
      </c>
      <c r="O1220" s="30">
        <f t="shared" si="76"/>
        <v>-1.3450442414596364E-2</v>
      </c>
      <c r="P1220" s="30">
        <f t="shared" si="76"/>
        <v>-5.2452816897370358E-3</v>
      </c>
      <c r="Q1220" s="30">
        <f t="shared" si="76"/>
        <v>-3.0055778307699343E-3</v>
      </c>
      <c r="R1220" s="30">
        <f t="shared" si="76"/>
        <v>9.7089609859501991E-4</v>
      </c>
      <c r="S1220" s="30">
        <f t="shared" si="76"/>
        <v>1.1961996902269956E-3</v>
      </c>
      <c r="T1220" s="30">
        <f t="shared" si="76"/>
        <v>9.1151046070114816E-4</v>
      </c>
      <c r="U1220" s="63">
        <f t="shared" ref="U1220:U1258" si="77">SUMPRODUCT($L$2:$T$2,L1220:T1220)</f>
        <v>-3.6040823547410336E-3</v>
      </c>
    </row>
    <row r="1221" spans="1:21">
      <c r="A1221" s="28">
        <v>45099</v>
      </c>
      <c r="B1221" s="29">
        <v>1912.6999510000001</v>
      </c>
      <c r="C1221" s="29">
        <v>22.43600082</v>
      </c>
      <c r="D1221" s="29">
        <v>69.510002139999997</v>
      </c>
      <c r="E1221" s="29">
        <v>15042.320309999999</v>
      </c>
      <c r="F1221" s="29">
        <v>4381.8901370000003</v>
      </c>
      <c r="G1221" s="29">
        <v>33946.710939999997</v>
      </c>
      <c r="H1221" s="29">
        <v>10.260000229999999</v>
      </c>
      <c r="I1221" s="29">
        <v>8.3199996949999999</v>
      </c>
      <c r="J1221" s="29">
        <v>10.93000031</v>
      </c>
      <c r="L1221" s="30">
        <f t="shared" si="76"/>
        <v>-1.0655406547294799E-2</v>
      </c>
      <c r="M1221" s="30">
        <f t="shared" si="76"/>
        <v>-1.4841457252874002E-2</v>
      </c>
      <c r="N1221" s="30">
        <f t="shared" si="76"/>
        <v>-4.1637897294888093E-2</v>
      </c>
      <c r="O1221" s="30">
        <f t="shared" si="76"/>
        <v>1.1761943551019893E-2</v>
      </c>
      <c r="P1221" s="30">
        <f t="shared" si="76"/>
        <v>3.7107985722617531E-3</v>
      </c>
      <c r="Q1221" s="30">
        <f t="shared" si="76"/>
        <v>-1.4163106884657051E-4</v>
      </c>
      <c r="R1221" s="30">
        <f t="shared" si="76"/>
        <v>-4.8496787549112685E-3</v>
      </c>
      <c r="S1221" s="30">
        <f t="shared" si="76"/>
        <v>-5.9737385520916009E-3</v>
      </c>
      <c r="T1221" s="30">
        <f t="shared" si="76"/>
        <v>-4.5536641251989751E-3</v>
      </c>
      <c r="U1221" s="63">
        <f t="shared" si="77"/>
        <v>-4.8770603021240626E-3</v>
      </c>
    </row>
    <row r="1222" spans="1:21">
      <c r="A1222" s="28">
        <v>45100</v>
      </c>
      <c r="B1222" s="29">
        <v>1919.099976</v>
      </c>
      <c r="C1222" s="29">
        <v>22.32799911</v>
      </c>
      <c r="D1222" s="29">
        <v>69.160003660000001</v>
      </c>
      <c r="E1222" s="29">
        <v>14891.48047</v>
      </c>
      <c r="F1222" s="29">
        <v>4348.330078</v>
      </c>
      <c r="G1222" s="29">
        <v>33727.429689999997</v>
      </c>
      <c r="H1222" s="29">
        <v>10.30000019</v>
      </c>
      <c r="I1222" s="29">
        <v>8.3599996569999995</v>
      </c>
      <c r="J1222" s="29">
        <v>10.960000040000001</v>
      </c>
      <c r="L1222" s="30">
        <f t="shared" si="76"/>
        <v>3.346068470725827E-3</v>
      </c>
      <c r="M1222" s="30">
        <f t="shared" si="76"/>
        <v>-4.8137683211227911E-3</v>
      </c>
      <c r="N1222" s="30">
        <f t="shared" si="76"/>
        <v>-5.0352247047131815E-3</v>
      </c>
      <c r="O1222" s="30">
        <f t="shared" si="76"/>
        <v>-1.0027697648462008E-2</v>
      </c>
      <c r="P1222" s="30">
        <f t="shared" si="76"/>
        <v>-7.6588088589041314E-3</v>
      </c>
      <c r="Q1222" s="30">
        <f t="shared" si="76"/>
        <v>-6.4595727812210013E-3</v>
      </c>
      <c r="R1222" s="30">
        <f t="shared" si="76"/>
        <v>3.8986314915512299E-3</v>
      </c>
      <c r="S1222" s="30">
        <f t="shared" si="76"/>
        <v>4.8076879166278896E-3</v>
      </c>
      <c r="T1222" s="30">
        <f t="shared" si="76"/>
        <v>2.744714469271603E-3</v>
      </c>
      <c r="U1222" s="63">
        <f t="shared" si="77"/>
        <v>-3.6186395896010298E-3</v>
      </c>
    </row>
    <row r="1223" spans="1:21">
      <c r="A1223" s="28">
        <v>45103</v>
      </c>
      <c r="B1223" s="29">
        <v>1923.6999510000001</v>
      </c>
      <c r="C1223" s="29">
        <v>22.80500031</v>
      </c>
      <c r="D1223" s="29">
        <v>69.370002749999998</v>
      </c>
      <c r="E1223" s="29">
        <v>14689.01953</v>
      </c>
      <c r="F1223" s="29">
        <v>4328.8198240000002</v>
      </c>
      <c r="G1223" s="29">
        <v>33714.710939999997</v>
      </c>
      <c r="H1223" s="29">
        <v>10.31000042</v>
      </c>
      <c r="I1223" s="29">
        <v>8.3699998860000004</v>
      </c>
      <c r="J1223" s="29">
        <v>10.97999954</v>
      </c>
      <c r="L1223" s="30">
        <f t="shared" si="76"/>
        <v>2.3969439099196244E-3</v>
      </c>
      <c r="M1223" s="30">
        <f t="shared" si="76"/>
        <v>2.1363365237074383E-2</v>
      </c>
      <c r="N1223" s="30">
        <f t="shared" si="76"/>
        <v>3.0364239283788841E-3</v>
      </c>
      <c r="O1223" s="30">
        <f t="shared" si="76"/>
        <v>-1.3595756339194964E-2</v>
      </c>
      <c r="P1223" s="30">
        <f t="shared" si="76"/>
        <v>-4.4868383149453406E-3</v>
      </c>
      <c r="Q1223" s="30">
        <f t="shared" si="76"/>
        <v>-3.7710404015078858E-4</v>
      </c>
      <c r="R1223" s="30">
        <f t="shared" si="76"/>
        <v>9.7089609859501991E-4</v>
      </c>
      <c r="S1223" s="30">
        <f t="shared" si="76"/>
        <v>1.1961996902269956E-3</v>
      </c>
      <c r="T1223" s="30">
        <f t="shared" si="76"/>
        <v>1.8247718911503785E-3</v>
      </c>
      <c r="U1223" s="63">
        <f t="shared" si="77"/>
        <v>9.9694234762539896E-4</v>
      </c>
    </row>
    <row r="1224" spans="1:21">
      <c r="A1224" s="28">
        <v>45104</v>
      </c>
      <c r="B1224" s="29">
        <v>1914</v>
      </c>
      <c r="C1224" s="29">
        <v>22.93899918</v>
      </c>
      <c r="D1224" s="29">
        <v>67.699996949999999</v>
      </c>
      <c r="E1224" s="29">
        <v>14945.910159999999</v>
      </c>
      <c r="F1224" s="29">
        <v>4378.4101559999999</v>
      </c>
      <c r="G1224" s="29">
        <v>33926.738279999998</v>
      </c>
      <c r="H1224" s="29">
        <v>10.289999959999999</v>
      </c>
      <c r="I1224" s="29">
        <v>8.3400001530000001</v>
      </c>
      <c r="J1224" s="29">
        <v>10.960000040000001</v>
      </c>
      <c r="L1224" s="30">
        <f t="shared" si="76"/>
        <v>-5.0423409300175415E-3</v>
      </c>
      <c r="M1224" s="30">
        <f t="shared" si="76"/>
        <v>5.8758547765176417E-3</v>
      </c>
      <c r="N1224" s="30">
        <f t="shared" si="76"/>
        <v>-2.4073889776514368E-2</v>
      </c>
      <c r="O1224" s="30">
        <f t="shared" si="76"/>
        <v>1.7488616546212699E-2</v>
      </c>
      <c r="P1224" s="30">
        <f t="shared" si="76"/>
        <v>1.145585494805279E-2</v>
      </c>
      <c r="Q1224" s="30">
        <f t="shared" si="76"/>
        <v>6.2888672062866302E-3</v>
      </c>
      <c r="R1224" s="30">
        <f t="shared" si="76"/>
        <v>-1.9399087473558341E-3</v>
      </c>
      <c r="S1224" s="30">
        <f t="shared" si="76"/>
        <v>-3.584197539856504E-3</v>
      </c>
      <c r="T1224" s="30">
        <f t="shared" si="76"/>
        <v>-1.8214481637399693E-3</v>
      </c>
      <c r="U1224" s="63">
        <f t="shared" si="77"/>
        <v>3.83828836058869E-3</v>
      </c>
    </row>
    <row r="1225" spans="1:21">
      <c r="A1225" s="28">
        <v>45105</v>
      </c>
      <c r="B1225" s="29">
        <v>1912.3000489999999</v>
      </c>
      <c r="C1225" s="29">
        <v>22.868000030000001</v>
      </c>
      <c r="D1225" s="29">
        <v>69.559997559999999</v>
      </c>
      <c r="E1225" s="29">
        <v>14964.570309999999</v>
      </c>
      <c r="F1225" s="29">
        <v>4376.8598629999997</v>
      </c>
      <c r="G1225" s="29">
        <v>33852.660159999999</v>
      </c>
      <c r="H1225" s="29">
        <v>10.31000042</v>
      </c>
      <c r="I1225" s="29">
        <v>8.3699998860000004</v>
      </c>
      <c r="J1225" s="29">
        <v>10.989999770000001</v>
      </c>
      <c r="L1225" s="30">
        <f t="shared" si="76"/>
        <v>-8.8816666666668986E-4</v>
      </c>
      <c r="M1225" s="30">
        <f t="shared" si="76"/>
        <v>-3.0951284946163504E-3</v>
      </c>
      <c r="N1225" s="30">
        <f t="shared" si="76"/>
        <v>2.7474160912794643E-2</v>
      </c>
      <c r="O1225" s="30">
        <f t="shared" si="76"/>
        <v>1.24851212139232E-3</v>
      </c>
      <c r="P1225" s="30">
        <f t="shared" si="76"/>
        <v>-3.5407669559595067E-4</v>
      </c>
      <c r="Q1225" s="30">
        <f t="shared" si="76"/>
        <v>-2.1834730880588848E-3</v>
      </c>
      <c r="R1225" s="30">
        <f t="shared" si="76"/>
        <v>1.9436793078471126E-3</v>
      </c>
      <c r="S1225" s="30">
        <f t="shared" si="76"/>
        <v>3.5970902217801193E-3</v>
      </c>
      <c r="T1225" s="30">
        <f t="shared" si="76"/>
        <v>2.7372016323459203E-3</v>
      </c>
      <c r="U1225" s="63">
        <f t="shared" si="77"/>
        <v>2.3379188956644836E-3</v>
      </c>
    </row>
    <row r="1226" spans="1:21">
      <c r="A1226" s="28">
        <v>45106</v>
      </c>
      <c r="B1226" s="29">
        <v>1909.1999510000001</v>
      </c>
      <c r="C1226" s="29">
        <v>22.5909996</v>
      </c>
      <c r="D1226" s="29">
        <v>69.86000061</v>
      </c>
      <c r="E1226" s="29">
        <v>14939.950199999999</v>
      </c>
      <c r="F1226" s="29">
        <v>4396.4399409999996</v>
      </c>
      <c r="G1226" s="29">
        <v>34122.421880000002</v>
      </c>
      <c r="H1226" s="29">
        <v>10.22999954</v>
      </c>
      <c r="I1226" s="29">
        <v>8.3000001910000005</v>
      </c>
      <c r="J1226" s="29">
        <v>10.90999985</v>
      </c>
      <c r="L1226" s="30">
        <f t="shared" si="76"/>
        <v>-1.6211357635120827E-3</v>
      </c>
      <c r="M1226" s="30">
        <f t="shared" si="76"/>
        <v>-1.211301511442231E-2</v>
      </c>
      <c r="N1226" s="30">
        <f t="shared" si="76"/>
        <v>4.3128674600834138E-3</v>
      </c>
      <c r="O1226" s="30">
        <f t="shared" si="76"/>
        <v>-1.6452266580315733E-3</v>
      </c>
      <c r="P1226" s="30">
        <f t="shared" si="76"/>
        <v>4.4735446445340887E-3</v>
      </c>
      <c r="Q1226" s="30">
        <f t="shared" si="76"/>
        <v>7.9687007970721258E-3</v>
      </c>
      <c r="R1226" s="30">
        <f t="shared" si="76"/>
        <v>-7.7595418759449641E-3</v>
      </c>
      <c r="S1226" s="30">
        <f t="shared" si="76"/>
        <v>-8.3631655858303899E-3</v>
      </c>
      <c r="T1226" s="30">
        <f t="shared" si="76"/>
        <v>-7.2793377319607666E-3</v>
      </c>
      <c r="U1226" s="63">
        <f t="shared" si="77"/>
        <v>-2.243981803383656E-3</v>
      </c>
    </row>
    <row r="1227" spans="1:21">
      <c r="A1227" s="28">
        <v>45107</v>
      </c>
      <c r="B1227" s="29">
        <v>1921.099976</v>
      </c>
      <c r="C1227" s="29">
        <v>22.809999470000001</v>
      </c>
      <c r="D1227" s="29">
        <v>70.63999939</v>
      </c>
      <c r="E1227" s="29">
        <v>15179.20996</v>
      </c>
      <c r="F1227" s="29">
        <v>4450.3798829999996</v>
      </c>
      <c r="G1227" s="29">
        <v>34407.601560000003</v>
      </c>
      <c r="H1227" s="29">
        <v>10.260000229999999</v>
      </c>
      <c r="I1227" s="29">
        <v>8.3199996949999999</v>
      </c>
      <c r="J1227" s="29">
        <v>10.90999985</v>
      </c>
      <c r="L1227" s="30">
        <f t="shared" si="76"/>
        <v>6.2329904176705586E-3</v>
      </c>
      <c r="M1227" s="30">
        <f t="shared" si="76"/>
        <v>9.6941203965139611E-3</v>
      </c>
      <c r="N1227" s="30">
        <f t="shared" si="76"/>
        <v>1.1165169956903087E-2</v>
      </c>
      <c r="O1227" s="30">
        <f t="shared" si="76"/>
        <v>1.6014762887228473E-2</v>
      </c>
      <c r="P1227" s="30">
        <f t="shared" si="76"/>
        <v>1.2269004631900282E-2</v>
      </c>
      <c r="Q1227" s="30">
        <f t="shared" si="76"/>
        <v>8.3575451063500061E-3</v>
      </c>
      <c r="R1227" s="30">
        <f t="shared" si="76"/>
        <v>2.9326189001959158E-3</v>
      </c>
      <c r="S1227" s="30">
        <f t="shared" si="76"/>
        <v>2.4095787397313551E-3</v>
      </c>
      <c r="T1227" s="30">
        <f t="shared" si="76"/>
        <v>0</v>
      </c>
      <c r="U1227" s="63">
        <f t="shared" si="77"/>
        <v>8.9712273257325191E-3</v>
      </c>
    </row>
    <row r="1228" spans="1:21">
      <c r="A1228" s="28">
        <v>45110</v>
      </c>
      <c r="B1228" s="29">
        <v>1921.6999510000001</v>
      </c>
      <c r="C1228" s="29">
        <v>22.89599991</v>
      </c>
      <c r="D1228" s="29">
        <v>69.790000919999997</v>
      </c>
      <c r="E1228" s="29">
        <v>15208.690430000001</v>
      </c>
      <c r="F1228" s="29">
        <v>4455.5898440000001</v>
      </c>
      <c r="G1228" s="29">
        <v>34418.46875</v>
      </c>
      <c r="H1228" s="29">
        <v>10.22999954</v>
      </c>
      <c r="I1228" s="29">
        <v>8.3000001910000005</v>
      </c>
      <c r="J1228" s="29">
        <v>10.880000109999999</v>
      </c>
      <c r="L1228" s="30">
        <f t="shared" si="76"/>
        <v>3.123080565798908E-4</v>
      </c>
      <c r="M1228" s="30">
        <f t="shared" si="76"/>
        <v>3.7702955720411158E-3</v>
      </c>
      <c r="N1228" s="30">
        <f t="shared" si="76"/>
        <v>-1.2032821026897289E-2</v>
      </c>
      <c r="O1228" s="30">
        <f t="shared" si="76"/>
        <v>1.942161026673217E-3</v>
      </c>
      <c r="P1228" s="30">
        <f t="shared" si="76"/>
        <v>1.1706778155955444E-3</v>
      </c>
      <c r="Q1228" s="30">
        <f t="shared" si="76"/>
        <v>3.1583689380521029E-4</v>
      </c>
      <c r="R1228" s="30">
        <f t="shared" si="76"/>
        <v>-2.9240437941003838E-3</v>
      </c>
      <c r="S1228" s="30">
        <f t="shared" si="76"/>
        <v>-2.4037866265810282E-3</v>
      </c>
      <c r="T1228" s="30">
        <f t="shared" si="76"/>
        <v>-2.7497470588875306E-3</v>
      </c>
      <c r="U1228" s="63">
        <f t="shared" si="77"/>
        <v>-4.107556082730907E-4</v>
      </c>
    </row>
    <row r="1229" spans="1:21">
      <c r="A1229" s="28">
        <v>45112</v>
      </c>
      <c r="B1229" s="29">
        <v>1919.599976</v>
      </c>
      <c r="C1229" s="29">
        <v>23.197000500000001</v>
      </c>
      <c r="D1229" s="29">
        <v>71.790000919999997</v>
      </c>
      <c r="E1229" s="29">
        <v>15203.780269999999</v>
      </c>
      <c r="F1229" s="29">
        <v>4446.8198240000002</v>
      </c>
      <c r="G1229" s="29">
        <v>34288.640630000002</v>
      </c>
      <c r="H1229" s="29">
        <v>10.18999958</v>
      </c>
      <c r="I1229" s="29">
        <v>8.2600002289999992</v>
      </c>
      <c r="J1229" s="29">
        <v>10.84000015</v>
      </c>
      <c r="L1229" s="30">
        <f t="shared" si="76"/>
        <v>-1.0927694507705255E-3</v>
      </c>
      <c r="M1229" s="30">
        <f t="shared" si="76"/>
        <v>1.314642693846868E-2</v>
      </c>
      <c r="N1229" s="30">
        <f t="shared" si="76"/>
        <v>2.8657400395976307E-2</v>
      </c>
      <c r="O1229" s="30">
        <f t="shared" si="76"/>
        <v>-3.2285225493944303E-4</v>
      </c>
      <c r="P1229" s="30">
        <f t="shared" si="76"/>
        <v>-1.9683185183236862E-3</v>
      </c>
      <c r="Q1229" s="30">
        <f t="shared" si="76"/>
        <v>-3.7720481100717018E-3</v>
      </c>
      <c r="R1229" s="30">
        <f t="shared" si="76"/>
        <v>-3.9100646919481008E-3</v>
      </c>
      <c r="S1229" s="30">
        <f t="shared" si="76"/>
        <v>-4.8192724192193115E-3</v>
      </c>
      <c r="T1229" s="30">
        <f t="shared" si="76"/>
        <v>-3.6764668745944418E-3</v>
      </c>
      <c r="U1229" s="63">
        <f t="shared" si="77"/>
        <v>2.2287470743279606E-3</v>
      </c>
    </row>
    <row r="1230" spans="1:21">
      <c r="A1230" s="28">
        <v>45113</v>
      </c>
      <c r="B1230" s="29">
        <v>1908.6999510000001</v>
      </c>
      <c r="C1230" s="29">
        <v>22.68600082</v>
      </c>
      <c r="D1230" s="29">
        <v>71.800003050000001</v>
      </c>
      <c r="E1230" s="29">
        <v>15089.450199999999</v>
      </c>
      <c r="F1230" s="29">
        <v>4411.5898440000001</v>
      </c>
      <c r="G1230" s="29">
        <v>33922.261720000002</v>
      </c>
      <c r="H1230" s="29">
        <v>10.130000109999999</v>
      </c>
      <c r="I1230" s="29">
        <v>8.1999998089999995</v>
      </c>
      <c r="J1230" s="29">
        <v>10.77000046</v>
      </c>
      <c r="L1230" s="30">
        <f t="shared" si="76"/>
        <v>-5.6782794000200809E-3</v>
      </c>
      <c r="M1230" s="30">
        <f t="shared" si="76"/>
        <v>-2.2028696339425502E-2</v>
      </c>
      <c r="N1230" s="30">
        <f t="shared" si="76"/>
        <v>1.3932483454270894E-4</v>
      </c>
      <c r="O1230" s="30">
        <f t="shared" si="76"/>
        <v>-7.5198449313027549E-3</v>
      </c>
      <c r="P1230" s="30">
        <f t="shared" si="76"/>
        <v>-7.9225112314782464E-3</v>
      </c>
      <c r="Q1230" s="30">
        <f t="shared" si="76"/>
        <v>-1.0685139546752542E-2</v>
      </c>
      <c r="R1230" s="30">
        <f t="shared" si="76"/>
        <v>-5.8880738442582681E-3</v>
      </c>
      <c r="S1230" s="30">
        <f t="shared" si="76"/>
        <v>-7.2639731642312189E-3</v>
      </c>
      <c r="T1230" s="30">
        <f t="shared" si="76"/>
        <v>-6.4575358885027301E-3</v>
      </c>
      <c r="U1230" s="63">
        <f t="shared" si="77"/>
        <v>-9.0480370853971235E-3</v>
      </c>
    </row>
    <row r="1231" spans="1:21">
      <c r="A1231" s="28">
        <v>45114</v>
      </c>
      <c r="B1231" s="29">
        <v>1926.1999510000001</v>
      </c>
      <c r="C1231" s="29">
        <v>23.091999049999998</v>
      </c>
      <c r="D1231" s="29">
        <v>73.86000061</v>
      </c>
      <c r="E1231" s="29">
        <v>15036.849609999999</v>
      </c>
      <c r="F1231" s="29">
        <v>4398.9501950000003</v>
      </c>
      <c r="G1231" s="29">
        <v>33734.878909999999</v>
      </c>
      <c r="H1231" s="29">
        <v>10.119999890000001</v>
      </c>
      <c r="I1231" s="29">
        <v>8.1999998089999995</v>
      </c>
      <c r="J1231" s="29">
        <v>10.760000229999999</v>
      </c>
      <c r="L1231" s="30">
        <f t="shared" si="76"/>
        <v>9.1685442705813358E-3</v>
      </c>
      <c r="M1231" s="30">
        <f t="shared" si="76"/>
        <v>1.7896421375515059E-2</v>
      </c>
      <c r="N1231" s="30">
        <f t="shared" si="76"/>
        <v>2.8690772597397496E-2</v>
      </c>
      <c r="O1231" s="30">
        <f t="shared" si="76"/>
        <v>-3.4859182609582318E-3</v>
      </c>
      <c r="P1231" s="30">
        <f t="shared" si="76"/>
        <v>-2.8651006659629052E-3</v>
      </c>
      <c r="Q1231" s="30">
        <f t="shared" si="76"/>
        <v>-5.5238890480443503E-3</v>
      </c>
      <c r="R1231" s="30">
        <f t="shared" si="76"/>
        <v>-9.871885381448342E-4</v>
      </c>
      <c r="S1231" s="30">
        <f t="shared" si="76"/>
        <v>0</v>
      </c>
      <c r="T1231" s="30">
        <f t="shared" si="76"/>
        <v>-9.2852642273710817E-4</v>
      </c>
      <c r="U1231" s="63">
        <f t="shared" si="77"/>
        <v>3.8230501024836003E-3</v>
      </c>
    </row>
    <row r="1232" spans="1:21">
      <c r="A1232" s="28">
        <v>45117</v>
      </c>
      <c r="B1232" s="29">
        <v>1925</v>
      </c>
      <c r="C1232" s="29">
        <v>23.150999070000001</v>
      </c>
      <c r="D1232" s="29">
        <v>72.989997860000003</v>
      </c>
      <c r="E1232" s="29">
        <v>15045.639649999999</v>
      </c>
      <c r="F1232" s="29">
        <v>4409.5297849999997</v>
      </c>
      <c r="G1232" s="29">
        <v>33944.398439999997</v>
      </c>
      <c r="H1232" s="29">
        <v>10.149999619999999</v>
      </c>
      <c r="I1232" s="29">
        <v>8.2200002669999996</v>
      </c>
      <c r="J1232" s="29">
        <v>10.80000019</v>
      </c>
      <c r="L1232" s="30">
        <f t="shared" si="76"/>
        <v>-6.2296284421414772E-4</v>
      </c>
      <c r="M1232" s="30">
        <f t="shared" si="76"/>
        <v>2.5549983729105108E-3</v>
      </c>
      <c r="N1232" s="30">
        <f t="shared" si="76"/>
        <v>-1.1779078565052226E-2</v>
      </c>
      <c r="O1232" s="30">
        <f t="shared" si="76"/>
        <v>5.8456659659311683E-4</v>
      </c>
      <c r="P1232" s="30">
        <f t="shared" si="76"/>
        <v>2.4050260928218936E-3</v>
      </c>
      <c r="Q1232" s="30">
        <f t="shared" si="76"/>
        <v>6.2107686990360289E-3</v>
      </c>
      <c r="R1232" s="30">
        <f t="shared" si="76"/>
        <v>2.9644002298501171E-3</v>
      </c>
      <c r="S1232" s="30">
        <f t="shared" si="76"/>
        <v>2.4390803007152684E-3</v>
      </c>
      <c r="T1232" s="30">
        <f t="shared" si="76"/>
        <v>3.7174683220244642E-3</v>
      </c>
      <c r="U1232" s="63">
        <f t="shared" si="77"/>
        <v>1.2327243522799037E-3</v>
      </c>
    </row>
    <row r="1233" spans="1:21">
      <c r="A1233" s="28">
        <v>45118</v>
      </c>
      <c r="B1233" s="29">
        <v>1931.3000489999999</v>
      </c>
      <c r="C1233" s="29">
        <v>23.086000439999999</v>
      </c>
      <c r="D1233" s="29">
        <v>74.83000183</v>
      </c>
      <c r="E1233" s="29">
        <v>15119.059569999999</v>
      </c>
      <c r="F1233" s="29">
        <v>4439.2597660000001</v>
      </c>
      <c r="G1233" s="29">
        <v>34261.421880000002</v>
      </c>
      <c r="H1233" s="29">
        <v>10.170000079999999</v>
      </c>
      <c r="I1233" s="29">
        <v>8.2399997710000008</v>
      </c>
      <c r="J1233" s="29">
        <v>10.81999969</v>
      </c>
      <c r="L1233" s="30">
        <f t="shared" si="76"/>
        <v>3.2727527272726764E-3</v>
      </c>
      <c r="M1233" s="30">
        <f t="shared" si="76"/>
        <v>-2.8075950330899158E-3</v>
      </c>
      <c r="N1233" s="30">
        <f t="shared" si="76"/>
        <v>2.5208987860627863E-2</v>
      </c>
      <c r="O1233" s="30">
        <f t="shared" si="76"/>
        <v>4.8798138004055858E-3</v>
      </c>
      <c r="P1233" s="30">
        <f t="shared" si="76"/>
        <v>6.7422111766051174E-3</v>
      </c>
      <c r="Q1233" s="30">
        <f t="shared" si="76"/>
        <v>9.3394920684888305E-3</v>
      </c>
      <c r="R1233" s="30">
        <f t="shared" si="76"/>
        <v>1.9704887437228535E-3</v>
      </c>
      <c r="S1233" s="30">
        <f t="shared" si="76"/>
        <v>2.4330296046692901E-3</v>
      </c>
      <c r="T1233" s="30">
        <f t="shared" si="76"/>
        <v>1.8518055229774788E-3</v>
      </c>
      <c r="U1233" s="63">
        <f t="shared" si="77"/>
        <v>5.1488376991995332E-3</v>
      </c>
    </row>
    <row r="1234" spans="1:21">
      <c r="A1234" s="28">
        <v>45119</v>
      </c>
      <c r="B1234" s="29">
        <v>1956.1999510000001</v>
      </c>
      <c r="C1234" s="29">
        <v>24.118999479999999</v>
      </c>
      <c r="D1234" s="29">
        <v>75.75</v>
      </c>
      <c r="E1234" s="29">
        <v>15307.23047</v>
      </c>
      <c r="F1234" s="29">
        <v>4472.1601559999999</v>
      </c>
      <c r="G1234" s="29">
        <v>34347.429689999997</v>
      </c>
      <c r="H1234" s="29">
        <v>10.25</v>
      </c>
      <c r="I1234" s="29">
        <v>8.3100004199999997</v>
      </c>
      <c r="J1234" s="29">
        <v>10.90999985</v>
      </c>
      <c r="L1234" s="30">
        <f t="shared" si="76"/>
        <v>1.2892819017372714E-2</v>
      </c>
      <c r="M1234" s="30">
        <f t="shared" si="76"/>
        <v>4.4745690908424951E-2</v>
      </c>
      <c r="N1234" s="30">
        <f t="shared" si="76"/>
        <v>1.2294509521596275E-2</v>
      </c>
      <c r="O1234" s="30">
        <f t="shared" si="76"/>
        <v>1.2445939453362476E-2</v>
      </c>
      <c r="P1234" s="30">
        <f t="shared" si="76"/>
        <v>7.41123334389715E-3</v>
      </c>
      <c r="Q1234" s="30">
        <f t="shared" si="76"/>
        <v>2.5103397722732179E-3</v>
      </c>
      <c r="R1234" s="30">
        <f t="shared" si="76"/>
        <v>7.866265424847585E-3</v>
      </c>
      <c r="S1234" s="30">
        <f t="shared" si="76"/>
        <v>8.4952246292968603E-3</v>
      </c>
      <c r="T1234" s="30">
        <f t="shared" si="76"/>
        <v>8.3179447854495603E-3</v>
      </c>
      <c r="U1234" s="63">
        <f t="shared" si="77"/>
        <v>1.4434462810441778E-2</v>
      </c>
    </row>
    <row r="1235" spans="1:21">
      <c r="A1235" s="28">
        <v>45120</v>
      </c>
      <c r="B1235" s="29">
        <v>1959.1999510000001</v>
      </c>
      <c r="C1235" s="29">
        <v>24.76799965</v>
      </c>
      <c r="D1235" s="29">
        <v>76.88999939</v>
      </c>
      <c r="E1235" s="29">
        <v>15571.98047</v>
      </c>
      <c r="F1235" s="29">
        <v>4510.0400390000004</v>
      </c>
      <c r="G1235" s="29">
        <v>34395.140630000002</v>
      </c>
      <c r="H1235" s="29">
        <v>10.31999969</v>
      </c>
      <c r="I1235" s="29">
        <v>8.3699998860000004</v>
      </c>
      <c r="J1235" s="29">
        <v>10.97999954</v>
      </c>
      <c r="L1235" s="30">
        <f t="shared" si="76"/>
        <v>1.5335855613667349E-3</v>
      </c>
      <c r="M1235" s="30">
        <f t="shared" si="76"/>
        <v>2.6908254239076834E-2</v>
      </c>
      <c r="N1235" s="30">
        <f t="shared" si="76"/>
        <v>1.5049496897689751E-2</v>
      </c>
      <c r="O1235" s="30">
        <f t="shared" si="76"/>
        <v>1.7295747948583573E-2</v>
      </c>
      <c r="P1235" s="30">
        <f t="shared" si="76"/>
        <v>8.4701535004687578E-3</v>
      </c>
      <c r="Q1235" s="30">
        <f t="shared" si="76"/>
        <v>1.3890687143292002E-3</v>
      </c>
      <c r="R1235" s="30">
        <f t="shared" si="76"/>
        <v>6.8292380487804394E-3</v>
      </c>
      <c r="S1235" s="30">
        <f t="shared" si="76"/>
        <v>7.2201519816530446E-3</v>
      </c>
      <c r="T1235" s="30">
        <f t="shared" si="76"/>
        <v>6.4161036629162282E-3</v>
      </c>
      <c r="U1235" s="63">
        <f t="shared" si="77"/>
        <v>1.1778200054996964E-2</v>
      </c>
    </row>
    <row r="1236" spans="1:21">
      <c r="A1236" s="28">
        <v>45121</v>
      </c>
      <c r="B1236" s="29">
        <v>1960.099976</v>
      </c>
      <c r="C1236" s="29">
        <v>25.013999940000001</v>
      </c>
      <c r="D1236" s="29">
        <v>75.41999817</v>
      </c>
      <c r="E1236" s="29">
        <v>15565.599609999999</v>
      </c>
      <c r="F1236" s="29">
        <v>4505.419922</v>
      </c>
      <c r="G1236" s="29">
        <v>34509.03125</v>
      </c>
      <c r="H1236" s="29">
        <v>10.27000046</v>
      </c>
      <c r="I1236" s="29">
        <v>8.3299999239999991</v>
      </c>
      <c r="J1236" s="29">
        <v>10.93000031</v>
      </c>
      <c r="L1236" s="30">
        <f t="shared" si="76"/>
        <v>4.593839437063707E-4</v>
      </c>
      <c r="M1236" s="30">
        <f t="shared" si="76"/>
        <v>9.9321823916451724E-3</v>
      </c>
      <c r="N1236" s="30">
        <f t="shared" si="76"/>
        <v>-1.9118236853454595E-2</v>
      </c>
      <c r="O1236" s="30">
        <f t="shared" si="76"/>
        <v>-4.0976547667104235E-4</v>
      </c>
      <c r="P1236" s="30">
        <f t="shared" si="76"/>
        <v>-1.0244070917438952E-3</v>
      </c>
      <c r="Q1236" s="30">
        <f t="shared" si="76"/>
        <v>3.311241585698399E-3</v>
      </c>
      <c r="R1236" s="30">
        <f t="shared" si="76"/>
        <v>-4.8448867734413037E-3</v>
      </c>
      <c r="S1236" s="30">
        <f t="shared" si="76"/>
        <v>-4.778968045974108E-3</v>
      </c>
      <c r="T1236" s="30">
        <f t="shared" si="76"/>
        <v>-4.5536641251989751E-3</v>
      </c>
      <c r="U1236" s="63">
        <f t="shared" si="77"/>
        <v>-1.4353544274260705E-3</v>
      </c>
    </row>
    <row r="1237" spans="1:21">
      <c r="A1237" s="28">
        <v>45124</v>
      </c>
      <c r="B1237" s="29">
        <v>1952.400024</v>
      </c>
      <c r="C1237" s="29">
        <v>24.84399986</v>
      </c>
      <c r="D1237" s="29">
        <v>74.150001529999997</v>
      </c>
      <c r="E1237" s="29">
        <v>15713.280269999999</v>
      </c>
      <c r="F1237" s="29">
        <v>4522.7900390000004</v>
      </c>
      <c r="G1237" s="29">
        <v>34585.351560000003</v>
      </c>
      <c r="H1237" s="29">
        <v>10.27999973</v>
      </c>
      <c r="I1237" s="29">
        <v>8.3299999239999991</v>
      </c>
      <c r="J1237" s="29">
        <v>10.93999958</v>
      </c>
      <c r="L1237" s="30">
        <f t="shared" si="76"/>
        <v>-3.9283465610326918E-3</v>
      </c>
      <c r="M1237" s="30">
        <f t="shared" si="76"/>
        <v>-6.7961973457972835E-3</v>
      </c>
      <c r="N1237" s="30">
        <f t="shared" si="76"/>
        <v>-1.6838990596862335E-2</v>
      </c>
      <c r="O1237" s="30">
        <f t="shared" si="76"/>
        <v>9.4876306535036647E-3</v>
      </c>
      <c r="P1237" s="30">
        <f t="shared" si="76"/>
        <v>3.8553824728260189E-3</v>
      </c>
      <c r="Q1237" s="30">
        <f t="shared" si="76"/>
        <v>2.2116039551240974E-3</v>
      </c>
      <c r="R1237" s="30">
        <f t="shared" si="76"/>
        <v>9.7363871004141345E-4</v>
      </c>
      <c r="S1237" s="30">
        <f t="shared" si="76"/>
        <v>0</v>
      </c>
      <c r="T1237" s="30">
        <f t="shared" si="76"/>
        <v>9.148462686547898E-4</v>
      </c>
      <c r="U1237" s="63">
        <f t="shared" si="77"/>
        <v>-4.4183405339357342E-5</v>
      </c>
    </row>
    <row r="1238" spans="1:21">
      <c r="A1238" s="28">
        <v>45125</v>
      </c>
      <c r="B1238" s="29">
        <v>1977.1999510000001</v>
      </c>
      <c r="C1238" s="29">
        <v>25.083999630000001</v>
      </c>
      <c r="D1238" s="29">
        <v>75.75</v>
      </c>
      <c r="E1238" s="29">
        <v>15841.349609999999</v>
      </c>
      <c r="F1238" s="29">
        <v>4554.9799800000001</v>
      </c>
      <c r="G1238" s="29">
        <v>34951.929689999997</v>
      </c>
      <c r="H1238" s="29">
        <v>10.289999959999999</v>
      </c>
      <c r="I1238" s="29">
        <v>8.3400001530000001</v>
      </c>
      <c r="J1238" s="29">
        <v>10.94999981</v>
      </c>
      <c r="L1238" s="30">
        <f t="shared" si="76"/>
        <v>1.27022775533423E-2</v>
      </c>
      <c r="M1238" s="30">
        <f t="shared" si="76"/>
        <v>9.6602709447930479E-3</v>
      </c>
      <c r="N1238" s="30">
        <f t="shared" si="76"/>
        <v>2.157786159117836E-2</v>
      </c>
      <c r="O1238" s="30">
        <f t="shared" ref="O1238:T1258" si="78">(E1238/E1237)-1</f>
        <v>8.1503885757394645E-3</v>
      </c>
      <c r="P1238" s="30">
        <f t="shared" si="78"/>
        <v>7.117275116117705E-3</v>
      </c>
      <c r="Q1238" s="30">
        <f t="shared" si="78"/>
        <v>1.0599230988415531E-2</v>
      </c>
      <c r="R1238" s="30">
        <f t="shared" si="78"/>
        <v>9.7278504500497576E-4</v>
      </c>
      <c r="S1238" s="30">
        <f t="shared" si="78"/>
        <v>1.2005076940264647E-3</v>
      </c>
      <c r="T1238" s="30">
        <f t="shared" si="78"/>
        <v>9.1409784130891403E-4</v>
      </c>
      <c r="U1238" s="63">
        <f t="shared" si="77"/>
        <v>7.5249407438748575E-3</v>
      </c>
    </row>
    <row r="1239" spans="1:21">
      <c r="A1239" s="28">
        <v>45126</v>
      </c>
      <c r="B1239" s="29">
        <v>1977.5</v>
      </c>
      <c r="C1239" s="29">
        <v>25.21899986</v>
      </c>
      <c r="D1239" s="29">
        <v>75.349998470000003</v>
      </c>
      <c r="E1239" s="29">
        <v>15826.349609999999</v>
      </c>
      <c r="F1239" s="29">
        <v>4565.7202150000003</v>
      </c>
      <c r="G1239" s="29">
        <v>35061.210939999997</v>
      </c>
      <c r="H1239" s="29">
        <v>10.31999969</v>
      </c>
      <c r="I1239" s="29">
        <v>8.3699998860000004</v>
      </c>
      <c r="J1239" s="29">
        <v>10.97999954</v>
      </c>
      <c r="L1239" s="30">
        <f t="shared" ref="L1239:Q1258" si="79">(B1239/B1238)-1</f>
        <v>1.5175450507576294E-4</v>
      </c>
      <c r="M1239" s="30">
        <f t="shared" si="79"/>
        <v>5.3819260082648146E-3</v>
      </c>
      <c r="N1239" s="30">
        <f t="shared" si="79"/>
        <v>-5.2805482508250234E-3</v>
      </c>
      <c r="O1239" s="30">
        <f t="shared" si="78"/>
        <v>-9.4688901951456295E-4</v>
      </c>
      <c r="P1239" s="30">
        <f t="shared" si="78"/>
        <v>2.3579104731872302E-3</v>
      </c>
      <c r="Q1239" s="30">
        <f t="shared" si="78"/>
        <v>3.1266156395155509E-3</v>
      </c>
      <c r="R1239" s="30">
        <f t="shared" si="78"/>
        <v>2.9154256673096235E-3</v>
      </c>
      <c r="S1239" s="30">
        <f t="shared" si="78"/>
        <v>3.5970902217801193E-3</v>
      </c>
      <c r="T1239" s="30">
        <f t="shared" si="78"/>
        <v>2.739701417401319E-3</v>
      </c>
      <c r="U1239" s="63">
        <f t="shared" si="77"/>
        <v>1.97272126386362E-3</v>
      </c>
    </row>
    <row r="1240" spans="1:21">
      <c r="A1240" s="28">
        <v>45127</v>
      </c>
      <c r="B1240" s="29">
        <v>1968.3000489999999</v>
      </c>
      <c r="C1240" s="29">
        <v>24.80500031</v>
      </c>
      <c r="D1240" s="29">
        <v>75.629997250000002</v>
      </c>
      <c r="E1240" s="29">
        <v>15466.089840000001</v>
      </c>
      <c r="F1240" s="29">
        <v>4534.8701170000004</v>
      </c>
      <c r="G1240" s="29">
        <v>35225.179689999997</v>
      </c>
      <c r="H1240" s="29">
        <v>10.260000229999999</v>
      </c>
      <c r="I1240" s="29">
        <v>8.3199996949999999</v>
      </c>
      <c r="J1240" s="29">
        <v>10.920000079999999</v>
      </c>
      <c r="L1240" s="30">
        <f t="shared" si="79"/>
        <v>-4.6523140328698087E-3</v>
      </c>
      <c r="M1240" s="30">
        <f t="shared" si="79"/>
        <v>-1.6416176386782388E-2</v>
      </c>
      <c r="N1240" s="30">
        <f t="shared" si="79"/>
        <v>3.715975921505521E-3</v>
      </c>
      <c r="O1240" s="30">
        <f t="shared" si="78"/>
        <v>-2.2763289000791831E-2</v>
      </c>
      <c r="P1240" s="30">
        <f t="shared" si="78"/>
        <v>-6.7568962939618116E-3</v>
      </c>
      <c r="Q1240" s="30">
        <f t="shared" si="78"/>
        <v>4.6766425232886988E-3</v>
      </c>
      <c r="R1240" s="30">
        <f t="shared" si="78"/>
        <v>-5.8139013374330917E-3</v>
      </c>
      <c r="S1240" s="30">
        <f t="shared" si="78"/>
        <v>-5.9737385520916009E-3</v>
      </c>
      <c r="T1240" s="30">
        <f t="shared" si="78"/>
        <v>-5.4644319229179006E-3</v>
      </c>
      <c r="U1240" s="63">
        <f t="shared" si="77"/>
        <v>-8.5788103343507893E-3</v>
      </c>
    </row>
    <row r="1241" spans="1:21">
      <c r="A1241" s="28">
        <v>45128</v>
      </c>
      <c r="B1241" s="29">
        <v>1964.3000489999999</v>
      </c>
      <c r="C1241" s="29">
        <v>24.69799995</v>
      </c>
      <c r="D1241" s="29">
        <v>77.069999690000003</v>
      </c>
      <c r="E1241" s="29">
        <v>15425.66992</v>
      </c>
      <c r="F1241" s="29">
        <v>4536.3398440000001</v>
      </c>
      <c r="G1241" s="29">
        <v>35227.691409999999</v>
      </c>
      <c r="H1241" s="29">
        <v>10.27000046</v>
      </c>
      <c r="I1241" s="29">
        <v>8.3199996949999999</v>
      </c>
      <c r="J1241" s="29">
        <v>10.93000031</v>
      </c>
      <c r="L1241" s="30">
        <f t="shared" si="79"/>
        <v>-2.0322104864206603E-3</v>
      </c>
      <c r="M1241" s="30">
        <f t="shared" si="79"/>
        <v>-4.3136609015426153E-3</v>
      </c>
      <c r="N1241" s="30">
        <f t="shared" si="79"/>
        <v>1.9040096421529373E-2</v>
      </c>
      <c r="O1241" s="30">
        <f t="shared" si="78"/>
        <v>-2.6134543648816955E-3</v>
      </c>
      <c r="P1241" s="30">
        <f t="shared" si="78"/>
        <v>3.2409461838600606E-4</v>
      </c>
      <c r="Q1241" s="30">
        <f t="shared" si="78"/>
        <v>7.1304675294925346E-5</v>
      </c>
      <c r="R1241" s="30">
        <f t="shared" si="78"/>
        <v>9.7468126470023897E-4</v>
      </c>
      <c r="S1241" s="30">
        <f t="shared" si="78"/>
        <v>0</v>
      </c>
      <c r="T1241" s="30">
        <f t="shared" si="78"/>
        <v>9.1577197131309518E-4</v>
      </c>
      <c r="U1241" s="63">
        <f t="shared" si="77"/>
        <v>6.0704667801225059E-4</v>
      </c>
    </row>
    <row r="1242" spans="1:21">
      <c r="A1242" s="28">
        <v>45131</v>
      </c>
      <c r="B1242" s="29">
        <v>1960.3000489999999</v>
      </c>
      <c r="C1242" s="29">
        <v>24.43600082</v>
      </c>
      <c r="D1242" s="29">
        <v>78.739997860000003</v>
      </c>
      <c r="E1242" s="29">
        <v>15448.01953</v>
      </c>
      <c r="F1242" s="29">
        <v>4554.6401370000003</v>
      </c>
      <c r="G1242" s="29">
        <v>35411.238279999998</v>
      </c>
      <c r="H1242" s="29">
        <v>10.25</v>
      </c>
      <c r="I1242" s="29">
        <v>8.3100004199999997</v>
      </c>
      <c r="J1242" s="29">
        <v>10.920000079999999</v>
      </c>
      <c r="L1242" s="30">
        <f t="shared" si="79"/>
        <v>-2.0363487757567578E-3</v>
      </c>
      <c r="M1242" s="30">
        <f t="shared" si="79"/>
        <v>-1.0608111204567394E-2</v>
      </c>
      <c r="N1242" s="30">
        <f t="shared" si="79"/>
        <v>2.1668589291777174E-2</v>
      </c>
      <c r="O1242" s="30">
        <f t="shared" si="78"/>
        <v>1.4488583066996075E-3</v>
      </c>
      <c r="P1242" s="30">
        <f t="shared" si="78"/>
        <v>4.034153883820002E-3</v>
      </c>
      <c r="Q1242" s="30">
        <f t="shared" si="78"/>
        <v>5.2103008358899139E-3</v>
      </c>
      <c r="R1242" s="30">
        <f t="shared" si="78"/>
        <v>-1.9474643723629281E-3</v>
      </c>
      <c r="S1242" s="30">
        <f t="shared" si="78"/>
        <v>-1.2018359815577639E-3</v>
      </c>
      <c r="T1242" s="30">
        <f t="shared" si="78"/>
        <v>-9.1493410030840661E-4</v>
      </c>
      <c r="U1242" s="63">
        <f t="shared" si="77"/>
        <v>1.1745668613603933E-3</v>
      </c>
    </row>
    <row r="1243" spans="1:21">
      <c r="A1243" s="28">
        <v>45132</v>
      </c>
      <c r="B1243" s="29">
        <v>1962.099976</v>
      </c>
      <c r="C1243" s="29">
        <v>24.68000031</v>
      </c>
      <c r="D1243" s="29">
        <v>79.629997250000002</v>
      </c>
      <c r="E1243" s="29">
        <v>15561.41992</v>
      </c>
      <c r="F1243" s="29">
        <v>4567.4599609999996</v>
      </c>
      <c r="G1243" s="29">
        <v>35438.070310000003</v>
      </c>
      <c r="H1243" s="29">
        <v>10.239999770000001</v>
      </c>
      <c r="I1243" s="29">
        <v>8.3000001910000005</v>
      </c>
      <c r="J1243" s="29">
        <v>10.899999619999999</v>
      </c>
      <c r="L1243" s="30">
        <f t="shared" si="79"/>
        <v>9.1818953987088392E-4</v>
      </c>
      <c r="M1243" s="30">
        <f t="shared" si="79"/>
        <v>9.9852464319896139E-3</v>
      </c>
      <c r="N1243" s="30">
        <f t="shared" si="79"/>
        <v>1.1303015166223673E-2</v>
      </c>
      <c r="O1243" s="30">
        <f t="shared" si="78"/>
        <v>7.3407720504092833E-3</v>
      </c>
      <c r="P1243" s="30">
        <f t="shared" si="78"/>
        <v>2.8146733033540539E-3</v>
      </c>
      <c r="Q1243" s="30">
        <f t="shared" si="78"/>
        <v>7.5772639713522771E-4</v>
      </c>
      <c r="R1243" s="30">
        <f t="shared" si="78"/>
        <v>-9.7563219512186716E-4</v>
      </c>
      <c r="S1243" s="30">
        <f t="shared" si="78"/>
        <v>-1.2033969307547743E-3</v>
      </c>
      <c r="T1243" s="30">
        <f t="shared" si="78"/>
        <v>-1.8315439426260793E-3</v>
      </c>
      <c r="U1243" s="63">
        <f t="shared" si="77"/>
        <v>3.7916359384087945E-3</v>
      </c>
    </row>
    <row r="1244" spans="1:21">
      <c r="A1244" s="28">
        <v>45133</v>
      </c>
      <c r="B1244" s="29">
        <v>1968.900024</v>
      </c>
      <c r="C1244" s="29">
        <v>24.825000760000002</v>
      </c>
      <c r="D1244" s="29">
        <v>78.77999878</v>
      </c>
      <c r="E1244" s="29">
        <v>15499.259770000001</v>
      </c>
      <c r="F1244" s="29">
        <v>4566.75</v>
      </c>
      <c r="G1244" s="29">
        <v>35520.121090000001</v>
      </c>
      <c r="H1244" s="29">
        <v>10.27000046</v>
      </c>
      <c r="I1244" s="29">
        <v>8.3199996949999999</v>
      </c>
      <c r="J1244" s="29">
        <v>10.93000031</v>
      </c>
      <c r="L1244" s="30">
        <f t="shared" si="79"/>
        <v>3.4656990383654662E-3</v>
      </c>
      <c r="M1244" s="30">
        <f t="shared" si="79"/>
        <v>5.8752207527830169E-3</v>
      </c>
      <c r="N1244" s="30">
        <f t="shared" si="79"/>
        <v>-1.0674350111195108E-2</v>
      </c>
      <c r="O1244" s="30">
        <f t="shared" si="78"/>
        <v>-3.9945037354920387E-3</v>
      </c>
      <c r="P1244" s="30">
        <f t="shared" si="78"/>
        <v>-1.5543891048019898E-4</v>
      </c>
      <c r="Q1244" s="30">
        <f t="shared" si="78"/>
        <v>2.3153286644066462E-3</v>
      </c>
      <c r="R1244" s="30">
        <f t="shared" si="78"/>
        <v>2.92975494861758E-3</v>
      </c>
      <c r="S1244" s="30">
        <f t="shared" si="78"/>
        <v>2.4095787397313551E-3</v>
      </c>
      <c r="T1244" s="30">
        <f t="shared" si="78"/>
        <v>2.7523569766878531E-3</v>
      </c>
      <c r="U1244" s="63">
        <f t="shared" si="77"/>
        <v>5.1558585067057309E-4</v>
      </c>
    </row>
    <row r="1245" spans="1:21">
      <c r="A1245" s="28">
        <v>45134</v>
      </c>
      <c r="B1245" s="29">
        <v>1945.400024</v>
      </c>
      <c r="C1245" s="29">
        <v>24.236000059999999</v>
      </c>
      <c r="D1245" s="29">
        <v>80.089996339999999</v>
      </c>
      <c r="E1245" s="29">
        <v>15464.929690000001</v>
      </c>
      <c r="F1245" s="29">
        <v>4537.4101559999999</v>
      </c>
      <c r="G1245" s="29">
        <v>35282.71875</v>
      </c>
      <c r="H1245" s="29">
        <v>10.18999958</v>
      </c>
      <c r="I1245" s="29">
        <v>8.25</v>
      </c>
      <c r="J1245" s="29">
        <v>10.850000380000001</v>
      </c>
      <c r="L1245" s="30">
        <f t="shared" si="79"/>
        <v>-1.1935598412080695E-2</v>
      </c>
      <c r="M1245" s="30">
        <f t="shared" si="79"/>
        <v>-2.3726110049069882E-2</v>
      </c>
      <c r="N1245" s="30">
        <f t="shared" si="79"/>
        <v>1.6628555220701058E-2</v>
      </c>
      <c r="O1245" s="30">
        <f t="shared" si="78"/>
        <v>-2.2149496498180543E-3</v>
      </c>
      <c r="P1245" s="30">
        <f t="shared" si="78"/>
        <v>-6.4246661192314258E-3</v>
      </c>
      <c r="Q1245" s="30">
        <f t="shared" si="78"/>
        <v>-6.6836016521023556E-3</v>
      </c>
      <c r="R1245" s="30">
        <f t="shared" si="78"/>
        <v>-7.7897640133114399E-3</v>
      </c>
      <c r="S1245" s="30">
        <f t="shared" si="78"/>
        <v>-8.4134251882325151E-3</v>
      </c>
      <c r="T1245" s="30">
        <f t="shared" si="78"/>
        <v>-7.3192980540729424E-3</v>
      </c>
      <c r="U1245" s="63">
        <f t="shared" si="77"/>
        <v>-7.521857798870487E-3</v>
      </c>
    </row>
    <row r="1246" spans="1:21">
      <c r="A1246" s="28">
        <v>45135</v>
      </c>
      <c r="B1246" s="29">
        <v>1960.400024</v>
      </c>
      <c r="C1246" s="29">
        <v>24.370000839999999</v>
      </c>
      <c r="D1246" s="29">
        <v>80.58000183</v>
      </c>
      <c r="E1246" s="29">
        <v>15750.929690000001</v>
      </c>
      <c r="F1246" s="29">
        <v>4582.2299800000001</v>
      </c>
      <c r="G1246" s="29">
        <v>35459.289060000003</v>
      </c>
      <c r="H1246" s="29">
        <v>10.22000027</v>
      </c>
      <c r="I1246" s="29">
        <v>8.2799997330000004</v>
      </c>
      <c r="J1246" s="29">
        <v>10.89000034</v>
      </c>
      <c r="L1246" s="30">
        <f t="shared" si="79"/>
        <v>7.7104964608554205E-3</v>
      </c>
      <c r="M1246" s="30">
        <f t="shared" si="79"/>
        <v>5.5289973456122965E-3</v>
      </c>
      <c r="N1246" s="30">
        <f t="shared" si="79"/>
        <v>6.1181859457180021E-3</v>
      </c>
      <c r="O1246" s="30">
        <f t="shared" si="78"/>
        <v>1.8493456209175863E-2</v>
      </c>
      <c r="P1246" s="30">
        <f t="shared" si="78"/>
        <v>9.8778427470862518E-3</v>
      </c>
      <c r="Q1246" s="30">
        <f t="shared" si="78"/>
        <v>5.0044417282895104E-3</v>
      </c>
      <c r="R1246" s="30">
        <f t="shared" si="78"/>
        <v>2.9441306414657031E-3</v>
      </c>
      <c r="S1246" s="30">
        <f t="shared" si="78"/>
        <v>3.6363312727272223E-3</v>
      </c>
      <c r="T1246" s="30">
        <f t="shared" si="78"/>
        <v>3.6866321289474868E-3</v>
      </c>
      <c r="U1246" s="63">
        <f t="shared" si="77"/>
        <v>8.0103673551448918E-3</v>
      </c>
    </row>
    <row r="1247" spans="1:21">
      <c r="A1247" s="28">
        <v>45138</v>
      </c>
      <c r="B1247" s="29">
        <v>1970.5</v>
      </c>
      <c r="C1247" s="29">
        <v>24.85400009</v>
      </c>
      <c r="D1247" s="29">
        <v>81.800003050000001</v>
      </c>
      <c r="E1247" s="29">
        <v>15757</v>
      </c>
      <c r="F1247" s="29">
        <v>4588.9599609999996</v>
      </c>
      <c r="G1247" s="29">
        <v>35559.53125</v>
      </c>
      <c r="H1247" s="29">
        <v>10.22999954</v>
      </c>
      <c r="I1247" s="29">
        <v>8.2899999619999996</v>
      </c>
      <c r="J1247" s="29">
        <v>10.869999890000001</v>
      </c>
      <c r="L1247" s="30">
        <f t="shared" si="79"/>
        <v>5.1519974884473019E-3</v>
      </c>
      <c r="M1247" s="30">
        <f t="shared" si="79"/>
        <v>1.9860452741781609E-2</v>
      </c>
      <c r="N1247" s="30">
        <f t="shared" si="79"/>
        <v>1.5140248104906329E-2</v>
      </c>
      <c r="O1247" s="30">
        <f t="shared" si="78"/>
        <v>3.8539375893820171E-4</v>
      </c>
      <c r="P1247" s="30">
        <f t="shared" si="78"/>
        <v>1.4687130566064521E-3</v>
      </c>
      <c r="Q1247" s="30">
        <f t="shared" si="78"/>
        <v>2.8269655894785917E-3</v>
      </c>
      <c r="R1247" s="30">
        <f t="shared" si="78"/>
        <v>9.7840212679356497E-4</v>
      </c>
      <c r="S1247" s="30">
        <f t="shared" si="78"/>
        <v>1.2077571645494611E-3</v>
      </c>
      <c r="T1247" s="30">
        <f t="shared" si="78"/>
        <v>-1.8365885560660544E-3</v>
      </c>
      <c r="U1247" s="63">
        <f t="shared" si="77"/>
        <v>5.0260514428385325E-3</v>
      </c>
    </row>
    <row r="1248" spans="1:21">
      <c r="A1248" s="28">
        <v>45139</v>
      </c>
      <c r="B1248" s="29">
        <v>1940.6999510000001</v>
      </c>
      <c r="C1248" s="29">
        <v>24.208000179999999</v>
      </c>
      <c r="D1248" s="29">
        <v>81.370002749999998</v>
      </c>
      <c r="E1248" s="29">
        <v>15718.009770000001</v>
      </c>
      <c r="F1248" s="29">
        <v>4576.7299800000001</v>
      </c>
      <c r="G1248" s="29">
        <v>35630.679689999997</v>
      </c>
      <c r="H1248" s="29">
        <v>10.170000079999999</v>
      </c>
      <c r="I1248" s="29">
        <v>8.2399997710000008</v>
      </c>
      <c r="J1248" s="29">
        <v>10.81000042</v>
      </c>
      <c r="L1248" s="30">
        <f t="shared" si="79"/>
        <v>-1.5123090078660195E-2</v>
      </c>
      <c r="M1248" s="30">
        <f t="shared" si="79"/>
        <v>-2.5991788350395839E-2</v>
      </c>
      <c r="N1248" s="30">
        <f t="shared" si="79"/>
        <v>-5.2567271878604105E-3</v>
      </c>
      <c r="O1248" s="30">
        <f t="shared" si="78"/>
        <v>-2.4744703941105284E-3</v>
      </c>
      <c r="P1248" s="30">
        <f t="shared" si="78"/>
        <v>-2.6650877549462271E-3</v>
      </c>
      <c r="Q1248" s="30">
        <f t="shared" si="78"/>
        <v>2.0008261498103419E-3</v>
      </c>
      <c r="R1248" s="30">
        <f t="shared" si="78"/>
        <v>-5.8650501170990355E-3</v>
      </c>
      <c r="S1248" s="30">
        <f t="shared" si="78"/>
        <v>-6.0313861555116866E-3</v>
      </c>
      <c r="T1248" s="30">
        <f t="shared" si="78"/>
        <v>-5.5197305066394531E-3</v>
      </c>
      <c r="U1248" s="63">
        <f t="shared" si="77"/>
        <v>-7.7707582272233105E-3</v>
      </c>
    </row>
    <row r="1249" spans="1:21">
      <c r="A1249" s="28">
        <v>45140</v>
      </c>
      <c r="B1249" s="29">
        <v>1937.400024</v>
      </c>
      <c r="C1249" s="29">
        <v>23.753999709999999</v>
      </c>
      <c r="D1249" s="29">
        <v>79.489997860000003</v>
      </c>
      <c r="E1249" s="29">
        <v>15370.740229999999</v>
      </c>
      <c r="F1249" s="29">
        <v>4513.3901370000003</v>
      </c>
      <c r="G1249" s="29">
        <v>35282.519529999998</v>
      </c>
      <c r="H1249" s="29">
        <v>10.14000034</v>
      </c>
      <c r="I1249" s="29">
        <v>8.2100000380000004</v>
      </c>
      <c r="J1249" s="29">
        <v>10.77000046</v>
      </c>
      <c r="L1249" s="30">
        <f t="shared" si="79"/>
        <v>-1.7003798028126793E-3</v>
      </c>
      <c r="M1249" s="30">
        <f t="shared" si="79"/>
        <v>-1.875415014145132E-2</v>
      </c>
      <c r="N1249" s="30">
        <f t="shared" si="79"/>
        <v>-2.3104397523201481E-2</v>
      </c>
      <c r="O1249" s="30">
        <f t="shared" si="78"/>
        <v>-2.209373483548871E-2</v>
      </c>
      <c r="P1249" s="30">
        <f t="shared" si="78"/>
        <v>-1.3839541173892855E-2</v>
      </c>
      <c r="Q1249" s="30">
        <f t="shared" si="78"/>
        <v>-9.771358925204976E-3</v>
      </c>
      <c r="R1249" s="30">
        <f t="shared" si="78"/>
        <v>-2.9498269187819837E-3</v>
      </c>
      <c r="S1249" s="30">
        <f t="shared" si="78"/>
        <v>-3.6407443972974463E-3</v>
      </c>
      <c r="T1249" s="30">
        <f t="shared" si="78"/>
        <v>-3.7002736767700606E-3</v>
      </c>
      <c r="U1249" s="63">
        <f t="shared" si="77"/>
        <v>-1.2749339110236499E-2</v>
      </c>
    </row>
    <row r="1250" spans="1:21">
      <c r="A1250" s="28">
        <v>45141</v>
      </c>
      <c r="B1250" s="29">
        <v>1932</v>
      </c>
      <c r="C1250" s="29">
        <v>23.586000439999999</v>
      </c>
      <c r="D1250" s="29">
        <v>81.550003050000001</v>
      </c>
      <c r="E1250" s="29">
        <v>15353.54004</v>
      </c>
      <c r="F1250" s="29">
        <v>4501.8901370000003</v>
      </c>
      <c r="G1250" s="29">
        <v>35215.890630000002</v>
      </c>
      <c r="H1250" s="29">
        <v>10.06999969</v>
      </c>
      <c r="I1250" s="29">
        <v>8.1499996190000008</v>
      </c>
      <c r="J1250" s="29">
        <v>10.69999981</v>
      </c>
      <c r="L1250" s="30">
        <f t="shared" si="79"/>
        <v>-2.7872529849829464E-3</v>
      </c>
      <c r="M1250" s="30">
        <f t="shared" si="79"/>
        <v>-7.072462408479141E-3</v>
      </c>
      <c r="N1250" s="30">
        <f t="shared" si="79"/>
        <v>2.5915275449222452E-2</v>
      </c>
      <c r="O1250" s="30">
        <f t="shared" si="78"/>
        <v>-1.1190215788325908E-3</v>
      </c>
      <c r="P1250" s="30">
        <f t="shared" si="78"/>
        <v>-2.5479738402680585E-3</v>
      </c>
      <c r="Q1250" s="30">
        <f t="shared" si="78"/>
        <v>-1.8884393996676518E-3</v>
      </c>
      <c r="R1250" s="30">
        <f t="shared" si="78"/>
        <v>-6.9034169282878866E-3</v>
      </c>
      <c r="S1250" s="30">
        <f t="shared" si="78"/>
        <v>-7.3082117810338021E-3</v>
      </c>
      <c r="T1250" s="30">
        <f t="shared" si="78"/>
        <v>-6.4995958226728989E-3</v>
      </c>
      <c r="U1250" s="63">
        <f t="shared" si="77"/>
        <v>-2.0661218961044807E-3</v>
      </c>
    </row>
    <row r="1251" spans="1:21">
      <c r="A1251" s="28">
        <v>45142</v>
      </c>
      <c r="B1251" s="29">
        <v>1939.599976</v>
      </c>
      <c r="C1251" s="29">
        <v>23.617000579999999</v>
      </c>
      <c r="D1251" s="29">
        <v>82.819999690000003</v>
      </c>
      <c r="E1251" s="29">
        <v>15274.91992</v>
      </c>
      <c r="F1251" s="29">
        <v>4478.0297849999997</v>
      </c>
      <c r="G1251" s="29">
        <v>35065.621090000001</v>
      </c>
      <c r="H1251" s="29">
        <v>10.149999619999999</v>
      </c>
      <c r="I1251" s="29">
        <v>8.2200002669999996</v>
      </c>
      <c r="J1251" s="29">
        <v>10.789999959999999</v>
      </c>
      <c r="L1251" s="30">
        <f t="shared" si="79"/>
        <v>3.9337349896479967E-3</v>
      </c>
      <c r="M1251" s="30">
        <f t="shared" si="79"/>
        <v>1.3143449258750106E-3</v>
      </c>
      <c r="N1251" s="30">
        <f t="shared" si="79"/>
        <v>1.5573226149621755E-2</v>
      </c>
      <c r="O1251" s="30">
        <f t="shared" si="78"/>
        <v>-5.1206509896202235E-3</v>
      </c>
      <c r="P1251" s="30">
        <f t="shared" si="78"/>
        <v>-5.3000742519009325E-3</v>
      </c>
      <c r="Q1251" s="30">
        <f t="shared" si="78"/>
        <v>-4.2670946925302822E-3</v>
      </c>
      <c r="R1251" s="30">
        <f t="shared" si="78"/>
        <v>7.9443825682976588E-3</v>
      </c>
      <c r="S1251" s="30">
        <f t="shared" si="78"/>
        <v>8.5890369659413768E-3</v>
      </c>
      <c r="T1251" s="30">
        <f t="shared" si="78"/>
        <v>8.4112291213209733E-3</v>
      </c>
      <c r="U1251" s="63">
        <f t="shared" si="77"/>
        <v>1.4549086049545328E-3</v>
      </c>
    </row>
    <row r="1252" spans="1:21">
      <c r="A1252" s="28">
        <v>45145</v>
      </c>
      <c r="B1252" s="29">
        <v>1933.5</v>
      </c>
      <c r="C1252" s="29">
        <v>23.142000199999998</v>
      </c>
      <c r="D1252" s="29">
        <v>81.940002440000001</v>
      </c>
      <c r="E1252" s="29">
        <v>15407.849609999999</v>
      </c>
      <c r="F1252" s="29">
        <v>4518.4399409999996</v>
      </c>
      <c r="G1252" s="29">
        <v>35473.128909999999</v>
      </c>
      <c r="H1252" s="29">
        <v>10.130000109999999</v>
      </c>
      <c r="I1252" s="29">
        <v>8.2100000380000004</v>
      </c>
      <c r="J1252" s="29">
        <v>10.77999973</v>
      </c>
      <c r="L1252" s="30">
        <f t="shared" si="79"/>
        <v>-3.1449660112802258E-3</v>
      </c>
      <c r="M1252" s="30">
        <f t="shared" si="79"/>
        <v>-2.011264632826637E-2</v>
      </c>
      <c r="N1252" s="30">
        <f t="shared" si="79"/>
        <v>-1.0625419624412991E-2</v>
      </c>
      <c r="O1252" s="30">
        <f t="shared" si="78"/>
        <v>8.7024803204336365E-3</v>
      </c>
      <c r="P1252" s="30">
        <f t="shared" si="78"/>
        <v>9.0240927238494084E-3</v>
      </c>
      <c r="Q1252" s="30">
        <f t="shared" si="78"/>
        <v>1.1621291947291779E-2</v>
      </c>
      <c r="R1252" s="30">
        <f t="shared" si="78"/>
        <v>-1.9703951476600645E-3</v>
      </c>
      <c r="S1252" s="30">
        <f t="shared" si="78"/>
        <v>-1.2165728315297608E-3</v>
      </c>
      <c r="T1252" s="30">
        <f t="shared" si="78"/>
        <v>-9.2680537878331304E-4</v>
      </c>
      <c r="U1252" s="63">
        <f t="shared" si="77"/>
        <v>-2.1425868247535294E-4</v>
      </c>
    </row>
    <row r="1253" spans="1:21">
      <c r="A1253" s="28">
        <v>45146</v>
      </c>
      <c r="B1253" s="29">
        <v>1924.099976</v>
      </c>
      <c r="C1253" s="29">
        <v>22.716999049999998</v>
      </c>
      <c r="D1253" s="29">
        <v>82.91999817</v>
      </c>
      <c r="E1253" s="29">
        <v>15273.049800000001</v>
      </c>
      <c r="F1253" s="29">
        <v>4499.3798829999996</v>
      </c>
      <c r="G1253" s="29">
        <v>35314.488279999998</v>
      </c>
      <c r="H1253" s="29">
        <v>10.170000079999999</v>
      </c>
      <c r="I1253" s="29">
        <v>8.2399997710000008</v>
      </c>
      <c r="J1253" s="29">
        <v>10.81999969</v>
      </c>
      <c r="L1253" s="30">
        <f t="shared" si="79"/>
        <v>-4.8616622704938939E-3</v>
      </c>
      <c r="M1253" s="30">
        <f t="shared" si="79"/>
        <v>-1.8364927246003582E-2</v>
      </c>
      <c r="N1253" s="30">
        <f t="shared" si="79"/>
        <v>1.1959918242833822E-2</v>
      </c>
      <c r="O1253" s="30">
        <f t="shared" si="78"/>
        <v>-8.7487750342858384E-3</v>
      </c>
      <c r="P1253" s="30">
        <f t="shared" si="78"/>
        <v>-4.218282913766469E-3</v>
      </c>
      <c r="Q1253" s="30">
        <f t="shared" si="78"/>
        <v>-4.4721352436232209E-3</v>
      </c>
      <c r="R1253" s="30">
        <f t="shared" si="78"/>
        <v>3.9486643203994198E-3</v>
      </c>
      <c r="S1253" s="30">
        <f t="shared" si="78"/>
        <v>3.6540478515403318E-3</v>
      </c>
      <c r="T1253" s="30">
        <f t="shared" si="78"/>
        <v>3.7105715215077772E-3</v>
      </c>
      <c r="U1253" s="63">
        <f t="shared" si="77"/>
        <v>-3.6106995354037532E-3</v>
      </c>
    </row>
    <row r="1254" spans="1:21">
      <c r="A1254" s="28">
        <v>45147</v>
      </c>
      <c r="B1254" s="29">
        <v>1915.400024</v>
      </c>
      <c r="C1254" s="29">
        <v>22.649999619999999</v>
      </c>
      <c r="D1254" s="29">
        <v>84.400001529999997</v>
      </c>
      <c r="E1254" s="29">
        <v>15101.70996</v>
      </c>
      <c r="F1254" s="29">
        <v>4467.7099609999996</v>
      </c>
      <c r="G1254" s="29">
        <v>35123.359380000002</v>
      </c>
      <c r="H1254" s="29">
        <v>10.18000031</v>
      </c>
      <c r="I1254" s="29">
        <v>8.25</v>
      </c>
      <c r="J1254" s="29">
        <v>10.829999920000001</v>
      </c>
      <c r="L1254" s="30">
        <f t="shared" si="79"/>
        <v>-4.5215696213906087E-3</v>
      </c>
      <c r="M1254" s="30">
        <f t="shared" si="79"/>
        <v>-2.9493081305560498E-3</v>
      </c>
      <c r="N1254" s="30">
        <f t="shared" si="79"/>
        <v>1.7848569617256116E-2</v>
      </c>
      <c r="O1254" s="30">
        <f t="shared" si="78"/>
        <v>-1.1218443090521446E-2</v>
      </c>
      <c r="P1254" s="30">
        <f t="shared" si="78"/>
        <v>-7.0387304080854474E-3</v>
      </c>
      <c r="Q1254" s="30">
        <f t="shared" si="78"/>
        <v>-5.412195087879601E-3</v>
      </c>
      <c r="R1254" s="30">
        <f t="shared" si="78"/>
        <v>9.8330677692581858E-4</v>
      </c>
      <c r="S1254" s="30">
        <f t="shared" si="78"/>
        <v>1.2136200579997425E-3</v>
      </c>
      <c r="T1254" s="30">
        <f t="shared" si="78"/>
        <v>9.2423570115651721E-4</v>
      </c>
      <c r="U1254" s="63">
        <f t="shared" si="77"/>
        <v>-2.6967060109991405E-3</v>
      </c>
    </row>
    <row r="1255" spans="1:21">
      <c r="A1255" s="28">
        <v>45148</v>
      </c>
      <c r="B1255" s="29">
        <v>1914.400024</v>
      </c>
      <c r="C1255" s="29">
        <v>22.746000290000001</v>
      </c>
      <c r="D1255" s="29">
        <v>82.819999690000003</v>
      </c>
      <c r="E1255" s="29">
        <v>15128.839840000001</v>
      </c>
      <c r="F1255" s="29">
        <v>4468.830078</v>
      </c>
      <c r="G1255" s="29">
        <v>35176.148439999997</v>
      </c>
      <c r="H1255" s="29">
        <v>10.119999890000001</v>
      </c>
      <c r="I1255" s="29">
        <v>8.1899995800000003</v>
      </c>
      <c r="J1255" s="29">
        <v>10.760000229999999</v>
      </c>
      <c r="L1255" s="30">
        <f t="shared" si="79"/>
        <v>-5.2208415342480663E-4</v>
      </c>
      <c r="M1255" s="30">
        <f t="shared" si="79"/>
        <v>4.238440247709141E-3</v>
      </c>
      <c r="N1255" s="30">
        <f t="shared" si="79"/>
        <v>-1.872040060850455E-2</v>
      </c>
      <c r="O1255" s="30">
        <f t="shared" si="78"/>
        <v>1.7964773573231341E-3</v>
      </c>
      <c r="P1255" s="30">
        <f t="shared" si="78"/>
        <v>2.5071390259845394E-4</v>
      </c>
      <c r="Q1255" s="30">
        <f t="shared" si="78"/>
        <v>1.502961588294216E-3</v>
      </c>
      <c r="R1255" s="30">
        <f t="shared" si="78"/>
        <v>-5.8939507046046336E-3</v>
      </c>
      <c r="S1255" s="30">
        <f t="shared" si="78"/>
        <v>-7.2727781818181514E-3</v>
      </c>
      <c r="T1255" s="30">
        <f t="shared" si="78"/>
        <v>-6.4634986627036817E-3</v>
      </c>
      <c r="U1255" s="63">
        <f t="shared" si="77"/>
        <v>-2.2631594108901308E-3</v>
      </c>
    </row>
    <row r="1256" spans="1:21">
      <c r="A1256" s="28">
        <v>45149</v>
      </c>
      <c r="B1256" s="29">
        <v>1912.900024</v>
      </c>
      <c r="C1256" s="29">
        <v>22.67399979</v>
      </c>
      <c r="D1256" s="29">
        <v>83.190002440000001</v>
      </c>
      <c r="E1256" s="29">
        <v>15028.070309999999</v>
      </c>
      <c r="F1256" s="29">
        <v>4464.0498049999997</v>
      </c>
      <c r="G1256" s="29">
        <v>35281.398439999997</v>
      </c>
      <c r="H1256" s="29">
        <v>10.079999920000001</v>
      </c>
      <c r="I1256" s="29">
        <v>8.1599998469999999</v>
      </c>
      <c r="J1256" s="29">
        <v>10.72999954</v>
      </c>
      <c r="L1256" s="30">
        <f t="shared" si="79"/>
        <v>-7.8353530150188089E-4</v>
      </c>
      <c r="M1256" s="30">
        <f t="shared" si="79"/>
        <v>-3.1654136587545567E-3</v>
      </c>
      <c r="N1256" s="30">
        <f t="shared" si="79"/>
        <v>4.4675531439861693E-3</v>
      </c>
      <c r="O1256" s="30">
        <f t="shared" si="78"/>
        <v>-6.6607572732425568E-3</v>
      </c>
      <c r="P1256" s="30">
        <f t="shared" si="78"/>
        <v>-1.0696922721527002E-3</v>
      </c>
      <c r="Q1256" s="30">
        <f t="shared" si="78"/>
        <v>2.9920842578750051E-3</v>
      </c>
      <c r="R1256" s="30">
        <f t="shared" si="78"/>
        <v>-3.9525662484962698E-3</v>
      </c>
      <c r="S1256" s="30">
        <f t="shared" si="78"/>
        <v>-3.6629712501158318E-3</v>
      </c>
      <c r="T1256" s="30">
        <f t="shared" si="78"/>
        <v>-2.788168156014903E-3</v>
      </c>
      <c r="U1256" s="63">
        <f t="shared" si="77"/>
        <v>-2.0898057405836093E-3</v>
      </c>
    </row>
    <row r="1257" spans="1:21">
      <c r="A1257" s="28">
        <v>45152</v>
      </c>
      <c r="B1257" s="29">
        <v>1910.599976</v>
      </c>
      <c r="C1257" s="29">
        <v>22.643999099999998</v>
      </c>
      <c r="D1257" s="29">
        <v>82.510002139999997</v>
      </c>
      <c r="E1257" s="29">
        <v>15205.589840000001</v>
      </c>
      <c r="F1257" s="29">
        <v>4489.7202150000003</v>
      </c>
      <c r="G1257" s="29">
        <v>35307.628909999999</v>
      </c>
      <c r="H1257" s="29">
        <v>10.06999969</v>
      </c>
      <c r="I1257" s="29">
        <v>8.1400003430000005</v>
      </c>
      <c r="J1257" s="29">
        <v>10.710000040000001</v>
      </c>
      <c r="L1257" s="30">
        <f t="shared" si="79"/>
        <v>-1.2023879821959627E-3</v>
      </c>
      <c r="M1257" s="30">
        <f t="shared" si="79"/>
        <v>-1.3231317931489128E-3</v>
      </c>
      <c r="N1257" s="30">
        <f t="shared" si="79"/>
        <v>-8.1740627485910045E-3</v>
      </c>
      <c r="O1257" s="30">
        <f t="shared" si="78"/>
        <v>1.1812529908239444E-2</v>
      </c>
      <c r="P1257" s="30">
        <f t="shared" si="78"/>
        <v>5.7504757162987197E-3</v>
      </c>
      <c r="Q1257" s="30">
        <f t="shared" si="78"/>
        <v>7.4346457793073029E-4</v>
      </c>
      <c r="R1257" s="30">
        <f t="shared" si="78"/>
        <v>-9.9208631739766684E-4</v>
      </c>
      <c r="S1257" s="30">
        <f t="shared" si="78"/>
        <v>-2.450919653797845E-3</v>
      </c>
      <c r="T1257" s="30">
        <f t="shared" si="78"/>
        <v>-1.8638863799987915E-3</v>
      </c>
      <c r="U1257" s="63">
        <f t="shared" si="77"/>
        <v>1.7545269461733759E-3</v>
      </c>
    </row>
    <row r="1258" spans="1:21">
      <c r="A1258" s="28">
        <v>45153</v>
      </c>
      <c r="B1258" s="29">
        <v>1902.5</v>
      </c>
      <c r="C1258" s="29">
        <v>22.594999309999999</v>
      </c>
      <c r="D1258" s="29">
        <v>80.989997860000003</v>
      </c>
      <c r="E1258" s="29">
        <v>15037.650390000001</v>
      </c>
      <c r="F1258" s="29">
        <v>4437.8598629999997</v>
      </c>
      <c r="G1258" s="29">
        <v>34946.390630000002</v>
      </c>
      <c r="H1258" s="29">
        <v>10.05000019</v>
      </c>
      <c r="I1258" s="29">
        <v>8.1199998860000004</v>
      </c>
      <c r="J1258" s="29">
        <v>10.68999958</v>
      </c>
      <c r="L1258" s="30">
        <f t="shared" si="79"/>
        <v>-4.2394934061278366E-3</v>
      </c>
      <c r="M1258" s="30">
        <f t="shared" si="79"/>
        <v>-2.163919446543372E-3</v>
      </c>
      <c r="N1258" s="30">
        <f t="shared" si="79"/>
        <v>-1.8422060848100608E-2</v>
      </c>
      <c r="O1258" s="30">
        <f t="shared" si="79"/>
        <v>-1.1044586350620667E-2</v>
      </c>
      <c r="P1258" s="30">
        <f t="shared" si="79"/>
        <v>-1.1550909525884667E-2</v>
      </c>
      <c r="Q1258" s="30">
        <f t="shared" si="79"/>
        <v>-1.0231167913336892E-2</v>
      </c>
      <c r="R1258" s="30">
        <f t="shared" si="78"/>
        <v>-1.9860477274750155E-3</v>
      </c>
      <c r="S1258" s="30">
        <f t="shared" si="78"/>
        <v>-2.4570584959741071E-3</v>
      </c>
      <c r="T1258" s="30">
        <f t="shared" si="78"/>
        <v>-1.8674565756584549E-3</v>
      </c>
      <c r="U1258" s="63">
        <f t="shared" si="77"/>
        <v>-7.683415112744515E-3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O60"/>
  <sheetViews>
    <sheetView topLeftCell="A22" workbookViewId="0">
      <selection activeCell="L12" sqref="L12"/>
    </sheetView>
  </sheetViews>
  <sheetFormatPr defaultColWidth="7.28515625" defaultRowHeight="15"/>
  <cols>
    <col min="1" max="1" width="18.85546875" style="9" bestFit="1" customWidth="1"/>
    <col min="2" max="2" width="10.85546875" style="9" bestFit="1" customWidth="1"/>
    <col min="3" max="3" width="13.28515625" style="9" customWidth="1"/>
    <col min="4" max="4" width="1.7109375" style="19" customWidth="1"/>
    <col min="5" max="5" width="22.5703125" style="9" bestFit="1" customWidth="1"/>
    <col min="6" max="6" width="8" style="8" bestFit="1" customWidth="1"/>
    <col min="7" max="7" width="8.7109375" style="8" customWidth="1"/>
    <col min="8" max="8" width="8.7109375" style="8" bestFit="1" customWidth="1"/>
    <col min="9" max="9" width="10.5703125" style="8" bestFit="1" customWidth="1"/>
    <col min="10" max="10" width="8.7109375" style="9" bestFit="1" customWidth="1"/>
    <col min="11" max="11" width="13.5703125" style="9" bestFit="1" customWidth="1"/>
    <col min="12" max="12" width="18.85546875" style="9" bestFit="1" customWidth="1"/>
    <col min="13" max="13" width="13.42578125" style="9" bestFit="1" customWidth="1"/>
    <col min="14" max="14" width="13.42578125" style="9" customWidth="1"/>
    <col min="15" max="15" width="1.7109375" style="19" customWidth="1"/>
    <col min="16" max="16" width="28.42578125" style="6" bestFit="1" customWidth="1"/>
    <col min="17" max="17" width="7.5703125" style="9" bestFit="1" customWidth="1"/>
    <col min="18" max="18" width="8.7109375" style="18" bestFit="1" customWidth="1"/>
    <col min="19" max="19" width="8.28515625" style="18" bestFit="1" customWidth="1"/>
    <col min="20" max="20" width="10.5703125" style="18" bestFit="1" customWidth="1"/>
    <col min="21" max="21" width="7.5703125" style="18" bestFit="1" customWidth="1"/>
    <col min="22" max="22" width="13.5703125" style="18" bestFit="1" customWidth="1"/>
    <col min="23" max="23" width="18.85546875" style="18" bestFit="1" customWidth="1"/>
    <col min="24" max="24" width="13.42578125" style="18" bestFit="1" customWidth="1"/>
    <col min="25" max="25" width="13.42578125" style="18" customWidth="1"/>
    <col min="26" max="26" width="1.7109375" style="19" customWidth="1"/>
    <col min="27" max="27" width="18.85546875" style="18" bestFit="1" customWidth="1"/>
    <col min="28" max="28" width="7.28515625" style="18" bestFit="1" customWidth="1"/>
    <col min="29" max="29" width="8.7109375" style="18" bestFit="1" customWidth="1"/>
    <col min="30" max="30" width="5.7109375" style="18" customWidth="1"/>
    <col min="31" max="31" width="10.5703125" style="18" bestFit="1" customWidth="1"/>
    <col min="32" max="32" width="6.42578125" style="18" bestFit="1" customWidth="1"/>
    <col min="33" max="33" width="13.5703125" style="18" bestFit="1" customWidth="1"/>
    <col min="34" max="34" width="18.85546875" style="18" bestFit="1" customWidth="1"/>
    <col min="35" max="35" width="13.42578125" style="18" bestFit="1" customWidth="1"/>
    <col min="36" max="36" width="14.28515625" style="18" bestFit="1" customWidth="1"/>
    <col min="37" max="41" width="7.140625" style="18" bestFit="1" customWidth="1"/>
    <col min="42" max="16384" width="7.28515625" style="9"/>
  </cols>
  <sheetData>
    <row r="1" spans="1:39" ht="21.95" customHeight="1" thickBot="1">
      <c r="F1" s="36" t="str">
        <f>DATA!L1</f>
        <v>GOLD</v>
      </c>
      <c r="G1" s="36" t="str">
        <f>DATA!M1</f>
        <v xml:space="preserve"> SILVER</v>
      </c>
      <c r="H1" s="36" t="str">
        <f>DATA!N1</f>
        <v>OIL</v>
      </c>
      <c r="I1" s="36" t="str">
        <f>DATA!O1</f>
        <v xml:space="preserve"> NASDAQ</v>
      </c>
      <c r="J1" s="36" t="str">
        <f>DATA!P1</f>
        <v xml:space="preserve"> S&amp;P</v>
      </c>
      <c r="K1" s="36" t="str">
        <f>DATA!Q1</f>
        <v xml:space="preserve"> DOW JONES</v>
      </c>
      <c r="L1" s="36" t="str">
        <f>DATA!R1</f>
        <v xml:space="preserve"> FIDELITY US BOND</v>
      </c>
      <c r="M1" s="36" t="str">
        <f>DATA!S1</f>
        <v xml:space="preserve"> BLACKROCK</v>
      </c>
      <c r="N1" s="36" t="str">
        <f>DATA!T1</f>
        <v xml:space="preserve"> BNY MELLON</v>
      </c>
    </row>
    <row r="2" spans="1:39" ht="21.95" customHeight="1" thickBot="1">
      <c r="E2" s="41" t="s">
        <v>21</v>
      </c>
      <c r="F2" s="16">
        <v>5.5476702371670059E-2</v>
      </c>
      <c r="G2" s="16">
        <v>0.15152865251827999</v>
      </c>
      <c r="H2" s="16">
        <v>7.5754810862270622E-2</v>
      </c>
      <c r="I2" s="16">
        <v>0.11443949754625016</v>
      </c>
      <c r="J2" s="16">
        <v>0.31352280543793326</v>
      </c>
      <c r="K2" s="16">
        <v>2.6304202007901914E-2</v>
      </c>
      <c r="L2" s="16">
        <v>3.5980865635078657E-2</v>
      </c>
      <c r="M2" s="16">
        <v>0.12699246362061561</v>
      </c>
      <c r="N2" s="16">
        <v>0.1</v>
      </c>
    </row>
    <row r="3" spans="1:39" ht="21.95" customHeight="1" thickBot="1">
      <c r="E3" s="41" t="s">
        <v>23</v>
      </c>
      <c r="F3" s="22">
        <f>STDEV(DATA!L3:L1258)</f>
        <v>9.8047028774862124E-3</v>
      </c>
      <c r="G3" s="22">
        <f>STDEV(DATA!M3:M1258)</f>
        <v>1.992751008293419E-2</v>
      </c>
      <c r="H3" s="22">
        <f>STDEV(DATA!N3:N1258)</f>
        <v>9.9648224244936343E-2</v>
      </c>
      <c r="I3" s="22">
        <f>STDEV(DATA!O3:O1258)</f>
        <v>1.6708510071358193E-2</v>
      </c>
      <c r="J3" s="22">
        <f>STDEV(DATA!P3:P1258)</f>
        <v>1.3707516043389963E-2</v>
      </c>
      <c r="K3" s="22">
        <f>STDEV(DATA!Q3:Q1258)</f>
        <v>1.3504590541104896E-2</v>
      </c>
      <c r="L3" s="22">
        <f>STDEV(DATA!R3:R1258)</f>
        <v>3.4249154725852003E-3</v>
      </c>
      <c r="M3" s="22">
        <f>STDEV(DATA!S3:S1258)</f>
        <v>3.462038362189993E-3</v>
      </c>
      <c r="N3" s="22">
        <f>STDEV(DATA!T3:T1258)</f>
        <v>3.2957771438115241E-3</v>
      </c>
    </row>
    <row r="4" spans="1:39" ht="21.95" customHeight="1" thickBot="1">
      <c r="E4" s="39" t="s">
        <v>0</v>
      </c>
      <c r="P4" s="31" t="s">
        <v>1</v>
      </c>
    </row>
    <row r="5" spans="1:39" ht="21.95" customHeight="1" thickBot="1">
      <c r="B5" s="41" t="s">
        <v>28</v>
      </c>
      <c r="C5" s="41" t="s">
        <v>27</v>
      </c>
      <c r="E5" s="41" t="s">
        <v>25</v>
      </c>
      <c r="F5" s="38" t="str">
        <f>F1</f>
        <v>GOLD</v>
      </c>
      <c r="G5" s="38" t="str">
        <f t="shared" ref="G5:N5" si="0">G1</f>
        <v xml:space="preserve"> SILVER</v>
      </c>
      <c r="H5" s="38" t="str">
        <f t="shared" si="0"/>
        <v>OIL</v>
      </c>
      <c r="I5" s="38" t="str">
        <f t="shared" si="0"/>
        <v xml:space="preserve"> NASDAQ</v>
      </c>
      <c r="J5" s="38" t="str">
        <f t="shared" si="0"/>
        <v xml:space="preserve"> S&amp;P</v>
      </c>
      <c r="K5" s="38" t="str">
        <f t="shared" si="0"/>
        <v xml:space="preserve"> DOW JONES</v>
      </c>
      <c r="L5" s="38" t="str">
        <f t="shared" si="0"/>
        <v xml:space="preserve"> FIDELITY US BOND</v>
      </c>
      <c r="M5" s="38" t="str">
        <f t="shared" si="0"/>
        <v xml:space="preserve"> BLACKROCK</v>
      </c>
      <c r="N5" s="38" t="str">
        <f t="shared" si="0"/>
        <v xml:space="preserve"> BNY MELLON</v>
      </c>
      <c r="P5" s="41" t="s">
        <v>25</v>
      </c>
      <c r="Q5" s="23" t="str">
        <f t="shared" ref="Q5:Y5" si="1">F5</f>
        <v>GOLD</v>
      </c>
      <c r="R5" s="23" t="str">
        <f t="shared" si="1"/>
        <v xml:space="preserve"> SILVER</v>
      </c>
      <c r="S5" s="23" t="str">
        <f t="shared" si="1"/>
        <v>OIL</v>
      </c>
      <c r="T5" s="23" t="str">
        <f t="shared" si="1"/>
        <v xml:space="preserve"> NASDAQ</v>
      </c>
      <c r="U5" s="23" t="str">
        <f t="shared" si="1"/>
        <v xml:space="preserve"> S&amp;P</v>
      </c>
      <c r="V5" s="23" t="str">
        <f t="shared" si="1"/>
        <v xml:space="preserve"> DOW JONES</v>
      </c>
      <c r="W5" s="23" t="str">
        <f t="shared" si="1"/>
        <v xml:space="preserve"> FIDELITY US BOND</v>
      </c>
      <c r="X5" s="23" t="str">
        <f t="shared" si="1"/>
        <v xml:space="preserve"> BLACKROCK</v>
      </c>
      <c r="Y5" s="23" t="str">
        <f t="shared" si="1"/>
        <v xml:space="preserve"> BNY MELLON</v>
      </c>
      <c r="AA5" s="21" t="s">
        <v>20</v>
      </c>
      <c r="AB5" s="23" t="str">
        <f>F5</f>
        <v>GOLD</v>
      </c>
      <c r="AC5" s="23" t="str">
        <f t="shared" ref="AC5:AJ5" si="2">G5</f>
        <v xml:space="preserve"> SILVER</v>
      </c>
      <c r="AD5" s="23" t="str">
        <f t="shared" si="2"/>
        <v>OIL</v>
      </c>
      <c r="AE5" s="23" t="str">
        <f t="shared" si="2"/>
        <v xml:space="preserve"> NASDAQ</v>
      </c>
      <c r="AF5" s="23" t="str">
        <f t="shared" si="2"/>
        <v xml:space="preserve"> S&amp;P</v>
      </c>
      <c r="AG5" s="23" t="str">
        <f t="shared" si="2"/>
        <v xml:space="preserve"> DOW JONES</v>
      </c>
      <c r="AH5" s="23" t="str">
        <f t="shared" si="2"/>
        <v xml:space="preserve"> FIDELITY US BOND</v>
      </c>
      <c r="AI5" s="23" t="str">
        <f t="shared" si="2"/>
        <v xml:space="preserve"> BLACKROCK</v>
      </c>
      <c r="AJ5" s="23" t="str">
        <f t="shared" si="2"/>
        <v xml:space="preserve"> BNY MELLON</v>
      </c>
    </row>
    <row r="6" spans="1:39" ht="21.95" customHeight="1" thickBot="1">
      <c r="A6" s="37" t="str">
        <f t="array" ref="A6:A14">TRANSPOSE(F1:N1)</f>
        <v>GOLD</v>
      </c>
      <c r="B6" s="46">
        <f t="array" ref="B6:B14">TRANSPOSE(F2:N2)</f>
        <v>5.5476702371670059E-2</v>
      </c>
      <c r="C6" s="22">
        <f t="array" ref="C6:C14">TRANSPOSE(F3:N3)</f>
        <v>9.8047028774862124E-3</v>
      </c>
      <c r="E6" s="40" t="str">
        <f t="array" ref="E6:E14">TRANSPOSE(F5:N5)</f>
        <v>GOLD</v>
      </c>
      <c r="F6" s="32">
        <f>CORREL(DATA!$L$3:$L$1258,DATA!L$3:L$1258)</f>
        <v>0.99999999999999989</v>
      </c>
      <c r="G6" s="33">
        <f>CORREL(DATA!$L3:$L1258,DATA!M$3:M$1258)</f>
        <v>0.78364081483188475</v>
      </c>
      <c r="H6" s="33">
        <f>CORREL(DATA!$L3:$L1258,DATA!N$3:N$1258)</f>
        <v>3.7876698610782841E-2</v>
      </c>
      <c r="I6" s="33">
        <f>CORREL(DATA!$L3:$L1258,DATA!O$3:O$1258)</f>
        <v>8.9330523297379449E-2</v>
      </c>
      <c r="J6" s="33">
        <f>CORREL(DATA!$L3:$L1258,DATA!P$3:P$1258)</f>
        <v>8.3125245775659315E-2</v>
      </c>
      <c r="K6" s="33">
        <f>CORREL(DATA!$L3:$L1258,DATA!Q$3:Q$1258)</f>
        <v>6.9190071291288069E-2</v>
      </c>
      <c r="L6" s="33">
        <f>CORREL(DATA!$L3:$L1258,DATA!R$3:R$1258)</f>
        <v>0.3218368647715249</v>
      </c>
      <c r="M6" s="33">
        <f>CORREL(DATA!$L3:$L1258,DATA!S$3:S$1258)</f>
        <v>0.34652088680717641</v>
      </c>
      <c r="N6" s="33">
        <v>0.7</v>
      </c>
      <c r="P6" s="34" t="str">
        <f>E6</f>
        <v>GOLD</v>
      </c>
      <c r="Q6" s="15">
        <f t="array" ref="Q6:Y14">matrix_clean(F6:N14)</f>
        <v>1</v>
      </c>
      <c r="R6" s="13">
        <v>0.74903644151861937</v>
      </c>
      <c r="S6" s="13">
        <v>3.7476814668445477E-2</v>
      </c>
      <c r="T6" s="13">
        <v>8.7681540313248901E-2</v>
      </c>
      <c r="U6" s="13">
        <v>8.2982137127990824E-2</v>
      </c>
      <c r="V6" s="13">
        <v>6.9171971783302186E-2</v>
      </c>
      <c r="W6" s="13">
        <v>0.33593142979702606</v>
      </c>
      <c r="X6" s="13">
        <v>0.35414092085485599</v>
      </c>
      <c r="Y6" s="13">
        <v>0.62400499855464375</v>
      </c>
      <c r="AA6" s="34" t="str">
        <f t="shared" ref="AA6:AA14" si="3">E6</f>
        <v>GOLD</v>
      </c>
      <c r="AB6" s="50">
        <f t="shared" ref="AB6:AJ6" si="4">ROUND(F6-Q6,4)</f>
        <v>0</v>
      </c>
      <c r="AC6" s="50">
        <f t="shared" si="4"/>
        <v>3.4599999999999999E-2</v>
      </c>
      <c r="AD6" s="50">
        <f t="shared" si="4"/>
        <v>4.0000000000000002E-4</v>
      </c>
      <c r="AE6" s="50">
        <f t="shared" si="4"/>
        <v>1.6000000000000001E-3</v>
      </c>
      <c r="AF6" s="50">
        <f t="shared" si="4"/>
        <v>1E-4</v>
      </c>
      <c r="AG6" s="50">
        <f t="shared" si="4"/>
        <v>0</v>
      </c>
      <c r="AH6" s="50">
        <f t="shared" si="4"/>
        <v>-1.41E-2</v>
      </c>
      <c r="AI6" s="50">
        <f t="shared" si="4"/>
        <v>-7.6E-3</v>
      </c>
      <c r="AJ6" s="50">
        <f t="shared" si="4"/>
        <v>7.5999999999999998E-2</v>
      </c>
    </row>
    <row r="7" spans="1:39" ht="21.95" customHeight="1" thickBot="1">
      <c r="A7" s="37" t="str">
        <v xml:space="preserve"> SILVER</v>
      </c>
      <c r="B7" s="16">
        <v>0.15152865251827999</v>
      </c>
      <c r="C7" s="22">
        <v>1.992751008293419E-2</v>
      </c>
      <c r="E7" s="37" t="str">
        <v xml:space="preserve"> SILVER</v>
      </c>
      <c r="F7" s="47">
        <f t="array" ref="F7:F14">TRANSPOSE(G6:N6)</f>
        <v>0.78364081483188475</v>
      </c>
      <c r="G7" s="12">
        <f>CORREL(DATA!$M$3:$M$1258,DATA!M$3:M$1258)</f>
        <v>0.99999999999999989</v>
      </c>
      <c r="H7" s="13">
        <f>CORREL(DATA!$M$3:$M$1258,DATA!N$3:N$1258)</f>
        <v>5.996488175773277E-2</v>
      </c>
      <c r="I7" s="13">
        <f>CORREL(DATA!$M$3:$M$1258,DATA!O$3:O$1258)</f>
        <v>0.17084572250108221</v>
      </c>
      <c r="J7" s="13">
        <f>CORREL(DATA!$M$3:$M$1258,DATA!P$3:P$1258)</f>
        <v>0.18209810262740572</v>
      </c>
      <c r="K7" s="13">
        <f>CORREL(DATA!$M$3:$M$1258,DATA!Q$3:Q$1258)</f>
        <v>0.17285198604149196</v>
      </c>
      <c r="L7" s="13">
        <f>CORREL(DATA!$M$3:$M$1258,DATA!R$3:R$1258)</f>
        <v>0.20778336246021176</v>
      </c>
      <c r="M7" s="13">
        <f>CORREL(DATA!$M$3:$M$1258,DATA!S$3:S$1258)</f>
        <v>0.23289638915004934</v>
      </c>
      <c r="N7" s="13">
        <f>CORREL(DATA!$M$3:$M$1258,DATA!T$3:T$1258)</f>
        <v>0.23571118191641025</v>
      </c>
      <c r="P7" s="34" t="str">
        <f t="shared" ref="P7:P14" si="5">E7</f>
        <v xml:space="preserve"> SILVER</v>
      </c>
      <c r="Q7" s="47">
        <v>0.74903644151861926</v>
      </c>
      <c r="R7" s="15">
        <v>0.99999999999999978</v>
      </c>
      <c r="S7" s="13">
        <v>5.9515561477364531E-2</v>
      </c>
      <c r="T7" s="13">
        <v>0.17005628531088529</v>
      </c>
      <c r="U7" s="13">
        <v>0.18035706410998764</v>
      </c>
      <c r="V7" s="13">
        <v>0.17121697517235157</v>
      </c>
      <c r="W7" s="13">
        <v>0.19166568668034328</v>
      </c>
      <c r="X7" s="13">
        <v>0.22211631701575252</v>
      </c>
      <c r="Y7" s="13">
        <v>0.2538353598857539</v>
      </c>
      <c r="AA7" s="34" t="str">
        <f t="shared" si="3"/>
        <v xml:space="preserve"> SILVER</v>
      </c>
      <c r="AB7" s="50">
        <f t="shared" ref="AB7:AB13" si="6">ROUND(F7-Q7,4)</f>
        <v>3.4599999999999999E-2</v>
      </c>
      <c r="AC7" s="50">
        <f t="shared" ref="AC7:AC13" si="7">ROUND(G7-R7,4)</f>
        <v>0</v>
      </c>
      <c r="AD7" s="50">
        <f t="shared" ref="AD7:AD13" si="8">ROUND(H7-S7,4)</f>
        <v>4.0000000000000002E-4</v>
      </c>
      <c r="AE7" s="50">
        <f t="shared" ref="AE7:AE13" si="9">ROUND(I7-T7,4)</f>
        <v>8.0000000000000004E-4</v>
      </c>
      <c r="AF7" s="50">
        <f t="shared" ref="AF7:AF13" si="10">ROUND(J7-U7,4)</f>
        <v>1.6999999999999999E-3</v>
      </c>
      <c r="AG7" s="50">
        <f t="shared" ref="AG7:AG13" si="11">ROUND(K7-V7,4)</f>
        <v>1.6000000000000001E-3</v>
      </c>
      <c r="AH7" s="50">
        <f t="shared" ref="AH7:AH13" si="12">ROUND(L7-W7,4)</f>
        <v>1.61E-2</v>
      </c>
      <c r="AI7" s="50">
        <f t="shared" ref="AI7:AJ13" si="13">ROUND(M7-X7,4)</f>
        <v>1.0800000000000001E-2</v>
      </c>
      <c r="AJ7" s="50">
        <f t="shared" si="13"/>
        <v>-1.8100000000000002E-2</v>
      </c>
    </row>
    <row r="8" spans="1:39" ht="21.95" customHeight="1" thickBot="1">
      <c r="A8" s="37" t="str">
        <v>OIL</v>
      </c>
      <c r="B8" s="16">
        <v>7.5754810862270622E-2</v>
      </c>
      <c r="C8" s="22">
        <v>9.9648224244936343E-2</v>
      </c>
      <c r="E8" s="37" t="str">
        <v>OIL</v>
      </c>
      <c r="F8" s="47">
        <v>3.7876698610782841E-2</v>
      </c>
      <c r="G8" s="47">
        <f t="array" ref="G8:G14">TRANSPOSE(H7:N7)</f>
        <v>5.996488175773277E-2</v>
      </c>
      <c r="H8" s="12">
        <f>CORREL(DATA!$N$3:$N$1258,DATA!N$3:N$1258)</f>
        <v>0.99999999999999978</v>
      </c>
      <c r="I8" s="59">
        <f>CORREL(DATA!$N$3:$N$1258,DATA!O$3:O$1258)</f>
        <v>0.10781028458520943</v>
      </c>
      <c r="J8" s="13">
        <f>CORREL(DATA!$N$3:$N$1258,DATA!P$3:P$1258)</f>
        <v>0.14011802801193288</v>
      </c>
      <c r="K8" s="13">
        <f>CORREL(DATA!$N$3:$N$1258,DATA!Q$3:Q$1258)</f>
        <v>0.15766208131082884</v>
      </c>
      <c r="L8" s="13">
        <f>CORREL(DATA!$N$3:$N$1258,DATA!R$3:R$1258)</f>
        <v>-3.111469140357721E-2</v>
      </c>
      <c r="M8" s="13">
        <f>CORREL(DATA!$N$3:$N$1258,DATA!S$3:S$1258)</f>
        <v>-1.3656524864735493E-2</v>
      </c>
      <c r="N8" s="13">
        <f>CORREL(DATA!$N$3:$N$1258,DATA!T$3:T$1258)</f>
        <v>-8.2674919474596629E-3</v>
      </c>
      <c r="P8" s="34" t="str">
        <f t="shared" si="5"/>
        <v>OIL</v>
      </c>
      <c r="Q8" s="47">
        <v>3.747681466844547E-2</v>
      </c>
      <c r="R8" s="47">
        <v>5.9515561477364518E-2</v>
      </c>
      <c r="S8" s="15">
        <v>0.99999999999999978</v>
      </c>
      <c r="T8" s="13">
        <v>0.107808284393346</v>
      </c>
      <c r="U8" s="13">
        <v>0.14012121701519323</v>
      </c>
      <c r="V8" s="13">
        <v>0.15766491050037926</v>
      </c>
      <c r="W8" s="13">
        <v>-3.0755517740300324E-2</v>
      </c>
      <c r="X8" s="13">
        <v>-1.353450929738499E-2</v>
      </c>
      <c r="Y8" s="13">
        <v>-8.2419214493452998E-3</v>
      </c>
      <c r="AA8" s="34" t="str">
        <f t="shared" si="3"/>
        <v>OIL</v>
      </c>
      <c r="AB8" s="50">
        <f t="shared" si="6"/>
        <v>4.0000000000000002E-4</v>
      </c>
      <c r="AC8" s="50">
        <f t="shared" si="7"/>
        <v>4.0000000000000002E-4</v>
      </c>
      <c r="AD8" s="50">
        <f t="shared" si="8"/>
        <v>0</v>
      </c>
      <c r="AE8" s="50">
        <f t="shared" si="9"/>
        <v>0</v>
      </c>
      <c r="AF8" s="50">
        <f t="shared" si="10"/>
        <v>0</v>
      </c>
      <c r="AG8" s="50">
        <f t="shared" si="11"/>
        <v>0</v>
      </c>
      <c r="AH8" s="50">
        <f t="shared" si="12"/>
        <v>-4.0000000000000002E-4</v>
      </c>
      <c r="AI8" s="50">
        <f t="shared" si="13"/>
        <v>-1E-4</v>
      </c>
      <c r="AJ8" s="50">
        <f t="shared" si="13"/>
        <v>0</v>
      </c>
    </row>
    <row r="9" spans="1:39" ht="21.95" customHeight="1" thickBot="1">
      <c r="A9" s="37" t="str">
        <v xml:space="preserve"> NASDAQ</v>
      </c>
      <c r="B9" s="16">
        <v>0.11443949754625016</v>
      </c>
      <c r="C9" s="22">
        <v>1.6708510071358193E-2</v>
      </c>
      <c r="E9" s="37" t="str">
        <v xml:space="preserve"> NASDAQ</v>
      </c>
      <c r="F9" s="47">
        <v>8.9330523297379449E-2</v>
      </c>
      <c r="G9" s="47">
        <v>0.17084572250108221</v>
      </c>
      <c r="H9" s="47">
        <f t="array" ref="H9:H14">TRANSPOSE(I8:N8)</f>
        <v>0.10781028458520943</v>
      </c>
      <c r="I9" s="12">
        <f>CORREL(DATA!$O$3:$O$1258,DATA!O$3:O$1258)</f>
        <v>1</v>
      </c>
      <c r="J9" s="13">
        <f>CORREL(DATA!$O$3:$O$1258,DATA!P$3:P$1258)</f>
        <v>0.9333651002733484</v>
      </c>
      <c r="K9" s="13">
        <f>CORREL(DATA!$O$3:$O$1258,DATA!Q$3:Q$1258)</f>
        <v>0.82563995010298141</v>
      </c>
      <c r="L9" s="13">
        <f>CORREL(DATA!$O$3:$O$1258,DATA!R$3:R$1258)</f>
        <v>2.4694858384780555E-2</v>
      </c>
      <c r="M9" s="13">
        <f>CORREL(DATA!$O$3:$O$1258,DATA!S$3:S$1258)</f>
        <v>8.6000289088056001E-2</v>
      </c>
      <c r="N9" s="13">
        <f>CORREL(DATA!$O$3:$O$1258,DATA!T$3:T$1258)</f>
        <v>6.1643536129865395E-2</v>
      </c>
      <c r="P9" s="34" t="str">
        <f t="shared" si="5"/>
        <v xml:space="preserve"> NASDAQ</v>
      </c>
      <c r="Q9" s="47">
        <v>8.7681540313248901E-2</v>
      </c>
      <c r="R9" s="47">
        <v>0.17005628531088535</v>
      </c>
      <c r="S9" s="47">
        <v>0.10780828439334603</v>
      </c>
      <c r="T9" s="15">
        <v>0.99999999999999978</v>
      </c>
      <c r="U9" s="13">
        <v>0.93333273211697965</v>
      </c>
      <c r="V9" s="13">
        <v>0.82561330032229774</v>
      </c>
      <c r="W9" s="13">
        <v>2.4274867015919809E-2</v>
      </c>
      <c r="X9" s="13">
        <v>8.5569566452588883E-2</v>
      </c>
      <c r="Y9" s="13">
        <v>6.0120736306802876E-2</v>
      </c>
      <c r="AA9" s="34" t="str">
        <f t="shared" si="3"/>
        <v xml:space="preserve"> NASDAQ</v>
      </c>
      <c r="AB9" s="50">
        <f t="shared" si="6"/>
        <v>1.6000000000000001E-3</v>
      </c>
      <c r="AC9" s="50">
        <f t="shared" si="7"/>
        <v>8.0000000000000004E-4</v>
      </c>
      <c r="AD9" s="50">
        <f t="shared" si="8"/>
        <v>0</v>
      </c>
      <c r="AE9" s="50">
        <f t="shared" si="9"/>
        <v>0</v>
      </c>
      <c r="AF9" s="50">
        <f t="shared" si="10"/>
        <v>0</v>
      </c>
      <c r="AG9" s="50">
        <f t="shared" si="11"/>
        <v>0</v>
      </c>
      <c r="AH9" s="50">
        <f t="shared" si="12"/>
        <v>4.0000000000000002E-4</v>
      </c>
      <c r="AI9" s="50">
        <f t="shared" si="13"/>
        <v>4.0000000000000002E-4</v>
      </c>
      <c r="AJ9" s="50">
        <f t="shared" si="13"/>
        <v>1.5E-3</v>
      </c>
      <c r="AK9"/>
    </row>
    <row r="10" spans="1:39" ht="21.95" customHeight="1" thickBot="1">
      <c r="A10" s="37" t="str">
        <v xml:space="preserve"> S&amp;P</v>
      </c>
      <c r="B10" s="16">
        <v>0.31352280543793326</v>
      </c>
      <c r="C10" s="22">
        <v>1.3707516043389963E-2</v>
      </c>
      <c r="E10" s="37" t="str">
        <v xml:space="preserve"> S&amp;P</v>
      </c>
      <c r="F10" s="47">
        <v>8.3125245775659315E-2</v>
      </c>
      <c r="G10" s="47">
        <v>0.18209810262740572</v>
      </c>
      <c r="H10" s="47">
        <v>0.14011802801193288</v>
      </c>
      <c r="I10" s="47">
        <f t="array" ref="I10:I14">TRANSPOSE(J9:N9)</f>
        <v>0.9333651002733484</v>
      </c>
      <c r="J10" s="12">
        <f>CORREL(DATA!$P$3:$P$1258,DATA!P$3:P$1258)</f>
        <v>1</v>
      </c>
      <c r="K10" s="13">
        <f>CORREL(DATA!$P$3:$P$1258,DATA!Q$3:Q$1258)</f>
        <v>0.96164543137804526</v>
      </c>
      <c r="L10" s="13">
        <v>-2.5000000000000001E-2</v>
      </c>
      <c r="M10" s="13">
        <f>CORREL(DATA!$P$3:$P$1258,DATA!S$3:S$1258)</f>
        <v>5.1828025853565843E-2</v>
      </c>
      <c r="N10" s="13">
        <f>CORREL(DATA!$P$3:$P$1258,DATA!T$3:T$1258)</f>
        <v>2.7779501449593864E-2</v>
      </c>
      <c r="O10" s="7"/>
      <c r="P10" s="34" t="str">
        <f t="shared" si="5"/>
        <v xml:space="preserve"> S&amp;P</v>
      </c>
      <c r="Q10" s="47">
        <v>8.2982137127990796E-2</v>
      </c>
      <c r="R10" s="47">
        <v>0.18035706410998764</v>
      </c>
      <c r="S10" s="47">
        <v>0.14012121701519328</v>
      </c>
      <c r="T10" s="47">
        <v>0.93333273211697965</v>
      </c>
      <c r="U10" s="15">
        <v>1</v>
      </c>
      <c r="V10" s="13">
        <v>0.96164676188795628</v>
      </c>
      <c r="W10" s="13">
        <v>-2.4014721415616364E-2</v>
      </c>
      <c r="X10" s="13">
        <v>5.2173050936361549E-2</v>
      </c>
      <c r="Y10" s="13">
        <v>2.5276005838535891E-2</v>
      </c>
      <c r="Z10" s="7"/>
      <c r="AA10" s="34" t="str">
        <f t="shared" si="3"/>
        <v xml:space="preserve"> S&amp;P</v>
      </c>
      <c r="AB10" s="50">
        <f t="shared" si="6"/>
        <v>1E-4</v>
      </c>
      <c r="AC10" s="50">
        <f t="shared" si="7"/>
        <v>1.6999999999999999E-3</v>
      </c>
      <c r="AD10" s="50">
        <f t="shared" si="8"/>
        <v>0</v>
      </c>
      <c r="AE10" s="50">
        <f t="shared" si="9"/>
        <v>0</v>
      </c>
      <c r="AF10" s="50">
        <f t="shared" si="10"/>
        <v>0</v>
      </c>
      <c r="AG10" s="50">
        <f t="shared" si="11"/>
        <v>0</v>
      </c>
      <c r="AH10" s="50">
        <f t="shared" si="12"/>
        <v>-1E-3</v>
      </c>
      <c r="AI10" s="50">
        <f t="shared" si="13"/>
        <v>-2.9999999999999997E-4</v>
      </c>
      <c r="AJ10" s="50">
        <f t="shared" si="13"/>
        <v>2.5000000000000001E-3</v>
      </c>
      <c r="AK10"/>
    </row>
    <row r="11" spans="1:39" ht="21.95" customHeight="1" thickBot="1">
      <c r="A11" s="37" t="str">
        <v xml:space="preserve"> DOW JONES</v>
      </c>
      <c r="B11" s="16">
        <v>2.6304202007901914E-2</v>
      </c>
      <c r="C11" s="22">
        <v>1.3504590541104896E-2</v>
      </c>
      <c r="E11" s="37" t="str">
        <v xml:space="preserve"> DOW JONES</v>
      </c>
      <c r="F11" s="47">
        <v>6.9190071291288069E-2</v>
      </c>
      <c r="G11" s="47">
        <v>0.17285198604149196</v>
      </c>
      <c r="H11" s="47">
        <v>0.15766208131082884</v>
      </c>
      <c r="I11" s="47">
        <v>0.82563995010298141</v>
      </c>
      <c r="J11" s="47">
        <f t="array" ref="J11:J14">TRANSPOSE(K10:N10)</f>
        <v>0.96164543137804526</v>
      </c>
      <c r="K11" s="12">
        <f>CORREL(DATA!$Q$3:$Q$1258,DATA!Q$3:Q$1258)</f>
        <v>1</v>
      </c>
      <c r="L11" s="13">
        <f>CORREL(DATA!$Q$3:$Q$1258,DATA!R$3:R$1258)</f>
        <v>-6.9008758624430316E-2</v>
      </c>
      <c r="M11" s="13">
        <f>CORREL(DATA!$Q$3:$Q$1258,DATA!S$3:S$1258)</f>
        <v>1.4613730152944432E-2</v>
      </c>
      <c r="N11" s="13">
        <f>CORREL(DATA!$Q$3:$Q$1258,DATA!T$3:T$1258)</f>
        <v>-9.9535145194070453E-3</v>
      </c>
      <c r="O11" s="14"/>
      <c r="P11" s="34" t="str">
        <f t="shared" si="5"/>
        <v xml:space="preserve"> DOW JONES</v>
      </c>
      <c r="Q11" s="47">
        <v>6.91719717833022E-2</v>
      </c>
      <c r="R11" s="47">
        <v>0.17121697517235157</v>
      </c>
      <c r="S11" s="47">
        <v>0.15766491050037931</v>
      </c>
      <c r="T11" s="47">
        <v>0.82561330032229774</v>
      </c>
      <c r="U11" s="47">
        <v>0.96164676188795628</v>
      </c>
      <c r="V11" s="15">
        <v>1</v>
      </c>
      <c r="W11" s="13">
        <v>-6.7742699137350926E-2</v>
      </c>
      <c r="X11" s="13">
        <v>1.5042225948051272E-2</v>
      </c>
      <c r="Y11" s="13">
        <v>-1.1117721866650743E-2</v>
      </c>
      <c r="Z11" s="14"/>
      <c r="AA11" s="34" t="str">
        <f t="shared" si="3"/>
        <v xml:space="preserve"> DOW JONES</v>
      </c>
      <c r="AB11" s="50">
        <f t="shared" si="6"/>
        <v>0</v>
      </c>
      <c r="AC11" s="50">
        <f t="shared" si="7"/>
        <v>1.6000000000000001E-3</v>
      </c>
      <c r="AD11" s="50">
        <f t="shared" si="8"/>
        <v>0</v>
      </c>
      <c r="AE11" s="50">
        <f t="shared" si="9"/>
        <v>0</v>
      </c>
      <c r="AF11" s="50">
        <f t="shared" si="10"/>
        <v>0</v>
      </c>
      <c r="AG11" s="50">
        <f t="shared" si="11"/>
        <v>0</v>
      </c>
      <c r="AH11" s="50">
        <f t="shared" si="12"/>
        <v>-1.2999999999999999E-3</v>
      </c>
      <c r="AI11" s="50">
        <f t="shared" si="13"/>
        <v>-4.0000000000000002E-4</v>
      </c>
      <c r="AJ11" s="50">
        <f t="shared" si="13"/>
        <v>1.1999999999999999E-3</v>
      </c>
      <c r="AK11"/>
      <c r="AL11" s="10"/>
      <c r="AM11" s="10"/>
    </row>
    <row r="12" spans="1:39" ht="21.95" customHeight="1" thickBot="1">
      <c r="A12" s="37" t="str">
        <v xml:space="preserve"> FIDELITY US BOND</v>
      </c>
      <c r="B12" s="16">
        <v>3.5980865635078657E-2</v>
      </c>
      <c r="C12" s="22">
        <v>3.4249154725852003E-3</v>
      </c>
      <c r="E12" s="37" t="str">
        <v xml:space="preserve"> FIDELITY US BOND</v>
      </c>
      <c r="F12" s="47">
        <v>0.3218368647715249</v>
      </c>
      <c r="G12" s="47">
        <v>0.20778336246021176</v>
      </c>
      <c r="H12" s="47">
        <v>-3.111469140357721E-2</v>
      </c>
      <c r="I12" s="47">
        <v>2.4694858384780555E-2</v>
      </c>
      <c r="J12" s="47">
        <v>-2.5000000000000001E-2</v>
      </c>
      <c r="K12" s="47">
        <f t="array" ref="K12:K14">TRANSPOSE(L11:N11)</f>
        <v>-6.9008758624430316E-2</v>
      </c>
      <c r="L12" s="12">
        <f>CORREL(DATA!$R$3:$R$1258,DATA!R$3:R$1258)</f>
        <v>1.0000000000000002</v>
      </c>
      <c r="M12" s="20">
        <f>CORREL(DATA!$R$3:$R$1258,DATA!S$3:S$1258)</f>
        <v>0.95429361335817842</v>
      </c>
      <c r="N12" s="20">
        <f>CORREL(DATA!$R$3:$R$1258,DATA!T$3:T$1258)</f>
        <v>0.96836562338395227</v>
      </c>
      <c r="O12" s="14"/>
      <c r="P12" s="34" t="str">
        <f t="shared" si="5"/>
        <v xml:space="preserve"> FIDELITY US BOND</v>
      </c>
      <c r="Q12" s="47">
        <v>0.33593142979702606</v>
      </c>
      <c r="R12" s="47">
        <v>0.19166568668034314</v>
      </c>
      <c r="S12" s="47">
        <v>-3.0755517740300338E-2</v>
      </c>
      <c r="T12" s="47">
        <v>2.4274867015919754E-2</v>
      </c>
      <c r="U12" s="47">
        <v>-2.4014721415616357E-2</v>
      </c>
      <c r="V12" s="47">
        <v>-6.7742699137351009E-2</v>
      </c>
      <c r="W12" s="15">
        <v>1</v>
      </c>
      <c r="X12" s="20">
        <v>0.95384967790647401</v>
      </c>
      <c r="Y12" s="13">
        <v>0.89864089516842205</v>
      </c>
      <c r="Z12" s="14"/>
      <c r="AA12" s="34" t="str">
        <f t="shared" si="3"/>
        <v xml:space="preserve"> FIDELITY US BOND</v>
      </c>
      <c r="AB12" s="50">
        <f t="shared" si="6"/>
        <v>-1.41E-2</v>
      </c>
      <c r="AC12" s="50">
        <f t="shared" si="7"/>
        <v>1.61E-2</v>
      </c>
      <c r="AD12" s="50">
        <f t="shared" si="8"/>
        <v>-4.0000000000000002E-4</v>
      </c>
      <c r="AE12" s="50">
        <f t="shared" si="9"/>
        <v>4.0000000000000002E-4</v>
      </c>
      <c r="AF12" s="50">
        <f t="shared" si="10"/>
        <v>-1E-3</v>
      </c>
      <c r="AG12" s="50">
        <f t="shared" si="11"/>
        <v>-1.2999999999999999E-3</v>
      </c>
      <c r="AH12" s="50">
        <f t="shared" si="12"/>
        <v>0</v>
      </c>
      <c r="AI12" s="50">
        <f t="shared" si="13"/>
        <v>4.0000000000000002E-4</v>
      </c>
      <c r="AJ12" s="50">
        <f t="shared" si="13"/>
        <v>6.9699999999999998E-2</v>
      </c>
      <c r="AK12"/>
      <c r="AL12" s="17"/>
      <c r="AM12" s="17"/>
    </row>
    <row r="13" spans="1:39" ht="21.95" customHeight="1" thickBot="1">
      <c r="A13" s="37" t="str">
        <v xml:space="preserve"> BLACKROCK</v>
      </c>
      <c r="B13" s="16">
        <v>0.12699246362061561</v>
      </c>
      <c r="C13" s="22">
        <v>3.462038362189993E-3</v>
      </c>
      <c r="E13" s="37" t="str">
        <v xml:space="preserve"> BLACKROCK</v>
      </c>
      <c r="F13" s="47">
        <v>0.34652088680717641</v>
      </c>
      <c r="G13" s="47">
        <v>0.23289638915004934</v>
      </c>
      <c r="H13" s="47">
        <v>-1.3656524864735493E-2</v>
      </c>
      <c r="I13" s="47">
        <v>8.6000289088056001E-2</v>
      </c>
      <c r="J13" s="47">
        <v>5.1828025853565843E-2</v>
      </c>
      <c r="K13" s="47">
        <v>1.4613730152944432E-2</v>
      </c>
      <c r="L13" s="47">
        <f t="array" ref="L13:L14">TRANSPOSE(M12:N12)</f>
        <v>0.95429361335817842</v>
      </c>
      <c r="M13" s="12">
        <f>CORREL(DATA!$S$3:$S$1258,DATA!S$3:S$1258)</f>
        <v>0.99999999999999989</v>
      </c>
      <c r="N13" s="20">
        <f>CORREL(DATA!$S$3:$S$1258,DATA!T$3:T$1258)</f>
        <v>0.94786963399731883</v>
      </c>
      <c r="O13" s="14"/>
      <c r="P13" s="34" t="str">
        <f t="shared" si="5"/>
        <v xml:space="preserve"> BLACKROCK</v>
      </c>
      <c r="Q13" s="47">
        <v>0.35414092085485604</v>
      </c>
      <c r="R13" s="47">
        <v>0.22211631701575255</v>
      </c>
      <c r="S13" s="47">
        <v>-1.3534509297384974E-2</v>
      </c>
      <c r="T13" s="47">
        <v>8.5569566452588869E-2</v>
      </c>
      <c r="U13" s="47">
        <v>5.2173050936361549E-2</v>
      </c>
      <c r="V13" s="47">
        <v>1.5042225948051208E-2</v>
      </c>
      <c r="W13" s="47">
        <v>0.95384967790647424</v>
      </c>
      <c r="X13" s="15">
        <v>1</v>
      </c>
      <c r="Y13" s="13">
        <v>0.8939431568748103</v>
      </c>
      <c r="Z13" s="14"/>
      <c r="AA13" s="34" t="str">
        <f t="shared" si="3"/>
        <v xml:space="preserve"> BLACKROCK</v>
      </c>
      <c r="AB13" s="50">
        <f t="shared" si="6"/>
        <v>-7.6E-3</v>
      </c>
      <c r="AC13" s="50">
        <f t="shared" si="7"/>
        <v>1.0800000000000001E-2</v>
      </c>
      <c r="AD13" s="50">
        <f t="shared" si="8"/>
        <v>-1E-4</v>
      </c>
      <c r="AE13" s="50">
        <f t="shared" si="9"/>
        <v>4.0000000000000002E-4</v>
      </c>
      <c r="AF13" s="50">
        <f t="shared" si="10"/>
        <v>-2.9999999999999997E-4</v>
      </c>
      <c r="AG13" s="50">
        <f t="shared" si="11"/>
        <v>-4.0000000000000002E-4</v>
      </c>
      <c r="AH13" s="50">
        <f t="shared" si="12"/>
        <v>4.0000000000000002E-4</v>
      </c>
      <c r="AI13" s="50">
        <f t="shared" si="13"/>
        <v>0</v>
      </c>
      <c r="AJ13" s="50">
        <f t="shared" si="13"/>
        <v>5.3900000000000003E-2</v>
      </c>
      <c r="AK13"/>
      <c r="AL13" s="17"/>
      <c r="AM13" s="17"/>
    </row>
    <row r="14" spans="1:39" ht="21.95" customHeight="1" thickBot="1">
      <c r="A14" s="37" t="str">
        <v xml:space="preserve"> BNY MELLON</v>
      </c>
      <c r="B14" s="16">
        <v>0.1</v>
      </c>
      <c r="C14" s="22">
        <v>3.2957771438115241E-3</v>
      </c>
      <c r="E14" s="37" t="str">
        <v xml:space="preserve"> BNY MELLON</v>
      </c>
      <c r="F14" s="47">
        <v>0.7</v>
      </c>
      <c r="G14" s="47">
        <v>0.23571118191641025</v>
      </c>
      <c r="H14" s="47">
        <v>-8.2674919474596629E-3</v>
      </c>
      <c r="I14" s="47">
        <v>6.1643536129865395E-2</v>
      </c>
      <c r="J14" s="47">
        <v>2.7779501449593864E-2</v>
      </c>
      <c r="K14" s="47">
        <v>-9.9535145194070453E-3</v>
      </c>
      <c r="L14" s="47">
        <v>0.96836562338395227</v>
      </c>
      <c r="M14" s="47">
        <f>N13</f>
        <v>0.94786963399731883</v>
      </c>
      <c r="N14" s="12">
        <f>CORREL(DATA!$T$3:$T$1258,DATA!T$3:T$1258)</f>
        <v>1</v>
      </c>
      <c r="O14" s="14"/>
      <c r="P14" s="34" t="str">
        <f t="shared" si="5"/>
        <v xml:space="preserve"> BNY MELLON</v>
      </c>
      <c r="Q14" s="47">
        <v>0.62400499855464364</v>
      </c>
      <c r="R14" s="47">
        <v>0.25383535988575384</v>
      </c>
      <c r="S14" s="47">
        <v>-8.2419214493453033E-3</v>
      </c>
      <c r="T14" s="47">
        <v>6.0120736306802931E-2</v>
      </c>
      <c r="U14" s="47">
        <v>2.527600583853595E-2</v>
      </c>
      <c r="V14" s="47">
        <v>-1.1117721866650741E-2</v>
      </c>
      <c r="W14" s="47">
        <v>0.89864089516842194</v>
      </c>
      <c r="X14" s="47">
        <v>0.8939431568748103</v>
      </c>
      <c r="Y14" s="15">
        <v>1.0000000000000002</v>
      </c>
      <c r="Z14" s="14"/>
      <c r="AA14" s="34" t="str">
        <f t="shared" si="3"/>
        <v xml:space="preserve"> BNY MELLON</v>
      </c>
      <c r="AB14" s="50">
        <f t="shared" ref="AB14" si="14">ROUND(F14-Q14,4)</f>
        <v>7.5999999999999998E-2</v>
      </c>
      <c r="AC14" s="50">
        <f t="shared" ref="AC14" si="15">ROUND(G14-R14,4)</f>
        <v>-1.8100000000000002E-2</v>
      </c>
      <c r="AD14" s="50">
        <f t="shared" ref="AD14" si="16">ROUND(H14-S14,4)</f>
        <v>0</v>
      </c>
      <c r="AE14" s="50">
        <f t="shared" ref="AE14" si="17">ROUND(I14-T14,4)</f>
        <v>1.5E-3</v>
      </c>
      <c r="AF14" s="50">
        <f t="shared" ref="AF14" si="18">ROUND(J14-U14,4)</f>
        <v>2.5000000000000001E-3</v>
      </c>
      <c r="AG14" s="50">
        <f t="shared" ref="AG14" si="19">ROUND(K14-V14,4)</f>
        <v>1.1999999999999999E-3</v>
      </c>
      <c r="AH14" s="50">
        <f t="shared" ref="AH14" si="20">ROUND(L14-W14,4)</f>
        <v>6.9699999999999998E-2</v>
      </c>
      <c r="AI14" s="50">
        <f t="shared" ref="AI14" si="21">ROUND(M14-X14,4)</f>
        <v>5.3900000000000003E-2</v>
      </c>
      <c r="AJ14" s="50">
        <f t="shared" ref="AJ14" si="22">ROUND(N14-Y14,4)</f>
        <v>0</v>
      </c>
      <c r="AK14"/>
      <c r="AL14" s="17"/>
      <c r="AM14" s="17"/>
    </row>
    <row r="15" spans="1:39" ht="21.95" customHeight="1" thickBot="1">
      <c r="C15" s="44"/>
      <c r="O15" s="14"/>
      <c r="P15" s="43"/>
      <c r="Z15" s="14"/>
      <c r="AA15"/>
      <c r="AB15"/>
      <c r="AC15"/>
      <c r="AD15"/>
      <c r="AE15"/>
      <c r="AF15"/>
      <c r="AG15"/>
      <c r="AH15"/>
      <c r="AI15"/>
      <c r="AJ15"/>
      <c r="AK15"/>
      <c r="AL15" s="17"/>
      <c r="AM15" s="17"/>
    </row>
    <row r="16" spans="1:39" ht="21.95" customHeight="1" thickBot="1">
      <c r="C16" s="44"/>
      <c r="E16" s="41" t="s">
        <v>26</v>
      </c>
      <c r="F16" s="38" t="str">
        <f>F5</f>
        <v>GOLD</v>
      </c>
      <c r="G16" s="38" t="str">
        <f t="shared" ref="G16:N16" si="23">G5</f>
        <v xml:space="preserve"> SILVER</v>
      </c>
      <c r="H16" s="38" t="str">
        <f t="shared" si="23"/>
        <v>OIL</v>
      </c>
      <c r="I16" s="38" t="str">
        <f t="shared" si="23"/>
        <v xml:space="preserve"> NASDAQ</v>
      </c>
      <c r="J16" s="38" t="str">
        <f t="shared" si="23"/>
        <v xml:space="preserve"> S&amp;P</v>
      </c>
      <c r="K16" s="38" t="str">
        <f t="shared" si="23"/>
        <v xml:space="preserve"> DOW JONES</v>
      </c>
      <c r="L16" s="38" t="str">
        <f t="shared" si="23"/>
        <v xml:space="preserve"> FIDELITY US BOND</v>
      </c>
      <c r="M16" s="38" t="str">
        <f t="shared" si="23"/>
        <v xml:space="preserve"> BLACKROCK</v>
      </c>
      <c r="N16" s="38" t="str">
        <f t="shared" si="23"/>
        <v xml:space="preserve"> BNY MELLON</v>
      </c>
      <c r="P16" s="41" t="s">
        <v>26</v>
      </c>
      <c r="Q16" s="23" t="str">
        <f>Q5</f>
        <v>GOLD</v>
      </c>
      <c r="R16" s="23" t="str">
        <f t="shared" ref="R16:Y16" si="24">R5</f>
        <v xml:space="preserve"> SILVER</v>
      </c>
      <c r="S16" s="23" t="str">
        <f t="shared" si="24"/>
        <v>OIL</v>
      </c>
      <c r="T16" s="23" t="str">
        <f t="shared" si="24"/>
        <v xml:space="preserve"> NASDAQ</v>
      </c>
      <c r="U16" s="23" t="str">
        <f t="shared" si="24"/>
        <v xml:space="preserve"> S&amp;P</v>
      </c>
      <c r="V16" s="23" t="str">
        <f t="shared" si="24"/>
        <v xml:space="preserve"> DOW JONES</v>
      </c>
      <c r="W16" s="23" t="str">
        <f t="shared" si="24"/>
        <v xml:space="preserve"> FIDELITY US BOND</v>
      </c>
      <c r="X16" s="23" t="str">
        <f t="shared" si="24"/>
        <v xml:space="preserve"> BLACKROCK</v>
      </c>
      <c r="Y16" s="23" t="str">
        <f t="shared" si="24"/>
        <v xml:space="preserve"> BNY MELLON</v>
      </c>
      <c r="AA16" s="21" t="s">
        <v>20</v>
      </c>
      <c r="AB16" s="23" t="str">
        <f>F16</f>
        <v>GOLD</v>
      </c>
      <c r="AC16" s="23" t="str">
        <f t="shared" ref="AC16:AJ16" si="25">G16</f>
        <v xml:space="preserve"> SILVER</v>
      </c>
      <c r="AD16" s="23" t="str">
        <f t="shared" si="25"/>
        <v>OIL</v>
      </c>
      <c r="AE16" s="23" t="str">
        <f t="shared" si="25"/>
        <v xml:space="preserve"> NASDAQ</v>
      </c>
      <c r="AF16" s="23" t="str">
        <f t="shared" si="25"/>
        <v xml:space="preserve"> S&amp;P</v>
      </c>
      <c r="AG16" s="23" t="str">
        <f t="shared" si="25"/>
        <v xml:space="preserve"> DOW JONES</v>
      </c>
      <c r="AH16" s="23" t="str">
        <f t="shared" si="25"/>
        <v xml:space="preserve"> FIDELITY US BOND</v>
      </c>
      <c r="AI16" s="23" t="str">
        <f t="shared" si="25"/>
        <v xml:space="preserve"> BLACKROCK</v>
      </c>
      <c r="AJ16" s="23" t="str">
        <f t="shared" si="25"/>
        <v xml:space="preserve"> BNY MELLON</v>
      </c>
      <c r="AK16"/>
      <c r="AL16" s="17"/>
      <c r="AM16" s="17"/>
    </row>
    <row r="17" spans="3:41" s="11" customFormat="1" ht="21.95" customHeight="1">
      <c r="C17" s="44"/>
      <c r="D17" s="7"/>
      <c r="E17" s="40" t="str">
        <f t="shared" ref="E17:E25" si="26">E6</f>
        <v>GOLD</v>
      </c>
      <c r="F17" s="42">
        <f t="shared" ref="F17:N17" si="27">F$3*$C6*F6</f>
        <v>9.6132198515786404E-5</v>
      </c>
      <c r="G17" s="42">
        <f t="shared" si="27"/>
        <v>1.5311034052479651E-4</v>
      </c>
      <c r="H17" s="42">
        <f t="shared" si="27"/>
        <v>3.7006338702571501E-5</v>
      </c>
      <c r="I17" s="42">
        <f t="shared" si="27"/>
        <v>1.4634302912935563E-5</v>
      </c>
      <c r="J17" s="42">
        <f t="shared" si="27"/>
        <v>1.1171876922522831E-5</v>
      </c>
      <c r="K17" s="42">
        <f t="shared" si="27"/>
        <v>9.1613533980399603E-6</v>
      </c>
      <c r="L17" s="42">
        <f t="shared" si="27"/>
        <v>1.0807371579303512E-5</v>
      </c>
      <c r="M17" s="42">
        <f t="shared" si="27"/>
        <v>1.1762394208046072E-5</v>
      </c>
      <c r="N17" s="42">
        <f t="shared" si="27"/>
        <v>2.2619880951837495E-5</v>
      </c>
      <c r="O17" s="19"/>
      <c r="P17" s="34" t="str">
        <f>E17</f>
        <v>GOLD</v>
      </c>
      <c r="Q17" s="45">
        <f t="shared" ref="Q17:Y24" si="28">F$3*$C6*Q6</f>
        <v>9.6132198515786417E-5</v>
      </c>
      <c r="R17" s="45">
        <f t="shared" si="28"/>
        <v>1.4634922333773694E-4</v>
      </c>
      <c r="S17" s="45">
        <f t="shared" si="28"/>
        <v>3.6615643600975622E-5</v>
      </c>
      <c r="T17" s="45">
        <f t="shared" si="28"/>
        <v>1.4364163260806705E-5</v>
      </c>
      <c r="U17" s="45">
        <f t="shared" si="28"/>
        <v>1.1152643389035112E-5</v>
      </c>
      <c r="V17" s="45">
        <f t="shared" si="28"/>
        <v>9.1589568693777589E-6</v>
      </c>
      <c r="W17" s="45">
        <f t="shared" si="28"/>
        <v>1.128067099945348E-5</v>
      </c>
      <c r="X17" s="45">
        <f t="shared" si="28"/>
        <v>1.2021050605856273E-5</v>
      </c>
      <c r="Y17" s="45">
        <f t="shared" si="28"/>
        <v>2.0164169686653673E-5</v>
      </c>
      <c r="Z17" s="19"/>
      <c r="AA17" s="34" t="str">
        <f t="shared" ref="AA17:AA25" si="29">E17</f>
        <v>GOLD</v>
      </c>
      <c r="AB17" s="50">
        <f>ROUND(F17-Q17,4)</f>
        <v>0</v>
      </c>
      <c r="AC17" s="50">
        <f t="shared" ref="AC17:AC24" si="30">ROUND(G17-R17,4)</f>
        <v>0</v>
      </c>
      <c r="AD17" s="50">
        <f t="shared" ref="AD17:AD24" si="31">ROUND(H17-S17,4)</f>
        <v>0</v>
      </c>
      <c r="AE17" s="50">
        <f t="shared" ref="AE17:AE24" si="32">ROUND(I17-T17,4)</f>
        <v>0</v>
      </c>
      <c r="AF17" s="50">
        <f t="shared" ref="AF17:AF24" si="33">ROUND(J17-U17,4)</f>
        <v>0</v>
      </c>
      <c r="AG17" s="50">
        <f t="shared" ref="AG17:AG24" si="34">ROUND(K17-V17,4)</f>
        <v>0</v>
      </c>
      <c r="AH17" s="50">
        <f t="shared" ref="AH17:AH24" si="35">ROUND(L17-W17,4)</f>
        <v>0</v>
      </c>
      <c r="AI17" s="50">
        <f t="shared" ref="AI17:AJ24" si="36">ROUND(M17-X17,4)</f>
        <v>0</v>
      </c>
      <c r="AJ17" s="50">
        <f t="shared" si="36"/>
        <v>0</v>
      </c>
      <c r="AK17"/>
      <c r="AL17" s="17"/>
      <c r="AM17" s="17"/>
      <c r="AN17" s="10"/>
      <c r="AO17" s="10"/>
    </row>
    <row r="18" spans="3:41" ht="21.95" customHeight="1">
      <c r="C18" s="44"/>
      <c r="D18" s="14"/>
      <c r="E18" s="37" t="str">
        <f t="shared" si="26"/>
        <v xml:space="preserve"> SILVER</v>
      </c>
      <c r="F18" s="42">
        <f t="shared" ref="F18:N18" si="37">F$3*$C7*F7</f>
        <v>1.5311034052479651E-4</v>
      </c>
      <c r="G18" s="42">
        <f t="shared" si="37"/>
        <v>3.9710565810544376E-4</v>
      </c>
      <c r="H18" s="42">
        <f t="shared" si="37"/>
        <v>1.1907472386996162E-4</v>
      </c>
      <c r="I18" s="42">
        <f t="shared" si="37"/>
        <v>5.6884621416731115E-5</v>
      </c>
      <c r="J18" s="42">
        <f t="shared" si="37"/>
        <v>4.9741310264775823E-5</v>
      </c>
      <c r="K18" s="42">
        <f t="shared" si="37"/>
        <v>4.6516693041749633E-5</v>
      </c>
      <c r="L18" s="42">
        <f t="shared" si="37"/>
        <v>1.4181222303293925E-5</v>
      </c>
      <c r="M18" s="42">
        <f t="shared" si="37"/>
        <v>1.6067476325952023E-5</v>
      </c>
      <c r="N18" s="42">
        <f t="shared" si="37"/>
        <v>1.5480716615333098E-5</v>
      </c>
      <c r="P18" s="34" t="str">
        <f t="shared" ref="P18:P25" si="38">E18</f>
        <v xml:space="preserve"> SILVER</v>
      </c>
      <c r="Q18" s="45">
        <f t="shared" si="28"/>
        <v>1.4634922333773691E-4</v>
      </c>
      <c r="R18" s="45">
        <f t="shared" si="28"/>
        <v>3.971056581054437E-4</v>
      </c>
      <c r="S18" s="45">
        <f t="shared" si="28"/>
        <v>1.1818249017007406E-4</v>
      </c>
      <c r="T18" s="45">
        <f t="shared" si="28"/>
        <v>5.6621771197016924E-5</v>
      </c>
      <c r="U18" s="45">
        <f t="shared" si="28"/>
        <v>4.9265733991172275E-5</v>
      </c>
      <c r="V18" s="45">
        <f t="shared" si="28"/>
        <v>4.6076690583800028E-5</v>
      </c>
      <c r="W18" s="45">
        <f t="shared" si="28"/>
        <v>1.3081190325081525E-5</v>
      </c>
      <c r="X18" s="45">
        <f t="shared" si="28"/>
        <v>1.53237612583119E-5</v>
      </c>
      <c r="Y18" s="45">
        <f t="shared" si="28"/>
        <v>1.6671051586920367E-5</v>
      </c>
      <c r="AA18" s="34" t="str">
        <f t="shared" si="29"/>
        <v xml:space="preserve"> SILVER</v>
      </c>
      <c r="AB18" s="50">
        <f t="shared" ref="AB18:AB24" si="39">ROUND(F18-Q18,4)</f>
        <v>0</v>
      </c>
      <c r="AC18" s="50">
        <f t="shared" si="30"/>
        <v>0</v>
      </c>
      <c r="AD18" s="50">
        <f t="shared" si="31"/>
        <v>0</v>
      </c>
      <c r="AE18" s="50">
        <f t="shared" si="32"/>
        <v>0</v>
      </c>
      <c r="AF18" s="50">
        <f t="shared" si="33"/>
        <v>0</v>
      </c>
      <c r="AG18" s="50">
        <f t="shared" si="34"/>
        <v>0</v>
      </c>
      <c r="AH18" s="50">
        <f t="shared" si="35"/>
        <v>0</v>
      </c>
      <c r="AI18" s="50">
        <f t="shared" si="36"/>
        <v>0</v>
      </c>
      <c r="AJ18" s="50">
        <f t="shared" si="36"/>
        <v>0</v>
      </c>
      <c r="AK18"/>
      <c r="AL18" s="17"/>
      <c r="AM18" s="17"/>
      <c r="AN18" s="17"/>
      <c r="AO18" s="17"/>
    </row>
    <row r="19" spans="3:41" ht="21.95" customHeight="1">
      <c r="C19" s="44"/>
      <c r="D19" s="14"/>
      <c r="E19" s="37" t="str">
        <f t="shared" si="26"/>
        <v>OIL</v>
      </c>
      <c r="F19" s="42">
        <f t="shared" ref="F19:N19" si="40">F$3*$C8*F8</f>
        <v>3.7006338702571501E-5</v>
      </c>
      <c r="G19" s="42">
        <f t="shared" si="40"/>
        <v>1.1907472386996162E-4</v>
      </c>
      <c r="H19" s="42">
        <f t="shared" si="40"/>
        <v>9.9297685951691174E-3</v>
      </c>
      <c r="I19" s="42">
        <f t="shared" si="40"/>
        <v>1.7950125159476159E-4</v>
      </c>
      <c r="J19" s="42">
        <f t="shared" si="40"/>
        <v>1.9139136651355804E-4</v>
      </c>
      <c r="K19" s="42">
        <f t="shared" si="40"/>
        <v>2.1216719767798664E-4</v>
      </c>
      <c r="L19" s="42">
        <f t="shared" si="40"/>
        <v>-1.0619031751805818E-5</v>
      </c>
      <c r="M19" s="42">
        <f t="shared" si="40"/>
        <v>-4.7113095463930087E-6</v>
      </c>
      <c r="N19" s="42">
        <f t="shared" si="40"/>
        <v>-2.7151959804210077E-6</v>
      </c>
      <c r="P19" s="34" t="str">
        <f t="shared" si="38"/>
        <v>OIL</v>
      </c>
      <c r="Q19" s="45">
        <f t="shared" si="28"/>
        <v>3.6615643600975615E-5</v>
      </c>
      <c r="R19" s="45">
        <f t="shared" si="28"/>
        <v>1.1818249017007403E-4</v>
      </c>
      <c r="S19" s="45">
        <f t="shared" si="28"/>
        <v>9.9297685951691174E-3</v>
      </c>
      <c r="T19" s="45">
        <f t="shared" si="28"/>
        <v>1.794979213285973E-4</v>
      </c>
      <c r="U19" s="45">
        <f t="shared" si="28"/>
        <v>1.913957224676096E-4</v>
      </c>
      <c r="V19" s="45">
        <f t="shared" si="28"/>
        <v>2.1217100494231819E-4</v>
      </c>
      <c r="W19" s="45">
        <f t="shared" si="28"/>
        <v>-1.0496450541364786E-5</v>
      </c>
      <c r="X19" s="45">
        <f t="shared" si="28"/>
        <v>-4.6692158869180867E-6</v>
      </c>
      <c r="Y19" s="45">
        <f t="shared" si="28"/>
        <v>-2.7067981598801827E-6</v>
      </c>
      <c r="AA19" s="34" t="str">
        <f t="shared" si="29"/>
        <v>OIL</v>
      </c>
      <c r="AB19" s="50">
        <f t="shared" si="39"/>
        <v>0</v>
      </c>
      <c r="AC19" s="50">
        <f t="shared" si="30"/>
        <v>0</v>
      </c>
      <c r="AD19" s="50">
        <f t="shared" si="31"/>
        <v>0</v>
      </c>
      <c r="AE19" s="50">
        <f t="shared" si="32"/>
        <v>0</v>
      </c>
      <c r="AF19" s="50">
        <f t="shared" si="33"/>
        <v>0</v>
      </c>
      <c r="AG19" s="50">
        <f t="shared" si="34"/>
        <v>0</v>
      </c>
      <c r="AH19" s="50">
        <f t="shared" si="35"/>
        <v>0</v>
      </c>
      <c r="AI19" s="50">
        <f t="shared" si="36"/>
        <v>0</v>
      </c>
      <c r="AJ19" s="50">
        <f t="shared" si="36"/>
        <v>0</v>
      </c>
      <c r="AL19" s="17"/>
      <c r="AM19" s="17"/>
      <c r="AN19" s="17"/>
      <c r="AO19" s="17"/>
    </row>
    <row r="20" spans="3:41" ht="21.95" customHeight="1">
      <c r="C20" s="44"/>
      <c r="D20" s="14"/>
      <c r="E20" s="37" t="str">
        <f t="shared" si="26"/>
        <v xml:space="preserve"> NASDAQ</v>
      </c>
      <c r="F20" s="42">
        <f t="shared" ref="F20:N20" si="41">F$3*$C9*F9</f>
        <v>1.4634302912935563E-5</v>
      </c>
      <c r="G20" s="42">
        <f t="shared" si="41"/>
        <v>5.6884621416731115E-5</v>
      </c>
      <c r="H20" s="42">
        <f t="shared" si="41"/>
        <v>1.7950125159476159E-4</v>
      </c>
      <c r="I20" s="42">
        <f t="shared" si="41"/>
        <v>2.7917430880467815E-4</v>
      </c>
      <c r="J20" s="42">
        <f t="shared" si="41"/>
        <v>2.1377063419120114E-4</v>
      </c>
      <c r="K20" s="42">
        <f t="shared" si="41"/>
        <v>1.8629870868601582E-4</v>
      </c>
      <c r="L20" s="42">
        <f t="shared" si="41"/>
        <v>1.4131690661433346E-6</v>
      </c>
      <c r="M20" s="42">
        <f t="shared" si="41"/>
        <v>4.9747299668628382E-6</v>
      </c>
      <c r="N20" s="42">
        <f t="shared" si="41"/>
        <v>3.3945570039260442E-6</v>
      </c>
      <c r="P20" s="34" t="str">
        <f t="shared" si="38"/>
        <v xml:space="preserve"> NASDAQ</v>
      </c>
      <c r="Q20" s="45">
        <f t="shared" si="28"/>
        <v>1.4364163260806705E-5</v>
      </c>
      <c r="R20" s="45">
        <f t="shared" si="28"/>
        <v>5.6621771197016937E-5</v>
      </c>
      <c r="S20" s="45">
        <f t="shared" si="28"/>
        <v>1.7949792132859735E-4</v>
      </c>
      <c r="T20" s="45">
        <f t="shared" si="28"/>
        <v>2.791743088046781E-4</v>
      </c>
      <c r="U20" s="45">
        <f t="shared" si="28"/>
        <v>2.1376322084211348E-4</v>
      </c>
      <c r="V20" s="45">
        <f t="shared" si="28"/>
        <v>1.8629269538720738E-4</v>
      </c>
      <c r="W20" s="45">
        <f t="shared" si="28"/>
        <v>1.3891349615020629E-6</v>
      </c>
      <c r="X20" s="45">
        <f t="shared" si="28"/>
        <v>4.9498145994287771E-6</v>
      </c>
      <c r="Y20" s="45">
        <f t="shared" si="28"/>
        <v>3.3107001856853755E-6</v>
      </c>
      <c r="AA20" s="34" t="str">
        <f t="shared" si="29"/>
        <v xml:space="preserve"> NASDAQ</v>
      </c>
      <c r="AB20" s="50">
        <f t="shared" si="39"/>
        <v>0</v>
      </c>
      <c r="AC20" s="50">
        <f t="shared" si="30"/>
        <v>0</v>
      </c>
      <c r="AD20" s="50">
        <f t="shared" si="31"/>
        <v>0</v>
      </c>
      <c r="AE20" s="50">
        <f t="shared" si="32"/>
        <v>0</v>
      </c>
      <c r="AF20" s="50">
        <f t="shared" si="33"/>
        <v>0</v>
      </c>
      <c r="AG20" s="50">
        <f t="shared" si="34"/>
        <v>0</v>
      </c>
      <c r="AH20" s="50">
        <f t="shared" si="35"/>
        <v>0</v>
      </c>
      <c r="AI20" s="50">
        <f t="shared" si="36"/>
        <v>0</v>
      </c>
      <c r="AJ20" s="50">
        <f t="shared" si="36"/>
        <v>0</v>
      </c>
      <c r="AN20" s="17"/>
      <c r="AO20" s="17"/>
    </row>
    <row r="21" spans="3:41" ht="21.95" customHeight="1">
      <c r="D21" s="14"/>
      <c r="E21" s="37" t="str">
        <f t="shared" si="26"/>
        <v xml:space="preserve"> S&amp;P</v>
      </c>
      <c r="F21" s="42">
        <f t="shared" ref="F21:N21" si="42">F$3*$C10*F10</f>
        <v>1.1171876922522831E-5</v>
      </c>
      <c r="G21" s="42">
        <f t="shared" si="42"/>
        <v>4.9741310264775823E-5</v>
      </c>
      <c r="H21" s="42">
        <f t="shared" si="42"/>
        <v>1.9139136651355804E-4</v>
      </c>
      <c r="I21" s="42">
        <f t="shared" si="42"/>
        <v>2.1377063419120114E-4</v>
      </c>
      <c r="J21" s="42">
        <f t="shared" si="42"/>
        <v>1.8789599607979323E-4</v>
      </c>
      <c r="K21" s="42">
        <f t="shared" si="42"/>
        <v>1.7801440886984788E-4</v>
      </c>
      <c r="L21" s="42">
        <f t="shared" si="42"/>
        <v>-1.1736770946929039E-6</v>
      </c>
      <c r="M21" s="42">
        <f t="shared" si="42"/>
        <v>2.4595480165385597E-6</v>
      </c>
      <c r="N21" s="42">
        <f t="shared" si="42"/>
        <v>1.2549922611313782E-6</v>
      </c>
      <c r="P21" s="34" t="str">
        <f t="shared" si="38"/>
        <v xml:space="preserve"> S&amp;P</v>
      </c>
      <c r="Q21" s="45">
        <f t="shared" si="28"/>
        <v>1.1152643389035107E-5</v>
      </c>
      <c r="R21" s="45">
        <f t="shared" si="28"/>
        <v>4.9265733991172275E-5</v>
      </c>
      <c r="S21" s="45">
        <f t="shared" si="28"/>
        <v>1.9139572246760966E-4</v>
      </c>
      <c r="T21" s="45">
        <f t="shared" si="28"/>
        <v>2.1376322084211348E-4</v>
      </c>
      <c r="U21" s="45">
        <f t="shared" si="28"/>
        <v>1.8789599607979323E-4</v>
      </c>
      <c r="V21" s="45">
        <f t="shared" si="28"/>
        <v>1.7801465516638045E-4</v>
      </c>
      <c r="W21" s="45">
        <f t="shared" si="28"/>
        <v>-1.1274211384376029E-6</v>
      </c>
      <c r="X21" s="45">
        <f t="shared" si="28"/>
        <v>2.4759215083717979E-6</v>
      </c>
      <c r="Y21" s="45">
        <f t="shared" si="28"/>
        <v>1.1418920450114066E-6</v>
      </c>
      <c r="AA21" s="34" t="str">
        <f t="shared" si="29"/>
        <v xml:space="preserve"> S&amp;P</v>
      </c>
      <c r="AB21" s="50">
        <f t="shared" si="39"/>
        <v>0</v>
      </c>
      <c r="AC21" s="50">
        <f t="shared" si="30"/>
        <v>0</v>
      </c>
      <c r="AD21" s="50">
        <f t="shared" si="31"/>
        <v>0</v>
      </c>
      <c r="AE21" s="50">
        <f t="shared" si="32"/>
        <v>0</v>
      </c>
      <c r="AF21" s="50">
        <f t="shared" si="33"/>
        <v>0</v>
      </c>
      <c r="AG21" s="50">
        <f t="shared" si="34"/>
        <v>0</v>
      </c>
      <c r="AH21" s="50">
        <f t="shared" si="35"/>
        <v>0</v>
      </c>
      <c r="AI21" s="50">
        <f t="shared" si="36"/>
        <v>0</v>
      </c>
      <c r="AJ21" s="50">
        <f t="shared" si="36"/>
        <v>0</v>
      </c>
      <c r="AN21" s="17"/>
      <c r="AO21" s="17"/>
    </row>
    <row r="22" spans="3:41" ht="21.95" customHeight="1">
      <c r="E22" s="37" t="str">
        <f t="shared" si="26"/>
        <v xml:space="preserve"> DOW JONES</v>
      </c>
      <c r="F22" s="42">
        <f t="shared" ref="F22:N22" si="43">F$3*$C11*F11</f>
        <v>9.1613533980399603E-6</v>
      </c>
      <c r="G22" s="42">
        <f t="shared" si="43"/>
        <v>4.6516693041749633E-5</v>
      </c>
      <c r="H22" s="42">
        <f t="shared" si="43"/>
        <v>2.1216719767798664E-4</v>
      </c>
      <c r="I22" s="42">
        <f t="shared" si="43"/>
        <v>1.8629870868601582E-4</v>
      </c>
      <c r="J22" s="42">
        <f t="shared" si="43"/>
        <v>1.7801440886984788E-4</v>
      </c>
      <c r="K22" s="42">
        <f t="shared" si="43"/>
        <v>1.8237396568289983E-4</v>
      </c>
      <c r="L22" s="42">
        <f t="shared" si="43"/>
        <v>-3.1917987001733284E-6</v>
      </c>
      <c r="M22" s="42">
        <f t="shared" si="43"/>
        <v>6.8324172505410892E-7</v>
      </c>
      <c r="N22" s="42">
        <f t="shared" si="43"/>
        <v>-4.4301222703144279E-7</v>
      </c>
      <c r="P22" s="34" t="str">
        <f t="shared" si="38"/>
        <v xml:space="preserve"> DOW JONES</v>
      </c>
      <c r="Q22" s="45">
        <f t="shared" si="28"/>
        <v>9.1589568693777606E-6</v>
      </c>
      <c r="R22" s="45">
        <f t="shared" si="28"/>
        <v>4.6076690583800028E-5</v>
      </c>
      <c r="S22" s="45">
        <f t="shared" si="28"/>
        <v>2.1217100494231824E-4</v>
      </c>
      <c r="T22" s="45">
        <f t="shared" si="28"/>
        <v>1.8629269538720738E-4</v>
      </c>
      <c r="U22" s="45">
        <f t="shared" si="28"/>
        <v>1.7801465516638045E-4</v>
      </c>
      <c r="V22" s="45">
        <f t="shared" si="28"/>
        <v>1.8237396568289983E-4</v>
      </c>
      <c r="W22" s="45">
        <f t="shared" si="28"/>
        <v>-3.1332408141056381E-6</v>
      </c>
      <c r="X22" s="45">
        <f t="shared" si="28"/>
        <v>7.0327536486839289E-7</v>
      </c>
      <c r="Y22" s="45">
        <f t="shared" si="28"/>
        <v>-4.9482890832760106E-7</v>
      </c>
      <c r="AA22" s="34" t="str">
        <f t="shared" si="29"/>
        <v xml:space="preserve"> DOW JONES</v>
      </c>
      <c r="AB22" s="50">
        <f t="shared" si="39"/>
        <v>0</v>
      </c>
      <c r="AC22" s="50">
        <f t="shared" si="30"/>
        <v>0</v>
      </c>
      <c r="AD22" s="50">
        <f t="shared" si="31"/>
        <v>0</v>
      </c>
      <c r="AE22" s="50">
        <f t="shared" si="32"/>
        <v>0</v>
      </c>
      <c r="AF22" s="50">
        <f t="shared" si="33"/>
        <v>0</v>
      </c>
      <c r="AG22" s="50">
        <f t="shared" si="34"/>
        <v>0</v>
      </c>
      <c r="AH22" s="50">
        <f t="shared" si="35"/>
        <v>0</v>
      </c>
      <c r="AI22" s="50">
        <f t="shared" si="36"/>
        <v>0</v>
      </c>
      <c r="AJ22" s="50">
        <f t="shared" si="36"/>
        <v>0</v>
      </c>
      <c r="AN22" s="17"/>
      <c r="AO22" s="17"/>
    </row>
    <row r="23" spans="3:41" ht="21.95" customHeight="1">
      <c r="E23" s="37" t="str">
        <f t="shared" si="26"/>
        <v xml:space="preserve"> FIDELITY US BOND</v>
      </c>
      <c r="F23" s="42">
        <f t="shared" ref="F23:N23" si="44">F$3*$C12*F12</f>
        <v>1.0807371579303512E-5</v>
      </c>
      <c r="G23" s="42">
        <f t="shared" si="44"/>
        <v>1.4181222303293925E-5</v>
      </c>
      <c r="H23" s="42">
        <f t="shared" si="44"/>
        <v>-1.0619031751805818E-5</v>
      </c>
      <c r="I23" s="42">
        <f t="shared" si="44"/>
        <v>1.4131690661433346E-6</v>
      </c>
      <c r="J23" s="42">
        <f t="shared" si="44"/>
        <v>-1.1736770946929039E-6</v>
      </c>
      <c r="K23" s="42">
        <f t="shared" si="44"/>
        <v>-3.1917987001733284E-6</v>
      </c>
      <c r="L23" s="42">
        <f t="shared" si="44"/>
        <v>1.1730045994353509E-5</v>
      </c>
      <c r="M23" s="42">
        <f t="shared" si="44"/>
        <v>1.1315239499702449E-5</v>
      </c>
      <c r="N23" s="42">
        <f t="shared" si="44"/>
        <v>1.09306769420699E-5</v>
      </c>
      <c r="P23" s="34" t="str">
        <f t="shared" si="38"/>
        <v xml:space="preserve"> FIDELITY US BOND</v>
      </c>
      <c r="Q23" s="45">
        <f t="shared" si="28"/>
        <v>1.128067099945348E-5</v>
      </c>
      <c r="R23" s="45">
        <f t="shared" si="28"/>
        <v>1.3081190325081515E-5</v>
      </c>
      <c r="S23" s="45">
        <f t="shared" si="28"/>
        <v>-1.0496450541364791E-5</v>
      </c>
      <c r="T23" s="45">
        <f t="shared" si="28"/>
        <v>1.3891349615020598E-6</v>
      </c>
      <c r="U23" s="45">
        <f t="shared" si="28"/>
        <v>-1.1274211384376024E-6</v>
      </c>
      <c r="V23" s="45">
        <f t="shared" si="28"/>
        <v>-3.1332408141056423E-6</v>
      </c>
      <c r="W23" s="45">
        <f t="shared" si="28"/>
        <v>1.1730045994353506E-5</v>
      </c>
      <c r="X23" s="45">
        <f t="shared" si="28"/>
        <v>1.1309975673257287E-5</v>
      </c>
      <c r="Y23" s="45">
        <f t="shared" si="28"/>
        <v>1.0143641074011826E-5</v>
      </c>
      <c r="AA23" s="34" t="str">
        <f t="shared" si="29"/>
        <v xml:space="preserve"> FIDELITY US BOND</v>
      </c>
      <c r="AB23" s="50">
        <f t="shared" si="39"/>
        <v>0</v>
      </c>
      <c r="AC23" s="50">
        <f t="shared" si="30"/>
        <v>0</v>
      </c>
      <c r="AD23" s="50">
        <f t="shared" si="31"/>
        <v>0</v>
      </c>
      <c r="AE23" s="50">
        <f t="shared" si="32"/>
        <v>0</v>
      </c>
      <c r="AF23" s="50">
        <f t="shared" si="33"/>
        <v>0</v>
      </c>
      <c r="AG23" s="50">
        <f t="shared" si="34"/>
        <v>0</v>
      </c>
      <c r="AH23" s="50">
        <f t="shared" si="35"/>
        <v>0</v>
      </c>
      <c r="AI23" s="50">
        <f t="shared" si="36"/>
        <v>0</v>
      </c>
      <c r="AJ23" s="50">
        <f t="shared" si="36"/>
        <v>0</v>
      </c>
      <c r="AN23" s="17"/>
      <c r="AO23" s="17"/>
    </row>
    <row r="24" spans="3:41" ht="21.95" customHeight="1">
      <c r="E24" s="37" t="str">
        <f t="shared" si="26"/>
        <v xml:space="preserve"> BLACKROCK</v>
      </c>
      <c r="F24" s="42">
        <f t="shared" ref="F24:N24" si="45">F$3*$C13*F13</f>
        <v>1.1762394208046072E-5</v>
      </c>
      <c r="G24" s="42">
        <f t="shared" si="45"/>
        <v>1.6067476325952023E-5</v>
      </c>
      <c r="H24" s="42">
        <f t="shared" si="45"/>
        <v>-4.7113095463930087E-6</v>
      </c>
      <c r="I24" s="42">
        <f t="shared" si="45"/>
        <v>4.9747299668628382E-6</v>
      </c>
      <c r="J24" s="42">
        <f t="shared" si="45"/>
        <v>2.4595480165385597E-6</v>
      </c>
      <c r="K24" s="42">
        <f t="shared" si="45"/>
        <v>6.8324172505410892E-7</v>
      </c>
      <c r="L24" s="42">
        <f t="shared" si="45"/>
        <v>1.1315239499702449E-5</v>
      </c>
      <c r="M24" s="42">
        <f t="shared" si="45"/>
        <v>1.1985709621275167E-5</v>
      </c>
      <c r="N24" s="42">
        <f t="shared" si="45"/>
        <v>1.0815293856011646E-5</v>
      </c>
      <c r="P24" s="34" t="str">
        <f t="shared" si="38"/>
        <v xml:space="preserve"> BLACKROCK</v>
      </c>
      <c r="Q24" s="45">
        <f t="shared" si="28"/>
        <v>1.2021050605856274E-5</v>
      </c>
      <c r="R24" s="45">
        <f t="shared" si="28"/>
        <v>1.53237612583119E-5</v>
      </c>
      <c r="S24" s="45">
        <f t="shared" si="28"/>
        <v>-4.6692158869180807E-6</v>
      </c>
      <c r="T24" s="45">
        <f t="shared" si="28"/>
        <v>4.9498145994287763E-6</v>
      </c>
      <c r="U24" s="45">
        <f t="shared" si="28"/>
        <v>2.4759215083717979E-6</v>
      </c>
      <c r="V24" s="45">
        <f t="shared" si="28"/>
        <v>7.0327536486838993E-7</v>
      </c>
      <c r="W24" s="45">
        <f t="shared" si="28"/>
        <v>1.1309975673257291E-5</v>
      </c>
      <c r="X24" s="45">
        <f t="shared" si="28"/>
        <v>1.1985709621275169E-5</v>
      </c>
      <c r="Y24" s="45">
        <f t="shared" si="28"/>
        <v>1.0199986987028153E-5</v>
      </c>
      <c r="AA24" s="34" t="str">
        <f t="shared" si="29"/>
        <v xml:space="preserve"> BLACKROCK</v>
      </c>
      <c r="AB24" s="50">
        <f t="shared" si="39"/>
        <v>0</v>
      </c>
      <c r="AC24" s="50">
        <f t="shared" si="30"/>
        <v>0</v>
      </c>
      <c r="AD24" s="50">
        <f t="shared" si="31"/>
        <v>0</v>
      </c>
      <c r="AE24" s="50">
        <f t="shared" si="32"/>
        <v>0</v>
      </c>
      <c r="AF24" s="50">
        <f t="shared" si="33"/>
        <v>0</v>
      </c>
      <c r="AG24" s="50">
        <f t="shared" si="34"/>
        <v>0</v>
      </c>
      <c r="AH24" s="50">
        <f t="shared" si="35"/>
        <v>0</v>
      </c>
      <c r="AI24" s="50">
        <f t="shared" si="36"/>
        <v>0</v>
      </c>
      <c r="AJ24" s="50">
        <f t="shared" si="36"/>
        <v>0</v>
      </c>
      <c r="AN24" s="17"/>
      <c r="AO24" s="17"/>
    </row>
    <row r="25" spans="3:41" ht="21.95" customHeight="1">
      <c r="E25" s="40" t="str">
        <f t="shared" si="26"/>
        <v xml:space="preserve"> BNY MELLON</v>
      </c>
      <c r="F25" s="42">
        <f t="shared" ref="F25:N25" si="46">F$3*$C14*F14</f>
        <v>2.2619880951837495E-5</v>
      </c>
      <c r="G25" s="42">
        <f t="shared" si="46"/>
        <v>1.5480716615333098E-5</v>
      </c>
      <c r="H25" s="42">
        <f t="shared" si="46"/>
        <v>-2.7151959804210077E-6</v>
      </c>
      <c r="I25" s="42">
        <f t="shared" si="46"/>
        <v>3.3945570039260442E-6</v>
      </c>
      <c r="J25" s="42">
        <f t="shared" si="46"/>
        <v>1.2549922611313782E-6</v>
      </c>
      <c r="K25" s="42">
        <f t="shared" si="46"/>
        <v>-4.4301222703144279E-7</v>
      </c>
      <c r="L25" s="42">
        <f t="shared" si="46"/>
        <v>1.09306769420699E-5</v>
      </c>
      <c r="M25" s="42">
        <f t="shared" si="46"/>
        <v>1.0815293856011646E-5</v>
      </c>
      <c r="N25" s="42">
        <f t="shared" si="46"/>
        <v>1.0862146981670447E-5</v>
      </c>
      <c r="P25" s="34" t="str">
        <f t="shared" si="38"/>
        <v xml:space="preserve"> BNY MELLON</v>
      </c>
      <c r="Q25" s="45">
        <f>F$3*$C14*Q14</f>
        <v>2.016416968665367E-5</v>
      </c>
      <c r="R25" s="45">
        <f t="shared" ref="R25:Y25" si="47">G$3*$C14*R14</f>
        <v>1.6671051586920364E-5</v>
      </c>
      <c r="S25" s="45">
        <f t="shared" si="47"/>
        <v>-2.7067981598801836E-6</v>
      </c>
      <c r="T25" s="45">
        <f t="shared" si="47"/>
        <v>3.3107001856853785E-6</v>
      </c>
      <c r="U25" s="45">
        <f t="shared" si="47"/>
        <v>1.1418920450114094E-6</v>
      </c>
      <c r="V25" s="45">
        <f t="shared" si="47"/>
        <v>-4.9482890832760095E-7</v>
      </c>
      <c r="W25" s="45">
        <f t="shared" si="47"/>
        <v>1.0143641074011824E-5</v>
      </c>
      <c r="X25" s="45">
        <f t="shared" si="47"/>
        <v>1.0199986987028153E-5</v>
      </c>
      <c r="Y25" s="45">
        <f t="shared" si="47"/>
        <v>1.0862146981670448E-5</v>
      </c>
      <c r="AA25" s="34" t="str">
        <f t="shared" si="29"/>
        <v xml:space="preserve"> BNY MELLON</v>
      </c>
      <c r="AB25" s="50">
        <f t="shared" ref="AB25" si="48">ROUND(F25-Q25,4)</f>
        <v>0</v>
      </c>
      <c r="AC25" s="50">
        <f t="shared" ref="AC25" si="49">ROUND(G25-R25,4)</f>
        <v>0</v>
      </c>
      <c r="AD25" s="50">
        <f t="shared" ref="AD25" si="50">ROUND(H25-S25,4)</f>
        <v>0</v>
      </c>
      <c r="AE25" s="50">
        <f t="shared" ref="AE25" si="51">ROUND(I25-T25,4)</f>
        <v>0</v>
      </c>
      <c r="AF25" s="50">
        <f t="shared" ref="AF25" si="52">ROUND(J25-U25,4)</f>
        <v>0</v>
      </c>
      <c r="AG25" s="50">
        <f t="shared" ref="AG25" si="53">ROUND(K25-V25,4)</f>
        <v>0</v>
      </c>
      <c r="AH25" s="50">
        <f t="shared" ref="AH25" si="54">ROUND(L25-W25,4)</f>
        <v>0</v>
      </c>
      <c r="AI25" s="50">
        <f t="shared" ref="AI25:AJ25" si="55">ROUND(M25-X25,4)</f>
        <v>0</v>
      </c>
      <c r="AJ25" s="50">
        <f t="shared" si="55"/>
        <v>0</v>
      </c>
    </row>
    <row r="26" spans="3:41" ht="21.95" customHeight="1" thickBot="1">
      <c r="E26" s="35"/>
      <c r="Q26" s="6"/>
      <c r="R26" s="6"/>
      <c r="S26" s="6"/>
      <c r="T26" s="6"/>
      <c r="U26" s="6"/>
      <c r="V26" s="6"/>
      <c r="W26" s="6"/>
      <c r="X26" s="6"/>
      <c r="Y26" s="6"/>
    </row>
    <row r="27" spans="3:41" ht="21.95" customHeight="1" thickBot="1">
      <c r="E27" s="41" t="s">
        <v>22</v>
      </c>
      <c r="P27" s="41" t="s">
        <v>22</v>
      </c>
    </row>
    <row r="28" spans="3:41" ht="21.95" customHeight="1">
      <c r="E28" s="48">
        <f t="array" ref="E28">SQRT(MMULT(F2:N2,MMULT(F17:N25,B6:B14)))</f>
        <v>1.1711187633312912E-2</v>
      </c>
      <c r="P28" s="48">
        <f t="array" ref="P28">SQRT(MMULT(F2:N2,MMULT(Q17:Y25,B6:B14)))</f>
        <v>1.1700365575245317E-2</v>
      </c>
    </row>
    <row r="29" spans="3:41" ht="21.95" customHeight="1">
      <c r="E29" s="35"/>
    </row>
    <row r="30" spans="3:41" ht="21.95" customHeight="1">
      <c r="E30" s="35"/>
    </row>
    <row r="31" spans="3:41" ht="21.95" customHeight="1"/>
    <row r="32" spans="3:41" ht="21.95" customHeight="1"/>
    <row r="33" ht="21.95" customHeight="1"/>
    <row r="34" ht="21.95" customHeight="1"/>
    <row r="35" ht="21.95" customHeight="1"/>
    <row r="36" ht="21.95" customHeight="1"/>
    <row r="37" ht="21.95" customHeight="1"/>
    <row r="38" ht="21.95" customHeight="1"/>
    <row r="39" ht="21.95" customHeight="1"/>
    <row r="40" ht="21.95" customHeight="1"/>
    <row r="41" ht="21.95" customHeight="1"/>
    <row r="42" ht="21.95" customHeight="1"/>
    <row r="43" ht="24.95" customHeight="1"/>
    <row r="44" ht="24.95" customHeight="1"/>
    <row r="45" ht="24.95" customHeight="1"/>
    <row r="46" ht="24.95" customHeight="1"/>
    <row r="47" ht="24.95" customHeight="1"/>
    <row r="48" ht="24.95" customHeight="1"/>
    <row r="49" ht="24.95" customHeight="1"/>
    <row r="50" ht="24.95" customHeight="1"/>
    <row r="51" ht="24.95" customHeight="1"/>
    <row r="52" ht="24.95" customHeight="1"/>
    <row r="53" ht="24.95" customHeight="1"/>
    <row r="54" ht="24.95" customHeight="1"/>
    <row r="55" ht="24.95" customHeight="1"/>
    <row r="56" ht="24.95" customHeight="1"/>
    <row r="57" ht="24.95" customHeight="1"/>
    <row r="58" ht="24.95" customHeight="1"/>
    <row r="59" ht="24.95" customHeight="1"/>
    <row r="60" ht="24.95" customHeight="1"/>
  </sheetData>
  <phoneticPr fontId="7" type="noConversion"/>
  <conditionalFormatting sqref="AB6:AJ14">
    <cfRule type="cellIs" dxfId="2" priority="4" stopIfTrue="1" operator="equal">
      <formula>0</formula>
    </cfRule>
  </conditionalFormatting>
  <conditionalFormatting sqref="AB17:AJ25">
    <cfRule type="cellIs" dxfId="1" priority="1" stopIfTrue="1" operator="equal">
      <formula>0</formula>
    </cfRule>
  </conditionalFormatting>
  <pageMargins left="0.75" right="0.75" top="1" bottom="1" header="0.5" footer="0.5"/>
  <pageSetup paperSize="9" scale="74" orientation="landscape" horizontalDpi="4294967293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O60"/>
  <sheetViews>
    <sheetView tabSelected="1" zoomScaleNormal="100" workbookViewId="0">
      <selection activeCell="G33" sqref="G33"/>
    </sheetView>
  </sheetViews>
  <sheetFormatPr defaultColWidth="7.28515625" defaultRowHeight="15"/>
  <cols>
    <col min="1" max="1" width="18.85546875" style="9" bestFit="1" customWidth="1"/>
    <col min="2" max="2" width="10.85546875" style="9" bestFit="1" customWidth="1"/>
    <col min="3" max="3" width="13.28515625" style="9" customWidth="1"/>
    <col min="4" max="4" width="1.7109375" style="19" customWidth="1"/>
    <col min="5" max="5" width="22.5703125" style="9" bestFit="1" customWidth="1"/>
    <col min="6" max="6" width="8" style="8" bestFit="1" customWidth="1"/>
    <col min="7" max="7" width="8.7109375" style="8" customWidth="1"/>
    <col min="8" max="8" width="8.7109375" style="8" bestFit="1" customWidth="1"/>
    <col min="9" max="9" width="10.5703125" style="8" bestFit="1" customWidth="1"/>
    <col min="10" max="10" width="8.7109375" style="9" bestFit="1" customWidth="1"/>
    <col min="11" max="11" width="13.5703125" style="9" bestFit="1" customWidth="1"/>
    <col min="12" max="12" width="18.85546875" style="9" bestFit="1" customWidth="1"/>
    <col min="13" max="13" width="13.42578125" style="9" bestFit="1" customWidth="1"/>
    <col min="14" max="14" width="13.42578125" style="9" customWidth="1"/>
    <col min="15" max="15" width="1.7109375" style="19" customWidth="1"/>
    <col min="16" max="16" width="28.42578125" style="6" bestFit="1" customWidth="1"/>
    <col min="17" max="17" width="7.5703125" style="9" bestFit="1" customWidth="1"/>
    <col min="18" max="18" width="8.7109375" style="18" bestFit="1" customWidth="1"/>
    <col min="19" max="19" width="8.28515625" style="18" bestFit="1" customWidth="1"/>
    <col min="20" max="20" width="10.5703125" style="18" bestFit="1" customWidth="1"/>
    <col min="21" max="21" width="7.5703125" style="18" bestFit="1" customWidth="1"/>
    <col min="22" max="22" width="13.5703125" style="18" bestFit="1" customWidth="1"/>
    <col min="23" max="23" width="18.85546875" style="18" customWidth="1"/>
    <col min="24" max="24" width="13.42578125" style="18" bestFit="1" customWidth="1"/>
    <col min="25" max="25" width="13.42578125" style="18" customWidth="1"/>
    <col min="26" max="26" width="1.7109375" style="19" customWidth="1"/>
    <col min="27" max="27" width="18.85546875" style="18" bestFit="1" customWidth="1"/>
    <col min="28" max="28" width="7.85546875" style="18" bestFit="1" customWidth="1"/>
    <col min="29" max="29" width="9" style="18" bestFit="1" customWidth="1"/>
    <col min="30" max="30" width="8.42578125" style="18" customWidth="1"/>
    <col min="31" max="31" width="10.85546875" style="18" bestFit="1" customWidth="1"/>
    <col min="32" max="32" width="7.85546875" style="18" bestFit="1" customWidth="1"/>
    <col min="33" max="33" width="13.85546875" style="18" bestFit="1" customWidth="1"/>
    <col min="34" max="34" width="19.140625" style="18" bestFit="1" customWidth="1"/>
    <col min="35" max="35" width="13.7109375" style="18" bestFit="1" customWidth="1"/>
    <col min="36" max="36" width="14.5703125" style="18" bestFit="1" customWidth="1"/>
    <col min="37" max="41" width="7.140625" style="18" bestFit="1" customWidth="1"/>
    <col min="42" max="16384" width="7.28515625" style="9"/>
  </cols>
  <sheetData>
    <row r="1" spans="1:39" ht="21.95" customHeight="1" thickBot="1">
      <c r="F1" s="36" t="str">
        <f>DATA!L1</f>
        <v>GOLD</v>
      </c>
      <c r="G1" s="36" t="str">
        <f>DATA!M1</f>
        <v xml:space="preserve"> SILVER</v>
      </c>
      <c r="H1" s="36" t="str">
        <f>DATA!N1</f>
        <v>OIL</v>
      </c>
      <c r="I1" s="36" t="str">
        <f>DATA!O1</f>
        <v xml:space="preserve"> NASDAQ</v>
      </c>
      <c r="J1" s="36" t="str">
        <f>DATA!P1</f>
        <v xml:space="preserve"> S&amp;P</v>
      </c>
      <c r="K1" s="36" t="str">
        <f>DATA!Q1</f>
        <v xml:space="preserve"> DOW JONES</v>
      </c>
      <c r="L1" s="36" t="str">
        <f>DATA!R1</f>
        <v xml:space="preserve"> FIDELITY US BOND</v>
      </c>
      <c r="M1" s="36" t="str">
        <f>DATA!S1</f>
        <v xml:space="preserve"> BLACKROCK</v>
      </c>
      <c r="N1" s="36" t="str">
        <f>DATA!T1</f>
        <v xml:space="preserve"> BNY MELLON</v>
      </c>
    </row>
    <row r="2" spans="1:39" ht="21.95" customHeight="1" thickBot="1">
      <c r="E2" s="41" t="s">
        <v>21</v>
      </c>
      <c r="F2" s="16">
        <v>5.5476702371670059E-2</v>
      </c>
      <c r="G2" s="16">
        <v>0.15152865251827999</v>
      </c>
      <c r="H2" s="16">
        <v>7.5754810862270622E-2</v>
      </c>
      <c r="I2" s="16">
        <v>0.11443949754625016</v>
      </c>
      <c r="J2" s="16">
        <v>0.31352280543793326</v>
      </c>
      <c r="K2" s="16">
        <v>2.6304202007901914E-2</v>
      </c>
      <c r="L2" s="16">
        <v>3.5980865635078657E-2</v>
      </c>
      <c r="M2" s="16">
        <v>0.12699246362061561</v>
      </c>
      <c r="N2" s="16">
        <v>0.1</v>
      </c>
    </row>
    <row r="3" spans="1:39" s="18" customFormat="1" ht="21.95" customHeight="1" thickBot="1">
      <c r="B3" s="9"/>
      <c r="C3" s="9"/>
      <c r="D3" s="19"/>
      <c r="E3" s="41" t="s">
        <v>23</v>
      </c>
      <c r="F3" s="22">
        <f>STDEV(DATA!L3:L1258)</f>
        <v>9.8047028774862124E-3</v>
      </c>
      <c r="G3" s="22">
        <f>STDEV(DATA!M3:M1258)</f>
        <v>1.992751008293419E-2</v>
      </c>
      <c r="H3" s="22">
        <f>STDEV(DATA!N3:N1258)</f>
        <v>9.9648224244936343E-2</v>
      </c>
      <c r="I3" s="22">
        <f>STDEV(DATA!O3:O1258)</f>
        <v>1.6708510071358193E-2</v>
      </c>
      <c r="J3" s="22">
        <f>STDEV(DATA!P3:P1258)</f>
        <v>1.3707516043389963E-2</v>
      </c>
      <c r="K3" s="22">
        <f>STDEV(DATA!Q3:Q1258)</f>
        <v>1.3504590541104896E-2</v>
      </c>
      <c r="L3" s="22">
        <f>STDEV(DATA!R3:R1258)</f>
        <v>3.4249154725852003E-3</v>
      </c>
      <c r="M3" s="22">
        <f>STDEV(DATA!S3:S1258)</f>
        <v>3.462038362189993E-3</v>
      </c>
      <c r="N3" s="22">
        <f>STDEV(DATA!T3:T1258)</f>
        <v>3.2957771438115241E-3</v>
      </c>
      <c r="O3" s="19"/>
      <c r="P3" s="6"/>
      <c r="Q3" s="9"/>
      <c r="Z3" s="19"/>
      <c r="AG3" s="18" t="s">
        <v>19</v>
      </c>
      <c r="AH3" s="18" t="s">
        <v>19</v>
      </c>
    </row>
    <row r="4" spans="1:39" s="18" customFormat="1" ht="21.95" customHeight="1" thickBot="1">
      <c r="B4" s="9"/>
      <c r="C4" s="9"/>
      <c r="D4" s="19"/>
      <c r="E4" s="39" t="s">
        <v>0</v>
      </c>
      <c r="F4" s="8"/>
      <c r="G4" s="8"/>
      <c r="H4" s="8"/>
      <c r="I4" s="8"/>
      <c r="J4" s="9"/>
      <c r="K4" s="9"/>
      <c r="L4" s="9"/>
      <c r="M4" s="9"/>
      <c r="N4" s="9"/>
      <c r="O4" s="19"/>
      <c r="P4" s="31" t="s">
        <v>1</v>
      </c>
      <c r="Q4" s="9"/>
      <c r="Z4" s="19"/>
    </row>
    <row r="5" spans="1:39" s="18" customFormat="1" ht="21.95" customHeight="1" thickBot="1">
      <c r="B5" s="41" t="s">
        <v>28</v>
      </c>
      <c r="C5" s="41" t="s">
        <v>27</v>
      </c>
      <c r="D5" s="19"/>
      <c r="E5" s="41" t="s">
        <v>25</v>
      </c>
      <c r="F5" s="38" t="str">
        <f>F1</f>
        <v>GOLD</v>
      </c>
      <c r="G5" s="38" t="str">
        <f t="shared" ref="G5:N5" si="0">G1</f>
        <v xml:space="preserve"> SILVER</v>
      </c>
      <c r="H5" s="38" t="str">
        <f t="shared" si="0"/>
        <v>OIL</v>
      </c>
      <c r="I5" s="38" t="str">
        <f t="shared" si="0"/>
        <v xml:space="preserve"> NASDAQ</v>
      </c>
      <c r="J5" s="38" t="str">
        <f t="shared" si="0"/>
        <v xml:space="preserve"> S&amp;P</v>
      </c>
      <c r="K5" s="38" t="str">
        <f t="shared" si="0"/>
        <v xml:space="preserve"> DOW JONES</v>
      </c>
      <c r="L5" s="38" t="str">
        <f t="shared" si="0"/>
        <v xml:space="preserve"> FIDELITY US BOND</v>
      </c>
      <c r="M5" s="38" t="str">
        <f t="shared" si="0"/>
        <v xml:space="preserve"> BLACKROCK</v>
      </c>
      <c r="N5" s="38" t="str">
        <f t="shared" si="0"/>
        <v xml:space="preserve"> BNY MELLON</v>
      </c>
      <c r="O5" s="19"/>
      <c r="P5" s="41" t="s">
        <v>25</v>
      </c>
      <c r="Q5" s="23" t="str">
        <f t="shared" ref="Q5:Y5" si="1">F5</f>
        <v>GOLD</v>
      </c>
      <c r="R5" s="23" t="str">
        <f t="shared" si="1"/>
        <v xml:space="preserve"> SILVER</v>
      </c>
      <c r="S5" s="23" t="str">
        <f t="shared" si="1"/>
        <v>OIL</v>
      </c>
      <c r="T5" s="23" t="str">
        <f t="shared" si="1"/>
        <v xml:space="preserve"> NASDAQ</v>
      </c>
      <c r="U5" s="23" t="str">
        <f t="shared" si="1"/>
        <v xml:space="preserve"> S&amp;P</v>
      </c>
      <c r="V5" s="23" t="str">
        <f t="shared" si="1"/>
        <v xml:space="preserve"> DOW JONES</v>
      </c>
      <c r="W5" s="23" t="str">
        <f t="shared" si="1"/>
        <v xml:space="preserve"> FIDELITY US BOND</v>
      </c>
      <c r="X5" s="23" t="str">
        <f t="shared" si="1"/>
        <v xml:space="preserve"> BLACKROCK</v>
      </c>
      <c r="Y5" s="23" t="str">
        <f t="shared" si="1"/>
        <v xml:space="preserve"> BNY MELLON</v>
      </c>
      <c r="Z5" s="19"/>
      <c r="AA5" s="21" t="s">
        <v>20</v>
      </c>
      <c r="AB5" s="23" t="str">
        <f>F5</f>
        <v>GOLD</v>
      </c>
      <c r="AC5" s="23" t="str">
        <f t="shared" ref="AC5:AJ5" si="2">G5</f>
        <v xml:space="preserve"> SILVER</v>
      </c>
      <c r="AD5" s="23" t="str">
        <f t="shared" si="2"/>
        <v>OIL</v>
      </c>
      <c r="AE5" s="23" t="str">
        <f t="shared" si="2"/>
        <v xml:space="preserve"> NASDAQ</v>
      </c>
      <c r="AF5" s="23" t="str">
        <f t="shared" si="2"/>
        <v xml:space="preserve"> S&amp;P</v>
      </c>
      <c r="AG5" s="23" t="str">
        <f t="shared" si="2"/>
        <v xml:space="preserve"> DOW JONES</v>
      </c>
      <c r="AH5" s="23" t="str">
        <f t="shared" si="2"/>
        <v xml:space="preserve"> FIDELITY US BOND</v>
      </c>
      <c r="AI5" s="23" t="str">
        <f t="shared" si="2"/>
        <v xml:space="preserve"> BLACKROCK</v>
      </c>
      <c r="AJ5" s="23" t="str">
        <f t="shared" si="2"/>
        <v xml:space="preserve"> BNY MELLON</v>
      </c>
    </row>
    <row r="6" spans="1:39" s="18" customFormat="1" ht="21.95" customHeight="1" thickBot="1">
      <c r="A6" s="37" t="str">
        <f t="array" ref="A6:A14">TRANSPOSE(F1:N1)</f>
        <v>GOLD</v>
      </c>
      <c r="B6" s="46">
        <f t="array" ref="B6:B14">TRANSPOSE(F2:N2)</f>
        <v>5.5476702371670059E-2</v>
      </c>
      <c r="C6" s="22">
        <f t="array" ref="C6:C14">TRANSPOSE(F3:N3)</f>
        <v>9.8047028774862124E-3</v>
      </c>
      <c r="D6" s="19"/>
      <c r="E6" s="40" t="str">
        <f t="array" ref="E6:E14">TRANSPOSE(F5:N5)</f>
        <v>GOLD</v>
      </c>
      <c r="F6" s="32">
        <f>CORREL(DATA!$L$3:$L$1258,DATA!L$3:L$1258)</f>
        <v>0.99999999999999989</v>
      </c>
      <c r="G6" s="33">
        <f>CORREL(DATA!$L3:$L1258,DATA!M$3:M$1258)</f>
        <v>0.78364081483188475</v>
      </c>
      <c r="H6" s="33">
        <f>CORREL(DATA!$L3:$L1258,DATA!N$3:N$1258)</f>
        <v>3.7876698610782841E-2</v>
      </c>
      <c r="I6" s="33">
        <f>CORREL(DATA!$L3:$L1258,DATA!O$3:O$1258)</f>
        <v>8.9330523297379449E-2</v>
      </c>
      <c r="J6" s="33">
        <f>CORREL(DATA!$L3:$L1258,DATA!P$3:P$1258)</f>
        <v>8.3125245775659315E-2</v>
      </c>
      <c r="K6" s="33">
        <f>CORREL(DATA!$L3:$L1258,DATA!Q$3:Q$1258)</f>
        <v>6.9190071291288069E-2</v>
      </c>
      <c r="L6" s="33">
        <f>CORREL(DATA!$L3:$L1258,DATA!R$3:R$1258)</f>
        <v>0.3218368647715249</v>
      </c>
      <c r="M6" s="33">
        <f>CORREL(DATA!$L3:$L1258,DATA!S$3:S$1258)</f>
        <v>0.34652088680717641</v>
      </c>
      <c r="N6" s="33">
        <v>0.39900000000000002</v>
      </c>
      <c r="O6" s="19"/>
      <c r="P6" s="34" t="str">
        <f>E6</f>
        <v>GOLD</v>
      </c>
      <c r="Q6" s="15">
        <f t="array" ref="Q6:Y14">matrix_clean(F6:N14)</f>
        <v>0.99999999999999978</v>
      </c>
      <c r="R6" s="13">
        <v>0.78364081483188475</v>
      </c>
      <c r="S6" s="13">
        <v>3.7876698610782959E-2</v>
      </c>
      <c r="T6" s="13">
        <v>8.9330523297379491E-2</v>
      </c>
      <c r="U6" s="13">
        <v>8.3125245775659273E-2</v>
      </c>
      <c r="V6" s="13">
        <v>6.9190071291287888E-2</v>
      </c>
      <c r="W6" s="13">
        <v>0.32183686477152479</v>
      </c>
      <c r="X6" s="13">
        <v>0.34652088680717635</v>
      </c>
      <c r="Y6" s="13">
        <v>0.3989999999999998</v>
      </c>
      <c r="Z6" s="19"/>
      <c r="AA6" s="34" t="str">
        <f t="shared" ref="AA6:AA14" si="3">E6</f>
        <v>GOLD</v>
      </c>
      <c r="AB6" s="72">
        <f t="shared" ref="AB6:AJ6" si="4">ROUND(F6-Q6,4)</f>
        <v>0</v>
      </c>
      <c r="AC6" s="70">
        <f t="shared" si="4"/>
        <v>0</v>
      </c>
      <c r="AD6" s="70">
        <f t="shared" si="4"/>
        <v>0</v>
      </c>
      <c r="AE6" s="70">
        <f t="shared" si="4"/>
        <v>0</v>
      </c>
      <c r="AF6" s="70">
        <f t="shared" si="4"/>
        <v>0</v>
      </c>
      <c r="AG6" s="70">
        <f t="shared" si="4"/>
        <v>0</v>
      </c>
      <c r="AH6" s="70">
        <f t="shared" si="4"/>
        <v>0</v>
      </c>
      <c r="AI6" s="70">
        <f t="shared" si="4"/>
        <v>0</v>
      </c>
      <c r="AJ6" s="70">
        <f t="shared" si="4"/>
        <v>0</v>
      </c>
    </row>
    <row r="7" spans="1:39" s="18" customFormat="1" ht="21.95" customHeight="1" thickBot="1">
      <c r="A7" s="37" t="str">
        <v xml:space="preserve"> SILVER</v>
      </c>
      <c r="B7" s="16">
        <v>0.15152865251827999</v>
      </c>
      <c r="C7" s="22">
        <v>1.992751008293419E-2</v>
      </c>
      <c r="D7" s="19"/>
      <c r="E7" s="37" t="str">
        <v xml:space="preserve"> SILVER</v>
      </c>
      <c r="F7" s="47">
        <f t="array" ref="F7:F14">TRANSPOSE(G6:N6)</f>
        <v>0.78364081483188475</v>
      </c>
      <c r="G7" s="12">
        <f>CORREL(DATA!$M$3:$M$1258,DATA!M$3:M$1258)</f>
        <v>0.99999999999999989</v>
      </c>
      <c r="H7" s="13">
        <f>CORREL(DATA!$M$3:$M$1258,DATA!N$3:N$1258)</f>
        <v>5.996488175773277E-2</v>
      </c>
      <c r="I7" s="13">
        <f>CORREL(DATA!$M$3:$M$1258,DATA!O$3:O$1258)</f>
        <v>0.17084572250108221</v>
      </c>
      <c r="J7" s="13">
        <f>CORREL(DATA!$M$3:$M$1258,DATA!P$3:P$1258)</f>
        <v>0.18209810262740572</v>
      </c>
      <c r="K7" s="13">
        <f>CORREL(DATA!$M$3:$M$1258,DATA!Q$3:Q$1258)</f>
        <v>0.17285198604149196</v>
      </c>
      <c r="L7" s="13">
        <f>CORREL(DATA!$M$3:$M$1258,DATA!R$3:R$1258)</f>
        <v>0.20778336246021176</v>
      </c>
      <c r="M7" s="13">
        <f>CORREL(DATA!$M$3:$M$1258,DATA!S$3:S$1258)</f>
        <v>0.23289638915004934</v>
      </c>
      <c r="N7" s="13">
        <f>CORREL(DATA!$M$3:$M$1258,DATA!T$3:T$1258)</f>
        <v>0.23571118191641025</v>
      </c>
      <c r="O7" s="19"/>
      <c r="P7" s="34" t="str">
        <f t="shared" ref="P7:P14" si="5">E7</f>
        <v xml:space="preserve"> SILVER</v>
      </c>
      <c r="Q7" s="47">
        <v>0.78364081483188475</v>
      </c>
      <c r="R7" s="15">
        <v>1</v>
      </c>
      <c r="S7" s="13">
        <v>5.9964881757732853E-2</v>
      </c>
      <c r="T7" s="13">
        <v>0.17084572250108201</v>
      </c>
      <c r="U7" s="13">
        <v>0.1820981026274055</v>
      </c>
      <c r="V7" s="13">
        <v>0.17285198604149163</v>
      </c>
      <c r="W7" s="13">
        <v>0.20778336246021176</v>
      </c>
      <c r="X7" s="13">
        <v>0.23289638915004929</v>
      </c>
      <c r="Y7" s="13">
        <v>0.23571118191641</v>
      </c>
      <c r="Z7" s="19"/>
      <c r="AA7" s="34" t="str">
        <f t="shared" si="3"/>
        <v xml:space="preserve"> SILVER</v>
      </c>
      <c r="AB7" s="73">
        <f t="shared" ref="AB7:AJ14" si="6">ROUND(F7-Q7,4)</f>
        <v>0</v>
      </c>
      <c r="AC7" s="72">
        <f t="shared" si="6"/>
        <v>0</v>
      </c>
      <c r="AD7" s="70">
        <f t="shared" si="6"/>
        <v>0</v>
      </c>
      <c r="AE7" s="70">
        <f t="shared" si="6"/>
        <v>0</v>
      </c>
      <c r="AF7" s="70">
        <f t="shared" si="6"/>
        <v>0</v>
      </c>
      <c r="AG7" s="70">
        <f t="shared" si="6"/>
        <v>0</v>
      </c>
      <c r="AH7" s="70">
        <f t="shared" si="6"/>
        <v>0</v>
      </c>
      <c r="AI7" s="70">
        <f t="shared" si="6"/>
        <v>0</v>
      </c>
      <c r="AJ7" s="70">
        <f t="shared" si="6"/>
        <v>0</v>
      </c>
    </row>
    <row r="8" spans="1:39" s="18" customFormat="1" ht="21.95" customHeight="1" thickBot="1">
      <c r="A8" s="37" t="str">
        <v>OIL</v>
      </c>
      <c r="B8" s="16">
        <v>7.5754810862270622E-2</v>
      </c>
      <c r="C8" s="22">
        <v>9.9648224244936343E-2</v>
      </c>
      <c r="D8" s="19"/>
      <c r="E8" s="37" t="str">
        <v>OIL</v>
      </c>
      <c r="F8" s="47">
        <v>3.7876698610782841E-2</v>
      </c>
      <c r="G8" s="47">
        <f t="array" ref="G8:G14">TRANSPOSE(H7:N7)</f>
        <v>5.996488175773277E-2</v>
      </c>
      <c r="H8" s="12">
        <f>CORREL(DATA!$N$3:$N$1258,DATA!N$3:N$1258)</f>
        <v>0.99999999999999978</v>
      </c>
      <c r="I8" s="13">
        <v>0.108</v>
      </c>
      <c r="J8" s="13">
        <f>CORREL(DATA!$N$3:$N$1258,DATA!P$3:P$1258)</f>
        <v>0.14011802801193288</v>
      </c>
      <c r="K8" s="13">
        <f>CORREL(DATA!$N$3:$N$1258,DATA!Q$3:Q$1258)</f>
        <v>0.15766208131082884</v>
      </c>
      <c r="L8" s="13">
        <f>CORREL(DATA!$N$3:$N$1258,DATA!R$3:R$1258)</f>
        <v>-3.111469140357721E-2</v>
      </c>
      <c r="M8" s="13">
        <f>CORREL(DATA!$N$3:$N$1258,DATA!S$3:S$1258)</f>
        <v>-1.3656524864735493E-2</v>
      </c>
      <c r="N8" s="13">
        <f>CORREL(DATA!$N$3:$N$1258,DATA!T$3:T$1258)</f>
        <v>-8.2674919474596629E-3</v>
      </c>
      <c r="O8" s="19"/>
      <c r="P8" s="34" t="str">
        <f t="shared" si="5"/>
        <v>OIL</v>
      </c>
      <c r="Q8" s="47">
        <v>3.7876698610782945E-2</v>
      </c>
      <c r="R8" s="47">
        <v>5.996488175773286E-2</v>
      </c>
      <c r="S8" s="15">
        <v>1.0000000000000002</v>
      </c>
      <c r="T8" s="13">
        <v>0.10799999999999997</v>
      </c>
      <c r="U8" s="13">
        <v>0.14011802801193271</v>
      </c>
      <c r="V8" s="13">
        <v>0.15766208131082882</v>
      </c>
      <c r="W8" s="13">
        <v>-3.1114691403577109E-2</v>
      </c>
      <c r="X8" s="13">
        <v>-1.3656524864735559E-2</v>
      </c>
      <c r="Y8" s="13">
        <v>-8.2674919474595692E-3</v>
      </c>
      <c r="Z8" s="19"/>
      <c r="AA8" s="34" t="str">
        <f t="shared" si="3"/>
        <v>OIL</v>
      </c>
      <c r="AB8" s="73">
        <f t="shared" si="6"/>
        <v>0</v>
      </c>
      <c r="AC8" s="73">
        <f t="shared" si="6"/>
        <v>0</v>
      </c>
      <c r="AD8" s="72">
        <f t="shared" si="6"/>
        <v>0</v>
      </c>
      <c r="AE8" s="70">
        <f t="shared" si="6"/>
        <v>0</v>
      </c>
      <c r="AF8" s="70">
        <f t="shared" si="6"/>
        <v>0</v>
      </c>
      <c r="AG8" s="70">
        <f t="shared" si="6"/>
        <v>0</v>
      </c>
      <c r="AH8" s="70">
        <f t="shared" si="6"/>
        <v>0</v>
      </c>
      <c r="AI8" s="70">
        <f t="shared" si="6"/>
        <v>0</v>
      </c>
      <c r="AJ8" s="70">
        <f t="shared" si="6"/>
        <v>0</v>
      </c>
    </row>
    <row r="9" spans="1:39" s="18" customFormat="1" ht="21.95" customHeight="1" thickBot="1">
      <c r="A9" s="37" t="str">
        <v xml:space="preserve"> NASDAQ</v>
      </c>
      <c r="B9" s="16">
        <v>0.11443949754625016</v>
      </c>
      <c r="C9" s="22">
        <v>1.6708510071358193E-2</v>
      </c>
      <c r="D9" s="19"/>
      <c r="E9" s="37" t="str">
        <v xml:space="preserve"> NASDAQ</v>
      </c>
      <c r="F9" s="47">
        <v>8.9330523297379449E-2</v>
      </c>
      <c r="G9" s="47">
        <v>0.17084572250108221</v>
      </c>
      <c r="H9" s="47">
        <f t="array" ref="H9:H14">TRANSPOSE(I8:N8)</f>
        <v>0.108</v>
      </c>
      <c r="I9" s="12">
        <f>CORREL(DATA!$O$3:$O$1258,DATA!O$3:O$1258)</f>
        <v>1</v>
      </c>
      <c r="J9" s="13">
        <f>CORREL(DATA!$O$3:$O$1258,DATA!P$3:P$1258)</f>
        <v>0.9333651002733484</v>
      </c>
      <c r="K9" s="13">
        <f>CORREL(DATA!$O$3:$O$1258,DATA!Q$3:Q$1258)</f>
        <v>0.82563995010298141</v>
      </c>
      <c r="L9" s="13">
        <f>CORREL(DATA!$O$3:$O$1258,DATA!R$3:R$1258)</f>
        <v>2.4694858384780555E-2</v>
      </c>
      <c r="M9" s="13">
        <f>CORREL(DATA!$O$3:$O$1258,DATA!S$3:S$1258)</f>
        <v>8.6000289088056001E-2</v>
      </c>
      <c r="N9" s="13">
        <f>CORREL(DATA!$O$3:$O$1258,DATA!T$3:T$1258)</f>
        <v>6.1643536129865395E-2</v>
      </c>
      <c r="O9" s="19"/>
      <c r="P9" s="34" t="str">
        <f t="shared" si="5"/>
        <v xml:space="preserve"> NASDAQ</v>
      </c>
      <c r="Q9" s="47">
        <v>8.9330523297379505E-2</v>
      </c>
      <c r="R9" s="47">
        <v>0.17084572250108201</v>
      </c>
      <c r="S9" s="47">
        <v>0.10799999999999997</v>
      </c>
      <c r="T9" s="15">
        <v>1.0000000000000002</v>
      </c>
      <c r="U9" s="13">
        <v>0.93336510027334862</v>
      </c>
      <c r="V9" s="13">
        <v>0.82563995010298163</v>
      </c>
      <c r="W9" s="13">
        <v>2.4694858384780582E-2</v>
      </c>
      <c r="X9" s="13">
        <v>8.6000289088055973E-2</v>
      </c>
      <c r="Y9" s="13">
        <v>6.1643536129865291E-2</v>
      </c>
      <c r="Z9" s="19"/>
      <c r="AA9" s="34" t="str">
        <f t="shared" si="3"/>
        <v xml:space="preserve"> NASDAQ</v>
      </c>
      <c r="AB9" s="73">
        <f t="shared" si="6"/>
        <v>0</v>
      </c>
      <c r="AC9" s="73">
        <f t="shared" si="6"/>
        <v>0</v>
      </c>
      <c r="AD9" s="73">
        <f t="shared" si="6"/>
        <v>0</v>
      </c>
      <c r="AE9" s="72">
        <f t="shared" si="6"/>
        <v>0</v>
      </c>
      <c r="AF9" s="70">
        <f t="shared" si="6"/>
        <v>0</v>
      </c>
      <c r="AG9" s="70">
        <f t="shared" si="6"/>
        <v>0</v>
      </c>
      <c r="AH9" s="70">
        <f t="shared" si="6"/>
        <v>0</v>
      </c>
      <c r="AI9" s="70">
        <f t="shared" si="6"/>
        <v>0</v>
      </c>
      <c r="AJ9" s="70">
        <f t="shared" si="6"/>
        <v>0</v>
      </c>
      <c r="AK9"/>
    </row>
    <row r="10" spans="1:39" s="18" customFormat="1" ht="21.95" customHeight="1" thickBot="1">
      <c r="A10" s="37" t="str">
        <v xml:space="preserve"> S&amp;P</v>
      </c>
      <c r="B10" s="16">
        <v>0.31352280543793326</v>
      </c>
      <c r="C10" s="22">
        <v>1.3707516043389963E-2</v>
      </c>
      <c r="D10" s="19"/>
      <c r="E10" s="37" t="str">
        <v xml:space="preserve"> S&amp;P</v>
      </c>
      <c r="F10" s="47">
        <v>8.3125245775659315E-2</v>
      </c>
      <c r="G10" s="47">
        <v>0.18209810262740572</v>
      </c>
      <c r="H10" s="47">
        <v>0.14011802801193288</v>
      </c>
      <c r="I10" s="47">
        <f t="array" ref="I10:I14">TRANSPOSE(J9:N9)</f>
        <v>0.9333651002733484</v>
      </c>
      <c r="J10" s="12">
        <f>CORREL(DATA!$P$3:$P$1258,DATA!P$3:P$1258)</f>
        <v>1</v>
      </c>
      <c r="K10" s="13">
        <f>CORREL(DATA!$P$3:$P$1258,DATA!Q$3:Q$1258)</f>
        <v>0.96164543137804526</v>
      </c>
      <c r="L10" s="13">
        <v>-2.5000000000000001E-2</v>
      </c>
      <c r="M10" s="13">
        <f>CORREL(DATA!$P$3:$P$1258,DATA!S$3:S$1258)</f>
        <v>5.1828025853565843E-2</v>
      </c>
      <c r="N10" s="13">
        <f>CORREL(DATA!$P$3:$P$1258,DATA!T$3:T$1258)</f>
        <v>2.7779501449593864E-2</v>
      </c>
      <c r="O10" s="7"/>
      <c r="P10" s="34" t="str">
        <f t="shared" si="5"/>
        <v xml:space="preserve"> S&amp;P</v>
      </c>
      <c r="Q10" s="47">
        <v>8.3125245775659273E-2</v>
      </c>
      <c r="R10" s="47">
        <v>0.1820981026274055</v>
      </c>
      <c r="S10" s="47">
        <v>0.14011802801193271</v>
      </c>
      <c r="T10" s="47">
        <v>0.93336510027334851</v>
      </c>
      <c r="U10" s="15">
        <v>0.99999999999999989</v>
      </c>
      <c r="V10" s="13">
        <v>0.96164543137804515</v>
      </c>
      <c r="W10" s="13">
        <v>-2.4999999999999807E-2</v>
      </c>
      <c r="X10" s="13">
        <v>5.1828025853565808E-2</v>
      </c>
      <c r="Y10" s="13">
        <v>2.7779501449593968E-2</v>
      </c>
      <c r="Z10" s="7"/>
      <c r="AA10" s="34" t="str">
        <f t="shared" si="3"/>
        <v xml:space="preserve"> S&amp;P</v>
      </c>
      <c r="AB10" s="73">
        <f t="shared" si="6"/>
        <v>0</v>
      </c>
      <c r="AC10" s="73">
        <f t="shared" si="6"/>
        <v>0</v>
      </c>
      <c r="AD10" s="73">
        <f t="shared" si="6"/>
        <v>0</v>
      </c>
      <c r="AE10" s="73">
        <f t="shared" si="6"/>
        <v>0</v>
      </c>
      <c r="AF10" s="72">
        <f t="shared" si="6"/>
        <v>0</v>
      </c>
      <c r="AG10" s="70">
        <f t="shared" si="6"/>
        <v>0</v>
      </c>
      <c r="AH10" s="70">
        <f t="shared" si="6"/>
        <v>0</v>
      </c>
      <c r="AI10" s="70">
        <f t="shared" si="6"/>
        <v>0</v>
      </c>
      <c r="AJ10" s="70">
        <f t="shared" si="6"/>
        <v>0</v>
      </c>
      <c r="AK10"/>
    </row>
    <row r="11" spans="1:39" s="18" customFormat="1" ht="21.95" customHeight="1" thickBot="1">
      <c r="A11" s="37" t="str">
        <v xml:space="preserve"> DOW JONES</v>
      </c>
      <c r="B11" s="16">
        <v>2.6304202007901914E-2</v>
      </c>
      <c r="C11" s="22">
        <v>1.3504590541104896E-2</v>
      </c>
      <c r="D11" s="19"/>
      <c r="E11" s="37" t="str">
        <v xml:space="preserve"> DOW JONES</v>
      </c>
      <c r="F11" s="47">
        <v>6.9190071291288069E-2</v>
      </c>
      <c r="G11" s="47">
        <v>0.17285198604149196</v>
      </c>
      <c r="H11" s="47">
        <v>0.15766208131082884</v>
      </c>
      <c r="I11" s="47">
        <v>0.82563995010298141</v>
      </c>
      <c r="J11" s="47">
        <f t="array" ref="J11:J14">TRANSPOSE(K10:N10)</f>
        <v>0.96164543137804526</v>
      </c>
      <c r="K11" s="12">
        <f>CORREL(DATA!$Q$3:$Q$1258,DATA!Q$3:Q$1258)</f>
        <v>1</v>
      </c>
      <c r="L11" s="13">
        <f>CORREL(DATA!$Q$3:$Q$1258,DATA!R$3:R$1258)</f>
        <v>-6.9008758624430316E-2</v>
      </c>
      <c r="M11" s="13">
        <f>CORREL(DATA!$Q$3:$Q$1258,DATA!S$3:S$1258)</f>
        <v>1.4613730152944432E-2</v>
      </c>
      <c r="N11" s="13">
        <f>CORREL(DATA!$Q$3:$Q$1258,DATA!T$3:T$1258)</f>
        <v>-9.9535145194070453E-3</v>
      </c>
      <c r="O11" s="14"/>
      <c r="P11" s="34" t="str">
        <f t="shared" si="5"/>
        <v xml:space="preserve"> DOW JONES</v>
      </c>
      <c r="Q11" s="47">
        <v>6.9190071291287916E-2</v>
      </c>
      <c r="R11" s="47">
        <v>0.17285198604149168</v>
      </c>
      <c r="S11" s="47">
        <v>0.15766208131082884</v>
      </c>
      <c r="T11" s="47">
        <v>0.82563995010298163</v>
      </c>
      <c r="U11" s="47">
        <v>0.96164543137804526</v>
      </c>
      <c r="V11" s="15">
        <v>1</v>
      </c>
      <c r="W11" s="13">
        <v>-6.9008758624430594E-2</v>
      </c>
      <c r="X11" s="13">
        <v>1.4613730152944111E-2</v>
      </c>
      <c r="Y11" s="13">
        <v>-9.9535145194073905E-3</v>
      </c>
      <c r="Z11" s="14"/>
      <c r="AA11" s="34" t="str">
        <f t="shared" si="3"/>
        <v xml:space="preserve"> DOW JONES</v>
      </c>
      <c r="AB11" s="73">
        <f t="shared" si="6"/>
        <v>0</v>
      </c>
      <c r="AC11" s="73">
        <f t="shared" si="6"/>
        <v>0</v>
      </c>
      <c r="AD11" s="73">
        <f t="shared" si="6"/>
        <v>0</v>
      </c>
      <c r="AE11" s="73">
        <f t="shared" si="6"/>
        <v>0</v>
      </c>
      <c r="AF11" s="73">
        <f t="shared" si="6"/>
        <v>0</v>
      </c>
      <c r="AG11" s="72">
        <f t="shared" si="6"/>
        <v>0</v>
      </c>
      <c r="AH11" s="70">
        <f t="shared" si="6"/>
        <v>0</v>
      </c>
      <c r="AI11" s="70">
        <f t="shared" si="6"/>
        <v>0</v>
      </c>
      <c r="AJ11" s="70">
        <f t="shared" si="6"/>
        <v>0</v>
      </c>
      <c r="AK11"/>
      <c r="AL11" s="10"/>
      <c r="AM11" s="10"/>
    </row>
    <row r="12" spans="1:39" s="18" customFormat="1" ht="21.95" customHeight="1" thickBot="1">
      <c r="A12" s="37" t="str">
        <v xml:space="preserve"> FIDELITY US BOND</v>
      </c>
      <c r="B12" s="16">
        <v>3.5980865635078657E-2</v>
      </c>
      <c r="C12" s="22">
        <v>3.4249154725852003E-3</v>
      </c>
      <c r="D12" s="19"/>
      <c r="E12" s="37" t="str">
        <v xml:space="preserve"> FIDELITY US BOND</v>
      </c>
      <c r="F12" s="47">
        <v>0.3218368647715249</v>
      </c>
      <c r="G12" s="47">
        <v>0.20778336246021176</v>
      </c>
      <c r="H12" s="47">
        <v>-3.111469140357721E-2</v>
      </c>
      <c r="I12" s="47">
        <v>2.4694858384780555E-2</v>
      </c>
      <c r="J12" s="47">
        <v>-2.5000000000000001E-2</v>
      </c>
      <c r="K12" s="47">
        <f t="array" ref="K12:K14">TRANSPOSE(L11:N11)</f>
        <v>-6.9008758624430316E-2</v>
      </c>
      <c r="L12" s="12">
        <f>CORREL(DATA!$R$3:$R$1258,DATA!R$3:R$1258)</f>
        <v>1.0000000000000002</v>
      </c>
      <c r="M12" s="20">
        <f>CORREL(DATA!$R$3:$R$1258,DATA!S$3:S$1258)</f>
        <v>0.95429361335817842</v>
      </c>
      <c r="N12" s="20">
        <f>CORREL(DATA!$R$3:$R$1258,DATA!T$3:T$1258)</f>
        <v>0.96836562338395227</v>
      </c>
      <c r="O12" s="14"/>
      <c r="P12" s="34" t="str">
        <f t="shared" si="5"/>
        <v xml:space="preserve"> FIDELITY US BOND</v>
      </c>
      <c r="Q12" s="47">
        <v>0.32183686477152479</v>
      </c>
      <c r="R12" s="47">
        <v>0.20778336246021173</v>
      </c>
      <c r="S12" s="47">
        <v>-3.1114691403577116E-2</v>
      </c>
      <c r="T12" s="47">
        <v>2.4694858384780648E-2</v>
      </c>
      <c r="U12" s="47">
        <v>-2.4999999999999807E-2</v>
      </c>
      <c r="V12" s="47">
        <v>-6.9008758624430594E-2</v>
      </c>
      <c r="W12" s="15">
        <v>1.0000000000000002</v>
      </c>
      <c r="X12" s="20">
        <v>0.95429361335817831</v>
      </c>
      <c r="Y12" s="13">
        <v>0.96836562338395227</v>
      </c>
      <c r="Z12" s="14"/>
      <c r="AA12" s="34" t="str">
        <f t="shared" si="3"/>
        <v xml:space="preserve"> FIDELITY US BOND</v>
      </c>
      <c r="AB12" s="73">
        <f t="shared" si="6"/>
        <v>0</v>
      </c>
      <c r="AC12" s="73">
        <f t="shared" si="6"/>
        <v>0</v>
      </c>
      <c r="AD12" s="73">
        <f t="shared" si="6"/>
        <v>0</v>
      </c>
      <c r="AE12" s="73">
        <f t="shared" si="6"/>
        <v>0</v>
      </c>
      <c r="AF12" s="73">
        <f t="shared" si="6"/>
        <v>0</v>
      </c>
      <c r="AG12" s="73">
        <f t="shared" si="6"/>
        <v>0</v>
      </c>
      <c r="AH12" s="72">
        <f t="shared" si="6"/>
        <v>0</v>
      </c>
      <c r="AI12" s="71">
        <f t="shared" si="6"/>
        <v>0</v>
      </c>
      <c r="AJ12" s="70">
        <f t="shared" si="6"/>
        <v>0</v>
      </c>
      <c r="AK12"/>
      <c r="AL12" s="17"/>
      <c r="AM12" s="17"/>
    </row>
    <row r="13" spans="1:39" s="18" customFormat="1" ht="21.95" customHeight="1" thickBot="1">
      <c r="A13" s="37" t="str">
        <v xml:space="preserve"> BLACKROCK</v>
      </c>
      <c r="B13" s="16">
        <v>0.12699246362061561</v>
      </c>
      <c r="C13" s="22">
        <v>3.462038362189993E-3</v>
      </c>
      <c r="D13" s="19"/>
      <c r="E13" s="37" t="str">
        <v xml:space="preserve"> BLACKROCK</v>
      </c>
      <c r="F13" s="47">
        <v>0.34652088680717641</v>
      </c>
      <c r="G13" s="47">
        <v>0.23289638915004934</v>
      </c>
      <c r="H13" s="47">
        <v>-1.3656524864735493E-2</v>
      </c>
      <c r="I13" s="47">
        <v>8.6000289088056001E-2</v>
      </c>
      <c r="J13" s="47">
        <v>5.1828025853565843E-2</v>
      </c>
      <c r="K13" s="47">
        <v>1.4613730152944432E-2</v>
      </c>
      <c r="L13" s="47">
        <f t="array" ref="L13:L14">TRANSPOSE(M12:N12)</f>
        <v>0.95429361335817842</v>
      </c>
      <c r="M13" s="12">
        <f>CORREL(DATA!$S$3:$S$1258,DATA!S$3:S$1258)</f>
        <v>0.99999999999999989</v>
      </c>
      <c r="N13" s="20">
        <f>CORREL(DATA!$S$3:$S$1258,DATA!T$3:T$1258)</f>
        <v>0.94786963399731883</v>
      </c>
      <c r="O13" s="14"/>
      <c r="P13" s="34" t="str">
        <f t="shared" si="5"/>
        <v xml:space="preserve"> BLACKROCK</v>
      </c>
      <c r="Q13" s="47">
        <v>0.34652088680717646</v>
      </c>
      <c r="R13" s="47">
        <v>0.23289638915004934</v>
      </c>
      <c r="S13" s="47">
        <v>-1.3656524864735566E-2</v>
      </c>
      <c r="T13" s="47">
        <v>8.6000289088055917E-2</v>
      </c>
      <c r="U13" s="47">
        <v>5.1828025853565864E-2</v>
      </c>
      <c r="V13" s="47">
        <v>1.4613730152944048E-2</v>
      </c>
      <c r="W13" s="47">
        <v>0.95429361335817831</v>
      </c>
      <c r="X13" s="15">
        <v>0.99999999999999978</v>
      </c>
      <c r="Y13" s="13">
        <v>0.94786963399731894</v>
      </c>
      <c r="Z13" s="14"/>
      <c r="AA13" s="34" t="str">
        <f t="shared" si="3"/>
        <v xml:space="preserve"> BLACKROCK</v>
      </c>
      <c r="AB13" s="73">
        <f t="shared" si="6"/>
        <v>0</v>
      </c>
      <c r="AC13" s="73">
        <f t="shared" si="6"/>
        <v>0</v>
      </c>
      <c r="AD13" s="73">
        <f t="shared" si="6"/>
        <v>0</v>
      </c>
      <c r="AE13" s="73">
        <f t="shared" si="6"/>
        <v>0</v>
      </c>
      <c r="AF13" s="73">
        <f t="shared" si="6"/>
        <v>0</v>
      </c>
      <c r="AG13" s="73">
        <f t="shared" si="6"/>
        <v>0</v>
      </c>
      <c r="AH13" s="73">
        <f t="shared" si="6"/>
        <v>0</v>
      </c>
      <c r="AI13" s="72">
        <f t="shared" si="6"/>
        <v>0</v>
      </c>
      <c r="AJ13" s="70">
        <f t="shared" si="6"/>
        <v>0</v>
      </c>
      <c r="AK13"/>
      <c r="AL13" s="17"/>
      <c r="AM13" s="17"/>
    </row>
    <row r="14" spans="1:39" ht="21.95" customHeight="1" thickBot="1">
      <c r="A14" s="37" t="str">
        <v xml:space="preserve"> BNY MELLON</v>
      </c>
      <c r="B14" s="16">
        <v>0.1</v>
      </c>
      <c r="C14" s="22">
        <v>3.2957771438115241E-3</v>
      </c>
      <c r="E14" s="37" t="str">
        <v xml:space="preserve"> BNY MELLON</v>
      </c>
      <c r="F14" s="47">
        <v>0.39900000000000002</v>
      </c>
      <c r="G14" s="47">
        <v>0.23571118191641025</v>
      </c>
      <c r="H14" s="47">
        <v>-8.2674919474596629E-3</v>
      </c>
      <c r="I14" s="47">
        <v>6.1643536129865395E-2</v>
      </c>
      <c r="J14" s="47">
        <v>2.7779501449593864E-2</v>
      </c>
      <c r="K14" s="47">
        <v>-9.9535145194070453E-3</v>
      </c>
      <c r="L14" s="47">
        <v>0.96836562338395227</v>
      </c>
      <c r="M14" s="47">
        <f>N13</f>
        <v>0.94786963399731883</v>
      </c>
      <c r="N14" s="12">
        <f>CORREL(DATA!$T$3:$T$1258,DATA!T$3:T$1258)</f>
        <v>1</v>
      </c>
      <c r="O14" s="14"/>
      <c r="P14" s="34" t="str">
        <f t="shared" si="5"/>
        <v xml:space="preserve"> BNY MELLON</v>
      </c>
      <c r="Q14" s="47">
        <v>0.3989999999999998</v>
      </c>
      <c r="R14" s="47">
        <v>0.23571118191641005</v>
      </c>
      <c r="S14" s="47">
        <v>-8.2674919474595553E-3</v>
      </c>
      <c r="T14" s="47">
        <v>6.1643536129865346E-2</v>
      </c>
      <c r="U14" s="47">
        <v>2.7779501449593961E-2</v>
      </c>
      <c r="V14" s="47">
        <v>-9.9535145194073384E-3</v>
      </c>
      <c r="W14" s="47">
        <v>0.96836562338395227</v>
      </c>
      <c r="X14" s="47">
        <v>0.94786963399731894</v>
      </c>
      <c r="Y14" s="15">
        <v>1</v>
      </c>
      <c r="Z14" s="14"/>
      <c r="AA14" s="34" t="str">
        <f t="shared" si="3"/>
        <v xml:space="preserve"> BNY MELLON</v>
      </c>
      <c r="AB14" s="73">
        <f t="shared" si="6"/>
        <v>0</v>
      </c>
      <c r="AC14" s="73">
        <f t="shared" si="6"/>
        <v>0</v>
      </c>
      <c r="AD14" s="73">
        <f t="shared" si="6"/>
        <v>0</v>
      </c>
      <c r="AE14" s="73">
        <f t="shared" si="6"/>
        <v>0</v>
      </c>
      <c r="AF14" s="73">
        <f t="shared" si="6"/>
        <v>0</v>
      </c>
      <c r="AG14" s="73">
        <f t="shared" si="6"/>
        <v>0</v>
      </c>
      <c r="AH14" s="73">
        <f t="shared" si="6"/>
        <v>0</v>
      </c>
      <c r="AI14" s="73">
        <f t="shared" si="6"/>
        <v>0</v>
      </c>
      <c r="AJ14" s="72">
        <f t="shared" si="6"/>
        <v>0</v>
      </c>
      <c r="AK14"/>
      <c r="AL14" s="17"/>
      <c r="AM14" s="17"/>
    </row>
    <row r="15" spans="1:39" ht="21.95" customHeight="1" thickBot="1">
      <c r="C15" s="44"/>
      <c r="O15" s="14"/>
      <c r="P15" s="43"/>
      <c r="Z15" s="14"/>
      <c r="AA15"/>
      <c r="AB15"/>
      <c r="AC15"/>
      <c r="AD15"/>
      <c r="AE15"/>
      <c r="AF15"/>
      <c r="AG15"/>
      <c r="AH15"/>
      <c r="AI15"/>
      <c r="AJ15"/>
      <c r="AK15"/>
      <c r="AL15" s="17"/>
      <c r="AM15" s="17"/>
    </row>
    <row r="16" spans="1:39" ht="21.95" customHeight="1" thickBot="1">
      <c r="C16" s="44"/>
      <c r="E16" s="41" t="s">
        <v>26</v>
      </c>
      <c r="F16" s="38" t="str">
        <f>F5</f>
        <v>GOLD</v>
      </c>
      <c r="G16" s="38" t="str">
        <f t="shared" ref="G16:N16" si="7">G5</f>
        <v xml:space="preserve"> SILVER</v>
      </c>
      <c r="H16" s="38" t="str">
        <f t="shared" si="7"/>
        <v>OIL</v>
      </c>
      <c r="I16" s="38" t="str">
        <f t="shared" si="7"/>
        <v xml:space="preserve"> NASDAQ</v>
      </c>
      <c r="J16" s="38" t="str">
        <f t="shared" si="7"/>
        <v xml:space="preserve"> S&amp;P</v>
      </c>
      <c r="K16" s="38" t="str">
        <f t="shared" si="7"/>
        <v xml:space="preserve"> DOW JONES</v>
      </c>
      <c r="L16" s="38" t="str">
        <f t="shared" si="7"/>
        <v xml:space="preserve"> FIDELITY US BOND</v>
      </c>
      <c r="M16" s="38" t="str">
        <f t="shared" si="7"/>
        <v xml:space="preserve"> BLACKROCK</v>
      </c>
      <c r="N16" s="38" t="str">
        <f t="shared" si="7"/>
        <v xml:space="preserve"> BNY MELLON</v>
      </c>
      <c r="P16" s="41" t="s">
        <v>26</v>
      </c>
      <c r="Q16" s="23" t="str">
        <f>Q5</f>
        <v>GOLD</v>
      </c>
      <c r="R16" s="23" t="str">
        <f t="shared" ref="R16:Y16" si="8">R5</f>
        <v xml:space="preserve"> SILVER</v>
      </c>
      <c r="S16" s="23" t="str">
        <f t="shared" si="8"/>
        <v>OIL</v>
      </c>
      <c r="T16" s="23" t="str">
        <f t="shared" si="8"/>
        <v xml:space="preserve"> NASDAQ</v>
      </c>
      <c r="U16" s="23" t="str">
        <f t="shared" si="8"/>
        <v xml:space="preserve"> S&amp;P</v>
      </c>
      <c r="V16" s="23" t="str">
        <f t="shared" si="8"/>
        <v xml:space="preserve"> DOW JONES</v>
      </c>
      <c r="W16" s="23" t="str">
        <f t="shared" si="8"/>
        <v xml:space="preserve"> FIDELITY US BOND</v>
      </c>
      <c r="X16" s="23" t="str">
        <f t="shared" si="8"/>
        <v xml:space="preserve"> BLACKROCK</v>
      </c>
      <c r="Y16" s="23" t="str">
        <f t="shared" si="8"/>
        <v xml:space="preserve"> BNY MELLON</v>
      </c>
      <c r="AA16" s="21" t="s">
        <v>20</v>
      </c>
      <c r="AB16" s="23" t="str">
        <f>F16</f>
        <v>GOLD</v>
      </c>
      <c r="AC16" s="23" t="str">
        <f t="shared" ref="AC16:AJ16" si="9">G16</f>
        <v xml:space="preserve"> SILVER</v>
      </c>
      <c r="AD16" s="23" t="str">
        <f t="shared" si="9"/>
        <v>OIL</v>
      </c>
      <c r="AE16" s="23" t="str">
        <f t="shared" si="9"/>
        <v xml:space="preserve"> NASDAQ</v>
      </c>
      <c r="AF16" s="23" t="str">
        <f t="shared" si="9"/>
        <v xml:space="preserve"> S&amp;P</v>
      </c>
      <c r="AG16" s="23" t="str">
        <f t="shared" si="9"/>
        <v xml:space="preserve"> DOW JONES</v>
      </c>
      <c r="AH16" s="23" t="str">
        <f t="shared" si="9"/>
        <v xml:space="preserve"> FIDELITY US BOND</v>
      </c>
      <c r="AI16" s="23" t="str">
        <f t="shared" si="9"/>
        <v xml:space="preserve"> BLACKROCK</v>
      </c>
      <c r="AJ16" s="23" t="str">
        <f t="shared" si="9"/>
        <v xml:space="preserve"> BNY MELLON</v>
      </c>
      <c r="AK16"/>
      <c r="AL16" s="17"/>
      <c r="AM16" s="17"/>
    </row>
    <row r="17" spans="2:41" s="11" customFormat="1" ht="21.95" customHeight="1">
      <c r="C17" s="44"/>
      <c r="D17" s="7"/>
      <c r="E17" s="40" t="str">
        <f t="shared" ref="E17:E25" si="10">E6</f>
        <v>GOLD</v>
      </c>
      <c r="F17" s="42">
        <f t="shared" ref="F17:N17" si="11">F$3*$C6*F6</f>
        <v>9.6132198515786404E-5</v>
      </c>
      <c r="G17" s="42">
        <f t="shared" si="11"/>
        <v>1.5311034052479651E-4</v>
      </c>
      <c r="H17" s="42">
        <f t="shared" si="11"/>
        <v>3.7006338702571501E-5</v>
      </c>
      <c r="I17" s="42">
        <f t="shared" si="11"/>
        <v>1.4634302912935563E-5</v>
      </c>
      <c r="J17" s="42">
        <f t="shared" si="11"/>
        <v>1.1171876922522831E-5</v>
      </c>
      <c r="K17" s="42">
        <f t="shared" si="11"/>
        <v>9.1613533980399603E-6</v>
      </c>
      <c r="L17" s="42">
        <f t="shared" si="11"/>
        <v>1.0807371579303512E-5</v>
      </c>
      <c r="M17" s="42">
        <f t="shared" si="11"/>
        <v>1.1762394208046072E-5</v>
      </c>
      <c r="N17" s="42">
        <f t="shared" si="11"/>
        <v>1.2893332142547374E-5</v>
      </c>
      <c r="O17" s="19"/>
      <c r="P17" s="34" t="str">
        <f>E17</f>
        <v>GOLD</v>
      </c>
      <c r="Q17" s="45">
        <f t="shared" ref="Q17:Y24" si="12">F$3*$C6*Q6</f>
        <v>9.613219851578639E-5</v>
      </c>
      <c r="R17" s="45">
        <f t="shared" si="12"/>
        <v>1.5311034052479651E-4</v>
      </c>
      <c r="S17" s="45">
        <f t="shared" si="12"/>
        <v>3.7006338702571616E-5</v>
      </c>
      <c r="T17" s="45">
        <f t="shared" si="12"/>
        <v>1.463430291293557E-5</v>
      </c>
      <c r="U17" s="45">
        <f t="shared" si="12"/>
        <v>1.1171876922522826E-5</v>
      </c>
      <c r="V17" s="45">
        <f t="shared" si="12"/>
        <v>9.1613533980399366E-6</v>
      </c>
      <c r="W17" s="45">
        <f t="shared" si="12"/>
        <v>1.0807371579303508E-5</v>
      </c>
      <c r="X17" s="45">
        <f t="shared" si="12"/>
        <v>1.1762394208046071E-5</v>
      </c>
      <c r="Y17" s="45">
        <f t="shared" si="12"/>
        <v>1.2893332142547368E-5</v>
      </c>
      <c r="Z17" s="19"/>
      <c r="AA17" s="34" t="str">
        <f t="shared" ref="AA17:AA25" si="13">E17</f>
        <v>GOLD</v>
      </c>
      <c r="AB17" s="50">
        <f>ROUND(F17-Q17,4)</f>
        <v>0</v>
      </c>
      <c r="AC17" s="50">
        <f t="shared" ref="AC17:AJ25" si="14">ROUND(G17-R17,4)</f>
        <v>0</v>
      </c>
      <c r="AD17" s="50">
        <f t="shared" si="14"/>
        <v>0</v>
      </c>
      <c r="AE17" s="50">
        <f t="shared" si="14"/>
        <v>0</v>
      </c>
      <c r="AF17" s="50">
        <f t="shared" si="14"/>
        <v>0</v>
      </c>
      <c r="AG17" s="50">
        <f t="shared" si="14"/>
        <v>0</v>
      </c>
      <c r="AH17" s="50">
        <f t="shared" si="14"/>
        <v>0</v>
      </c>
      <c r="AI17" s="50">
        <f t="shared" si="14"/>
        <v>0</v>
      </c>
      <c r="AJ17" s="50">
        <f t="shared" si="14"/>
        <v>0</v>
      </c>
      <c r="AK17"/>
      <c r="AL17" s="17"/>
      <c r="AM17" s="17"/>
      <c r="AN17" s="10"/>
      <c r="AO17" s="10"/>
    </row>
    <row r="18" spans="2:41" ht="21.95" customHeight="1">
      <c r="C18" s="44"/>
      <c r="D18" s="14"/>
      <c r="E18" s="37" t="str">
        <f t="shared" si="10"/>
        <v xml:space="preserve"> SILVER</v>
      </c>
      <c r="F18" s="42">
        <f t="shared" ref="F18:N18" si="15">F$3*$C7*F7</f>
        <v>1.5311034052479651E-4</v>
      </c>
      <c r="G18" s="42">
        <f t="shared" si="15"/>
        <v>3.9710565810544376E-4</v>
      </c>
      <c r="H18" s="42">
        <f t="shared" si="15"/>
        <v>1.1907472386996162E-4</v>
      </c>
      <c r="I18" s="42">
        <f t="shared" si="15"/>
        <v>5.6884621416731115E-5</v>
      </c>
      <c r="J18" s="42">
        <f t="shared" si="15"/>
        <v>4.9741310264775823E-5</v>
      </c>
      <c r="K18" s="42">
        <f t="shared" si="15"/>
        <v>4.6516693041749633E-5</v>
      </c>
      <c r="L18" s="42">
        <f t="shared" si="15"/>
        <v>1.4181222303293925E-5</v>
      </c>
      <c r="M18" s="42">
        <f t="shared" si="15"/>
        <v>1.6067476325952023E-5</v>
      </c>
      <c r="N18" s="42">
        <f t="shared" si="15"/>
        <v>1.5480716615333098E-5</v>
      </c>
      <c r="P18" s="34" t="str">
        <f t="shared" ref="P18:P25" si="16">E18</f>
        <v xml:space="preserve"> SILVER</v>
      </c>
      <c r="Q18" s="45">
        <f t="shared" si="12"/>
        <v>1.5311034052479651E-4</v>
      </c>
      <c r="R18" s="45">
        <f t="shared" si="12"/>
        <v>3.9710565810544381E-4</v>
      </c>
      <c r="S18" s="45">
        <f t="shared" si="12"/>
        <v>1.1907472386996179E-4</v>
      </c>
      <c r="T18" s="45">
        <f t="shared" si="12"/>
        <v>5.6884621416731054E-5</v>
      </c>
      <c r="U18" s="45">
        <f t="shared" si="12"/>
        <v>4.9741310264775762E-5</v>
      </c>
      <c r="V18" s="45">
        <f t="shared" si="12"/>
        <v>4.6516693041749545E-5</v>
      </c>
      <c r="W18" s="45">
        <f t="shared" si="12"/>
        <v>1.4181222303293925E-5</v>
      </c>
      <c r="X18" s="45">
        <f t="shared" si="12"/>
        <v>1.606747632595202E-5</v>
      </c>
      <c r="Y18" s="45">
        <f t="shared" si="12"/>
        <v>1.5480716615333081E-5</v>
      </c>
      <c r="AA18" s="34" t="str">
        <f t="shared" si="13"/>
        <v xml:space="preserve"> SILVER</v>
      </c>
      <c r="AB18" s="50">
        <f t="shared" ref="AB18:AB25" si="17">ROUND(F18-Q18,4)</f>
        <v>0</v>
      </c>
      <c r="AC18" s="50">
        <f t="shared" si="14"/>
        <v>0</v>
      </c>
      <c r="AD18" s="50">
        <f t="shared" si="14"/>
        <v>0</v>
      </c>
      <c r="AE18" s="50">
        <f t="shared" si="14"/>
        <v>0</v>
      </c>
      <c r="AF18" s="50">
        <f t="shared" si="14"/>
        <v>0</v>
      </c>
      <c r="AG18" s="50">
        <f t="shared" si="14"/>
        <v>0</v>
      </c>
      <c r="AH18" s="50">
        <f t="shared" si="14"/>
        <v>0</v>
      </c>
      <c r="AI18" s="50">
        <f t="shared" si="14"/>
        <v>0</v>
      </c>
      <c r="AJ18" s="50">
        <f t="shared" si="14"/>
        <v>0</v>
      </c>
      <c r="AK18"/>
      <c r="AL18" s="17"/>
      <c r="AM18" s="17"/>
      <c r="AN18" s="17"/>
      <c r="AO18" s="17"/>
    </row>
    <row r="19" spans="2:41" ht="21.95" customHeight="1">
      <c r="C19" s="44"/>
      <c r="D19" s="14"/>
      <c r="E19" s="37" t="str">
        <f t="shared" si="10"/>
        <v>OIL</v>
      </c>
      <c r="F19" s="42">
        <f t="shared" ref="F19:N19" si="18">F$3*$C8*F8</f>
        <v>3.7006338702571501E-5</v>
      </c>
      <c r="G19" s="42">
        <f t="shared" si="18"/>
        <v>1.1907472386996162E-4</v>
      </c>
      <c r="H19" s="42">
        <f t="shared" si="18"/>
        <v>9.9297685951691174E-3</v>
      </c>
      <c r="I19" s="42">
        <f t="shared" si="18"/>
        <v>1.7981712270606368E-4</v>
      </c>
      <c r="J19" s="42">
        <f t="shared" si="18"/>
        <v>1.9139136651355804E-4</v>
      </c>
      <c r="K19" s="42">
        <f t="shared" si="18"/>
        <v>2.1216719767798664E-4</v>
      </c>
      <c r="L19" s="42">
        <f t="shared" si="18"/>
        <v>-1.0619031751805818E-5</v>
      </c>
      <c r="M19" s="42">
        <f t="shared" si="18"/>
        <v>-4.7113095463930087E-6</v>
      </c>
      <c r="N19" s="42">
        <f t="shared" si="18"/>
        <v>-2.7151959804210077E-6</v>
      </c>
      <c r="P19" s="34" t="str">
        <f t="shared" si="16"/>
        <v>OIL</v>
      </c>
      <c r="Q19" s="45">
        <f t="shared" si="12"/>
        <v>3.7006338702571602E-5</v>
      </c>
      <c r="R19" s="45">
        <f t="shared" si="12"/>
        <v>1.1907472386996181E-4</v>
      </c>
      <c r="S19" s="45">
        <f t="shared" si="12"/>
        <v>9.9297685951691209E-3</v>
      </c>
      <c r="T19" s="45">
        <f t="shared" si="12"/>
        <v>1.7981712270606363E-4</v>
      </c>
      <c r="U19" s="45">
        <f t="shared" si="12"/>
        <v>1.913913665135578E-4</v>
      </c>
      <c r="V19" s="45">
        <f t="shared" si="12"/>
        <v>2.1216719767798661E-4</v>
      </c>
      <c r="W19" s="45">
        <f t="shared" si="12"/>
        <v>-1.0619031751805784E-5</v>
      </c>
      <c r="X19" s="45">
        <f t="shared" si="12"/>
        <v>-4.7113095463930316E-6</v>
      </c>
      <c r="Y19" s="45">
        <f t="shared" si="12"/>
        <v>-2.7151959804209767E-6</v>
      </c>
      <c r="AA19" s="34" t="str">
        <f t="shared" si="13"/>
        <v>OIL</v>
      </c>
      <c r="AB19" s="50">
        <f t="shared" si="17"/>
        <v>0</v>
      </c>
      <c r="AC19" s="50">
        <f t="shared" si="14"/>
        <v>0</v>
      </c>
      <c r="AD19" s="50">
        <f t="shared" si="14"/>
        <v>0</v>
      </c>
      <c r="AE19" s="50">
        <f t="shared" si="14"/>
        <v>0</v>
      </c>
      <c r="AF19" s="50">
        <f t="shared" si="14"/>
        <v>0</v>
      </c>
      <c r="AG19" s="50">
        <f t="shared" si="14"/>
        <v>0</v>
      </c>
      <c r="AH19" s="50">
        <f t="shared" si="14"/>
        <v>0</v>
      </c>
      <c r="AI19" s="50">
        <f t="shared" si="14"/>
        <v>0</v>
      </c>
      <c r="AJ19" s="50">
        <f t="shared" si="14"/>
        <v>0</v>
      </c>
      <c r="AL19" s="17"/>
      <c r="AM19" s="17"/>
      <c r="AN19" s="17"/>
      <c r="AO19" s="17"/>
    </row>
    <row r="20" spans="2:41" ht="21.95" customHeight="1">
      <c r="C20" s="44"/>
      <c r="D20" s="14"/>
      <c r="E20" s="37" t="str">
        <f t="shared" si="10"/>
        <v xml:space="preserve"> NASDAQ</v>
      </c>
      <c r="F20" s="42">
        <f t="shared" ref="F20:N20" si="19">F$3*$C9*F9</f>
        <v>1.4634302912935563E-5</v>
      </c>
      <c r="G20" s="42">
        <f t="shared" si="19"/>
        <v>5.6884621416731115E-5</v>
      </c>
      <c r="H20" s="42">
        <f t="shared" si="19"/>
        <v>1.7981712270606368E-4</v>
      </c>
      <c r="I20" s="42">
        <f t="shared" si="19"/>
        <v>2.7917430880467815E-4</v>
      </c>
      <c r="J20" s="42">
        <f t="shared" si="19"/>
        <v>2.1377063419120114E-4</v>
      </c>
      <c r="K20" s="42">
        <f t="shared" si="19"/>
        <v>1.8629870868601582E-4</v>
      </c>
      <c r="L20" s="42">
        <f t="shared" si="19"/>
        <v>1.4131690661433346E-6</v>
      </c>
      <c r="M20" s="42">
        <f t="shared" si="19"/>
        <v>4.9747299668628382E-6</v>
      </c>
      <c r="N20" s="42">
        <f t="shared" si="19"/>
        <v>3.3945570039260442E-6</v>
      </c>
      <c r="P20" s="34" t="str">
        <f t="shared" si="16"/>
        <v xml:space="preserve"> NASDAQ</v>
      </c>
      <c r="Q20" s="45">
        <f t="shared" si="12"/>
        <v>1.4634302912935572E-5</v>
      </c>
      <c r="R20" s="45">
        <f t="shared" si="12"/>
        <v>5.6884621416731054E-5</v>
      </c>
      <c r="S20" s="45">
        <f t="shared" si="12"/>
        <v>1.7981712270606363E-4</v>
      </c>
      <c r="T20" s="45">
        <f t="shared" si="12"/>
        <v>2.7917430880467821E-4</v>
      </c>
      <c r="U20" s="45">
        <f t="shared" si="12"/>
        <v>2.1377063419120119E-4</v>
      </c>
      <c r="V20" s="45">
        <f t="shared" si="12"/>
        <v>1.8629870868601585E-4</v>
      </c>
      <c r="W20" s="45">
        <f t="shared" si="12"/>
        <v>1.4131690661433363E-6</v>
      </c>
      <c r="X20" s="45">
        <f t="shared" si="12"/>
        <v>4.9747299668628365E-6</v>
      </c>
      <c r="Y20" s="45">
        <f t="shared" si="12"/>
        <v>3.3945570039260383E-6</v>
      </c>
      <c r="AA20" s="34" t="str">
        <f t="shared" si="13"/>
        <v xml:space="preserve"> NASDAQ</v>
      </c>
      <c r="AB20" s="50">
        <f t="shared" si="17"/>
        <v>0</v>
      </c>
      <c r="AC20" s="50">
        <f t="shared" si="14"/>
        <v>0</v>
      </c>
      <c r="AD20" s="50">
        <f t="shared" si="14"/>
        <v>0</v>
      </c>
      <c r="AE20" s="50">
        <f t="shared" si="14"/>
        <v>0</v>
      </c>
      <c r="AF20" s="50">
        <f t="shared" si="14"/>
        <v>0</v>
      </c>
      <c r="AG20" s="50">
        <f t="shared" si="14"/>
        <v>0</v>
      </c>
      <c r="AH20" s="50">
        <f t="shared" si="14"/>
        <v>0</v>
      </c>
      <c r="AI20" s="50">
        <f t="shared" si="14"/>
        <v>0</v>
      </c>
      <c r="AJ20" s="50">
        <f t="shared" si="14"/>
        <v>0</v>
      </c>
      <c r="AN20" s="17"/>
      <c r="AO20" s="17"/>
    </row>
    <row r="21" spans="2:41" ht="21.95" customHeight="1">
      <c r="D21" s="14"/>
      <c r="E21" s="37" t="str">
        <f t="shared" si="10"/>
        <v xml:space="preserve"> S&amp;P</v>
      </c>
      <c r="F21" s="42">
        <f t="shared" ref="F21:N21" si="20">F$3*$C10*F10</f>
        <v>1.1171876922522831E-5</v>
      </c>
      <c r="G21" s="42">
        <f t="shared" si="20"/>
        <v>4.9741310264775823E-5</v>
      </c>
      <c r="H21" s="42">
        <f t="shared" si="20"/>
        <v>1.9139136651355804E-4</v>
      </c>
      <c r="I21" s="42">
        <f t="shared" si="20"/>
        <v>2.1377063419120114E-4</v>
      </c>
      <c r="J21" s="42">
        <f t="shared" si="20"/>
        <v>1.8789599607979323E-4</v>
      </c>
      <c r="K21" s="42">
        <f t="shared" si="20"/>
        <v>1.7801440886984788E-4</v>
      </c>
      <c r="L21" s="42">
        <f t="shared" si="20"/>
        <v>-1.1736770946929039E-6</v>
      </c>
      <c r="M21" s="42">
        <f t="shared" si="20"/>
        <v>2.4595480165385597E-6</v>
      </c>
      <c r="N21" s="42">
        <f t="shared" si="20"/>
        <v>1.2549922611313782E-6</v>
      </c>
      <c r="P21" s="34" t="str">
        <f t="shared" si="16"/>
        <v xml:space="preserve"> S&amp;P</v>
      </c>
      <c r="Q21" s="45">
        <f t="shared" si="12"/>
        <v>1.1171876922522826E-5</v>
      </c>
      <c r="R21" s="45">
        <f t="shared" si="12"/>
        <v>4.9741310264775762E-5</v>
      </c>
      <c r="S21" s="45">
        <f t="shared" si="12"/>
        <v>1.913913665135578E-4</v>
      </c>
      <c r="T21" s="45">
        <f t="shared" si="12"/>
        <v>2.1377063419120116E-4</v>
      </c>
      <c r="U21" s="45">
        <f t="shared" si="12"/>
        <v>1.8789599607979321E-4</v>
      </c>
      <c r="V21" s="45">
        <f t="shared" si="12"/>
        <v>1.7801440886984786E-4</v>
      </c>
      <c r="W21" s="45">
        <f t="shared" si="12"/>
        <v>-1.1736770946928946E-6</v>
      </c>
      <c r="X21" s="45">
        <f t="shared" si="12"/>
        <v>2.459548016538558E-6</v>
      </c>
      <c r="Y21" s="45">
        <f t="shared" si="12"/>
        <v>1.2549922611313829E-6</v>
      </c>
      <c r="AA21" s="34" t="str">
        <f t="shared" si="13"/>
        <v xml:space="preserve"> S&amp;P</v>
      </c>
      <c r="AB21" s="50">
        <f t="shared" si="17"/>
        <v>0</v>
      </c>
      <c r="AC21" s="50">
        <f t="shared" si="14"/>
        <v>0</v>
      </c>
      <c r="AD21" s="50">
        <f t="shared" si="14"/>
        <v>0</v>
      </c>
      <c r="AE21" s="50">
        <f t="shared" si="14"/>
        <v>0</v>
      </c>
      <c r="AF21" s="50">
        <f t="shared" si="14"/>
        <v>0</v>
      </c>
      <c r="AG21" s="50">
        <f t="shared" si="14"/>
        <v>0</v>
      </c>
      <c r="AH21" s="50">
        <f t="shared" si="14"/>
        <v>0</v>
      </c>
      <c r="AI21" s="50">
        <f t="shared" si="14"/>
        <v>0</v>
      </c>
      <c r="AJ21" s="50">
        <f t="shared" si="14"/>
        <v>0</v>
      </c>
      <c r="AN21" s="17"/>
      <c r="AO21" s="17"/>
    </row>
    <row r="22" spans="2:41" ht="21.95" customHeight="1">
      <c r="E22" s="37" t="str">
        <f t="shared" si="10"/>
        <v xml:space="preserve"> DOW JONES</v>
      </c>
      <c r="F22" s="42">
        <f t="shared" ref="F22:N22" si="21">F$3*$C11*F11</f>
        <v>9.1613533980399603E-6</v>
      </c>
      <c r="G22" s="42">
        <f t="shared" si="21"/>
        <v>4.6516693041749633E-5</v>
      </c>
      <c r="H22" s="42">
        <f t="shared" si="21"/>
        <v>2.1216719767798664E-4</v>
      </c>
      <c r="I22" s="42">
        <f t="shared" si="21"/>
        <v>1.8629870868601582E-4</v>
      </c>
      <c r="J22" s="42">
        <f t="shared" si="21"/>
        <v>1.7801440886984788E-4</v>
      </c>
      <c r="K22" s="42">
        <f t="shared" si="21"/>
        <v>1.8237396568289983E-4</v>
      </c>
      <c r="L22" s="42">
        <f t="shared" si="21"/>
        <v>-3.1917987001733284E-6</v>
      </c>
      <c r="M22" s="42">
        <f t="shared" si="21"/>
        <v>6.8324172505410892E-7</v>
      </c>
      <c r="N22" s="42">
        <f t="shared" si="21"/>
        <v>-4.4301222703144279E-7</v>
      </c>
      <c r="P22" s="34" t="str">
        <f t="shared" si="16"/>
        <v xml:space="preserve"> DOW JONES</v>
      </c>
      <c r="Q22" s="45">
        <f t="shared" si="12"/>
        <v>9.1613533980399399E-6</v>
      </c>
      <c r="R22" s="45">
        <f t="shared" si="12"/>
        <v>4.6516693041749558E-5</v>
      </c>
      <c r="S22" s="45">
        <f t="shared" si="12"/>
        <v>2.1216719767798664E-4</v>
      </c>
      <c r="T22" s="45">
        <f t="shared" si="12"/>
        <v>1.8629870868601585E-4</v>
      </c>
      <c r="U22" s="45">
        <f t="shared" si="12"/>
        <v>1.7801440886984788E-4</v>
      </c>
      <c r="V22" s="45">
        <f t="shared" si="12"/>
        <v>1.8237396568289983E-4</v>
      </c>
      <c r="W22" s="45">
        <f t="shared" si="12"/>
        <v>-3.1917987001733411E-6</v>
      </c>
      <c r="X22" s="45">
        <f t="shared" si="12"/>
        <v>6.8324172505409399E-7</v>
      </c>
      <c r="Y22" s="45">
        <f t="shared" si="12"/>
        <v>-4.4301222703145819E-7</v>
      </c>
      <c r="AA22" s="34" t="str">
        <f t="shared" si="13"/>
        <v xml:space="preserve"> DOW JONES</v>
      </c>
      <c r="AB22" s="50">
        <f t="shared" si="17"/>
        <v>0</v>
      </c>
      <c r="AC22" s="50">
        <f t="shared" si="14"/>
        <v>0</v>
      </c>
      <c r="AD22" s="50">
        <f t="shared" si="14"/>
        <v>0</v>
      </c>
      <c r="AE22" s="50">
        <f t="shared" si="14"/>
        <v>0</v>
      </c>
      <c r="AF22" s="50">
        <f t="shared" si="14"/>
        <v>0</v>
      </c>
      <c r="AG22" s="50">
        <f t="shared" si="14"/>
        <v>0</v>
      </c>
      <c r="AH22" s="50">
        <f t="shared" si="14"/>
        <v>0</v>
      </c>
      <c r="AI22" s="50">
        <f t="shared" si="14"/>
        <v>0</v>
      </c>
      <c r="AJ22" s="50">
        <f t="shared" si="14"/>
        <v>0</v>
      </c>
      <c r="AN22" s="17"/>
      <c r="AO22" s="17"/>
    </row>
    <row r="23" spans="2:41" ht="21.95" customHeight="1">
      <c r="E23" s="37" t="str">
        <f t="shared" si="10"/>
        <v xml:space="preserve"> FIDELITY US BOND</v>
      </c>
      <c r="F23" s="42">
        <f t="shared" ref="F23:N23" si="22">F$3*$C12*F12</f>
        <v>1.0807371579303512E-5</v>
      </c>
      <c r="G23" s="42">
        <f t="shared" si="22"/>
        <v>1.4181222303293925E-5</v>
      </c>
      <c r="H23" s="42">
        <f t="shared" si="22"/>
        <v>-1.0619031751805818E-5</v>
      </c>
      <c r="I23" s="42">
        <f t="shared" si="22"/>
        <v>1.4131690661433346E-6</v>
      </c>
      <c r="J23" s="42">
        <f t="shared" si="22"/>
        <v>-1.1736770946929039E-6</v>
      </c>
      <c r="K23" s="42">
        <f t="shared" si="22"/>
        <v>-3.1917987001733284E-6</v>
      </c>
      <c r="L23" s="42">
        <f t="shared" si="22"/>
        <v>1.1730045994353509E-5</v>
      </c>
      <c r="M23" s="42">
        <f t="shared" si="22"/>
        <v>1.1315239499702449E-5</v>
      </c>
      <c r="N23" s="42">
        <f t="shared" si="22"/>
        <v>1.09306769420699E-5</v>
      </c>
      <c r="P23" s="34" t="str">
        <f t="shared" si="16"/>
        <v xml:space="preserve"> FIDELITY US BOND</v>
      </c>
      <c r="Q23" s="45">
        <f t="shared" si="12"/>
        <v>1.0807371579303508E-5</v>
      </c>
      <c r="R23" s="45">
        <f t="shared" si="12"/>
        <v>1.4181222303293924E-5</v>
      </c>
      <c r="S23" s="45">
        <f t="shared" si="12"/>
        <v>-1.0619031751805786E-5</v>
      </c>
      <c r="T23" s="45">
        <f t="shared" si="12"/>
        <v>1.4131690661433401E-6</v>
      </c>
      <c r="U23" s="45">
        <f t="shared" si="12"/>
        <v>-1.1736770946928946E-6</v>
      </c>
      <c r="V23" s="45">
        <f t="shared" si="12"/>
        <v>-3.1917987001733411E-6</v>
      </c>
      <c r="W23" s="45">
        <f t="shared" si="12"/>
        <v>1.1730045994353509E-5</v>
      </c>
      <c r="X23" s="45">
        <f t="shared" si="12"/>
        <v>1.1315239499702449E-5</v>
      </c>
      <c r="Y23" s="45">
        <f t="shared" si="12"/>
        <v>1.09306769420699E-5</v>
      </c>
      <c r="AA23" s="34" t="str">
        <f t="shared" si="13"/>
        <v xml:space="preserve"> FIDELITY US BOND</v>
      </c>
      <c r="AB23" s="50">
        <f t="shared" si="17"/>
        <v>0</v>
      </c>
      <c r="AC23" s="50">
        <f t="shared" si="14"/>
        <v>0</v>
      </c>
      <c r="AD23" s="50">
        <f t="shared" si="14"/>
        <v>0</v>
      </c>
      <c r="AE23" s="50">
        <f t="shared" si="14"/>
        <v>0</v>
      </c>
      <c r="AF23" s="50">
        <f t="shared" si="14"/>
        <v>0</v>
      </c>
      <c r="AG23" s="50">
        <f t="shared" si="14"/>
        <v>0</v>
      </c>
      <c r="AH23" s="50">
        <f t="shared" si="14"/>
        <v>0</v>
      </c>
      <c r="AI23" s="50">
        <f t="shared" si="14"/>
        <v>0</v>
      </c>
      <c r="AJ23" s="50">
        <f t="shared" si="14"/>
        <v>0</v>
      </c>
      <c r="AN23" s="17"/>
      <c r="AO23" s="17"/>
    </row>
    <row r="24" spans="2:41" ht="21.95" customHeight="1">
      <c r="E24" s="37" t="str">
        <f t="shared" si="10"/>
        <v xml:space="preserve"> BLACKROCK</v>
      </c>
      <c r="F24" s="42">
        <f t="shared" ref="F24:N24" si="23">F$3*$C13*F13</f>
        <v>1.1762394208046072E-5</v>
      </c>
      <c r="G24" s="42">
        <f t="shared" si="23"/>
        <v>1.6067476325952023E-5</v>
      </c>
      <c r="H24" s="42">
        <f t="shared" si="23"/>
        <v>-4.7113095463930087E-6</v>
      </c>
      <c r="I24" s="42">
        <f t="shared" si="23"/>
        <v>4.9747299668628382E-6</v>
      </c>
      <c r="J24" s="42">
        <f t="shared" si="23"/>
        <v>2.4595480165385597E-6</v>
      </c>
      <c r="K24" s="42">
        <f t="shared" si="23"/>
        <v>6.8324172505410892E-7</v>
      </c>
      <c r="L24" s="42">
        <f t="shared" si="23"/>
        <v>1.1315239499702449E-5</v>
      </c>
      <c r="M24" s="42">
        <f t="shared" si="23"/>
        <v>1.1985709621275167E-5</v>
      </c>
      <c r="N24" s="42">
        <f t="shared" si="23"/>
        <v>1.0815293856011646E-5</v>
      </c>
      <c r="P24" s="34" t="str">
        <f t="shared" si="16"/>
        <v xml:space="preserve"> BLACKROCK</v>
      </c>
      <c r="Q24" s="45">
        <f t="shared" si="12"/>
        <v>1.1762394208046076E-5</v>
      </c>
      <c r="R24" s="45">
        <f t="shared" si="12"/>
        <v>1.6067476325952023E-5</v>
      </c>
      <c r="S24" s="45">
        <f t="shared" si="12"/>
        <v>-4.7113095463930341E-6</v>
      </c>
      <c r="T24" s="45">
        <f t="shared" si="12"/>
        <v>4.974729966862834E-6</v>
      </c>
      <c r="U24" s="45">
        <f t="shared" si="12"/>
        <v>2.4595480165385605E-6</v>
      </c>
      <c r="V24" s="45">
        <f t="shared" si="12"/>
        <v>6.8324172505409103E-7</v>
      </c>
      <c r="W24" s="45">
        <f t="shared" si="12"/>
        <v>1.1315239499702449E-5</v>
      </c>
      <c r="X24" s="45">
        <f t="shared" si="12"/>
        <v>1.1985709621275166E-5</v>
      </c>
      <c r="Y24" s="45">
        <f t="shared" si="12"/>
        <v>1.0815293856011648E-5</v>
      </c>
      <c r="AA24" s="34" t="str">
        <f t="shared" si="13"/>
        <v xml:space="preserve"> BLACKROCK</v>
      </c>
      <c r="AB24" s="50">
        <f t="shared" si="17"/>
        <v>0</v>
      </c>
      <c r="AC24" s="50">
        <f t="shared" si="14"/>
        <v>0</v>
      </c>
      <c r="AD24" s="50">
        <f t="shared" si="14"/>
        <v>0</v>
      </c>
      <c r="AE24" s="50">
        <f t="shared" si="14"/>
        <v>0</v>
      </c>
      <c r="AF24" s="50">
        <f t="shared" si="14"/>
        <v>0</v>
      </c>
      <c r="AG24" s="50">
        <f t="shared" si="14"/>
        <v>0</v>
      </c>
      <c r="AH24" s="50">
        <f t="shared" si="14"/>
        <v>0</v>
      </c>
      <c r="AI24" s="50">
        <f t="shared" si="14"/>
        <v>0</v>
      </c>
      <c r="AJ24" s="50">
        <f t="shared" si="14"/>
        <v>0</v>
      </c>
      <c r="AN24" s="17"/>
      <c r="AO24" s="17"/>
    </row>
    <row r="25" spans="2:41" ht="21.95" customHeight="1">
      <c r="E25" s="40" t="str">
        <f t="shared" si="10"/>
        <v xml:space="preserve"> BNY MELLON</v>
      </c>
      <c r="F25" s="42">
        <f t="shared" ref="F25:N25" si="24">F$3*$C14*F14</f>
        <v>1.2893332142547374E-5</v>
      </c>
      <c r="G25" s="42">
        <f t="shared" si="24"/>
        <v>1.5480716615333098E-5</v>
      </c>
      <c r="H25" s="42">
        <f t="shared" si="24"/>
        <v>-2.7151959804210077E-6</v>
      </c>
      <c r="I25" s="42">
        <f t="shared" si="24"/>
        <v>3.3945570039260442E-6</v>
      </c>
      <c r="J25" s="42">
        <f t="shared" si="24"/>
        <v>1.2549922611313782E-6</v>
      </c>
      <c r="K25" s="42">
        <f t="shared" si="24"/>
        <v>-4.4301222703144279E-7</v>
      </c>
      <c r="L25" s="42">
        <f t="shared" si="24"/>
        <v>1.09306769420699E-5</v>
      </c>
      <c r="M25" s="42">
        <f t="shared" si="24"/>
        <v>1.0815293856011646E-5</v>
      </c>
      <c r="N25" s="42">
        <f t="shared" si="24"/>
        <v>1.0862146981670447E-5</v>
      </c>
      <c r="P25" s="34" t="str">
        <f t="shared" si="16"/>
        <v xml:space="preserve"> BNY MELLON</v>
      </c>
      <c r="Q25" s="45">
        <f>F$3*$C14*Q14</f>
        <v>1.2893332142547368E-5</v>
      </c>
      <c r="R25" s="45">
        <f t="shared" ref="R25:Y25" si="25">G$3*$C14*R14</f>
        <v>1.5480716615333084E-5</v>
      </c>
      <c r="S25" s="45">
        <f t="shared" si="25"/>
        <v>-2.7151959804209721E-6</v>
      </c>
      <c r="T25" s="45">
        <f t="shared" si="25"/>
        <v>3.3945570039260417E-6</v>
      </c>
      <c r="U25" s="45">
        <f t="shared" si="25"/>
        <v>1.2549922611313825E-6</v>
      </c>
      <c r="V25" s="45">
        <f t="shared" si="25"/>
        <v>-4.4301222703145587E-7</v>
      </c>
      <c r="W25" s="45">
        <f t="shared" si="25"/>
        <v>1.09306769420699E-5</v>
      </c>
      <c r="X25" s="45">
        <f t="shared" si="25"/>
        <v>1.0815293856011648E-5</v>
      </c>
      <c r="Y25" s="45">
        <f t="shared" si="25"/>
        <v>1.0862146981670447E-5</v>
      </c>
      <c r="AA25" s="34" t="str">
        <f t="shared" si="13"/>
        <v xml:space="preserve"> BNY MELLON</v>
      </c>
      <c r="AB25" s="50">
        <f t="shared" si="17"/>
        <v>0</v>
      </c>
      <c r="AC25" s="50">
        <f t="shared" si="14"/>
        <v>0</v>
      </c>
      <c r="AD25" s="50">
        <f t="shared" si="14"/>
        <v>0</v>
      </c>
      <c r="AE25" s="50">
        <f t="shared" si="14"/>
        <v>0</v>
      </c>
      <c r="AF25" s="50">
        <f t="shared" si="14"/>
        <v>0</v>
      </c>
      <c r="AG25" s="50">
        <f t="shared" si="14"/>
        <v>0</v>
      </c>
      <c r="AH25" s="50">
        <f t="shared" si="14"/>
        <v>0</v>
      </c>
      <c r="AI25" s="50">
        <f t="shared" si="14"/>
        <v>0</v>
      </c>
      <c r="AJ25" s="50">
        <f t="shared" si="14"/>
        <v>0</v>
      </c>
    </row>
    <row r="26" spans="2:41" ht="21.95" customHeight="1" thickBot="1">
      <c r="E26" s="35"/>
      <c r="Q26" s="6"/>
      <c r="R26" s="6"/>
      <c r="S26" s="6"/>
      <c r="T26" s="6"/>
      <c r="U26" s="6"/>
      <c r="V26" s="6"/>
      <c r="W26" s="6"/>
      <c r="X26" s="6"/>
      <c r="Y26" s="6"/>
    </row>
    <row r="27" spans="2:41" ht="21.95" customHeight="1" thickBot="1">
      <c r="E27" s="41" t="s">
        <v>22</v>
      </c>
      <c r="P27" s="41" t="s">
        <v>22</v>
      </c>
    </row>
    <row r="28" spans="2:41" ht="21.95" customHeight="1">
      <c r="E28" s="48">
        <f>SQRT(MMULT(F2:N2,MMULT(F17:N25,B6:B14)))</f>
        <v>1.1706813110393293E-2</v>
      </c>
      <c r="P28" s="48">
        <f t="array" ref="P28">SQRT(MMULT(F2:N2,MMULT(Q17:Y25,B6:B14)))</f>
        <v>1.1706813110393293E-2</v>
      </c>
      <c r="R28" s="61"/>
    </row>
    <row r="29" spans="2:41" ht="21.95" customHeight="1" thickBot="1">
      <c r="E29" s="35"/>
    </row>
    <row r="30" spans="2:41" s="8" customFormat="1" ht="21.95" customHeight="1" thickBot="1">
      <c r="B30" s="9"/>
      <c r="C30" s="9"/>
      <c r="D30" s="19"/>
      <c r="E30" s="49" t="s">
        <v>29</v>
      </c>
      <c r="J30" s="9"/>
      <c r="K30" s="9"/>
      <c r="L30" s="9"/>
      <c r="M30" s="9"/>
      <c r="N30" s="9"/>
      <c r="O30" s="19"/>
      <c r="P30" s="6"/>
      <c r="Q30" s="9"/>
      <c r="R30" s="18"/>
      <c r="S30" s="18"/>
      <c r="T30" s="18"/>
      <c r="U30" s="18"/>
      <c r="V30" s="18"/>
      <c r="W30" s="18"/>
      <c r="X30" s="18"/>
      <c r="Y30" s="18"/>
      <c r="Z30" s="19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</row>
    <row r="31" spans="2:41" s="8" customFormat="1" ht="21.95" customHeight="1">
      <c r="B31" s="9"/>
      <c r="C31" s="9"/>
      <c r="D31" s="19"/>
      <c r="E31" s="51">
        <f>(P28-E28)/E28</f>
        <v>0</v>
      </c>
      <c r="J31" s="9"/>
      <c r="K31" s="9"/>
      <c r="L31" s="9"/>
      <c r="M31" s="9"/>
      <c r="N31" s="9"/>
      <c r="O31" s="19"/>
      <c r="P31" s="6"/>
      <c r="Q31" s="9"/>
      <c r="R31" s="18"/>
      <c r="S31" s="18"/>
      <c r="T31" s="18"/>
      <c r="U31" s="18"/>
      <c r="V31" s="18"/>
      <c r="W31" s="18"/>
      <c r="X31" s="18"/>
      <c r="Y31" s="18"/>
      <c r="Z31" s="19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</row>
    <row r="32" spans="2:41" s="8" customFormat="1" ht="21.95" customHeight="1">
      <c r="B32" s="9"/>
      <c r="C32" s="9"/>
      <c r="D32" s="19"/>
      <c r="E32" s="9"/>
      <c r="J32" s="9"/>
      <c r="K32" s="74"/>
      <c r="L32" s="9"/>
      <c r="M32" s="9"/>
      <c r="N32" s="9"/>
      <c r="O32" s="19"/>
      <c r="P32" s="6"/>
      <c r="Q32" s="9"/>
      <c r="R32" s="18"/>
      <c r="S32" s="18"/>
      <c r="T32" s="18"/>
      <c r="U32" s="18"/>
      <c r="V32" s="18"/>
      <c r="W32" s="18"/>
      <c r="X32" s="18"/>
      <c r="Y32" s="18"/>
      <c r="Z32" s="19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</row>
    <row r="33" spans="2:41" s="8" customFormat="1" ht="21.95" customHeight="1">
      <c r="B33" s="9"/>
      <c r="C33" s="9"/>
      <c r="D33" s="19"/>
      <c r="E33" s="9"/>
      <c r="J33" s="9"/>
      <c r="K33" s="74"/>
      <c r="L33" s="9"/>
      <c r="M33" s="9"/>
      <c r="N33" s="9"/>
      <c r="O33" s="19"/>
      <c r="P33" s="6"/>
      <c r="Q33" s="9"/>
      <c r="R33" s="18"/>
      <c r="S33" s="18"/>
      <c r="T33" s="18"/>
      <c r="U33" s="18"/>
      <c r="V33" s="18"/>
      <c r="W33" s="18"/>
      <c r="X33" s="18"/>
      <c r="Y33" s="18"/>
      <c r="Z33" s="19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</row>
    <row r="34" spans="2:41" s="8" customFormat="1" ht="21.95" customHeight="1">
      <c r="B34" s="9"/>
      <c r="C34" s="9"/>
      <c r="D34" s="19"/>
      <c r="E34" s="9"/>
      <c r="J34" s="9"/>
      <c r="K34" s="9"/>
      <c r="L34" s="9"/>
      <c r="M34" s="9"/>
      <c r="N34" s="9"/>
      <c r="O34" s="19"/>
      <c r="P34" s="6"/>
      <c r="Q34" s="9"/>
      <c r="R34" s="18"/>
      <c r="S34" s="18"/>
      <c r="T34" s="18"/>
      <c r="U34" s="18"/>
      <c r="V34" s="18"/>
      <c r="W34" s="18"/>
      <c r="X34" s="18"/>
      <c r="Y34" s="18"/>
      <c r="Z34" s="19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</row>
    <row r="35" spans="2:41" s="8" customFormat="1" ht="21.95" customHeight="1">
      <c r="B35" s="9"/>
      <c r="C35" s="9"/>
      <c r="D35" s="19"/>
      <c r="E35" s="9"/>
      <c r="J35" s="9"/>
      <c r="K35" s="9"/>
      <c r="L35" s="9"/>
      <c r="M35" s="9"/>
      <c r="N35" s="9"/>
      <c r="O35" s="19"/>
      <c r="P35" s="6"/>
      <c r="Q35" s="9"/>
      <c r="R35" s="18"/>
      <c r="S35" s="18"/>
      <c r="T35" s="18"/>
      <c r="U35" s="18"/>
      <c r="V35" s="18"/>
      <c r="W35" s="18"/>
      <c r="X35" s="18"/>
      <c r="Y35" s="18"/>
      <c r="Z35" s="19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</row>
    <row r="36" spans="2:41" s="8" customFormat="1" ht="21.95" customHeight="1">
      <c r="B36" s="9"/>
      <c r="C36" s="9"/>
      <c r="D36" s="19"/>
      <c r="E36" s="9"/>
      <c r="J36" s="9"/>
      <c r="K36" s="9"/>
      <c r="L36" s="9"/>
      <c r="M36" s="9"/>
      <c r="N36" s="9"/>
      <c r="O36" s="19"/>
      <c r="P36" s="6"/>
      <c r="Q36" s="9"/>
      <c r="R36" s="18"/>
      <c r="S36" s="18"/>
      <c r="T36" s="18"/>
      <c r="U36" s="18"/>
      <c r="V36" s="18"/>
      <c r="W36" s="18"/>
      <c r="X36" s="18"/>
      <c r="Y36" s="18"/>
      <c r="Z36" s="19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</row>
    <row r="37" spans="2:41" s="8" customFormat="1" ht="21.95" customHeight="1">
      <c r="B37" s="9"/>
      <c r="C37" s="9"/>
      <c r="D37" s="19"/>
      <c r="E37" s="9"/>
      <c r="J37" s="9"/>
      <c r="K37" s="9"/>
      <c r="L37" s="9"/>
      <c r="M37" s="9"/>
      <c r="N37" s="9"/>
      <c r="O37" s="19"/>
      <c r="P37" s="6"/>
      <c r="Q37" s="9"/>
      <c r="R37" s="18"/>
      <c r="S37" s="18"/>
      <c r="T37" s="18"/>
      <c r="U37" s="18"/>
      <c r="V37" s="18"/>
      <c r="W37" s="18"/>
      <c r="X37" s="18"/>
      <c r="Y37" s="18"/>
      <c r="Z37" s="19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</row>
    <row r="38" spans="2:41" s="8" customFormat="1" ht="21.95" customHeight="1">
      <c r="B38" s="9"/>
      <c r="C38" s="9"/>
      <c r="D38" s="19"/>
      <c r="E38" s="9"/>
      <c r="J38" s="9"/>
      <c r="K38" s="9"/>
      <c r="L38" s="9"/>
      <c r="M38" s="9"/>
      <c r="N38" s="9"/>
      <c r="O38" s="19"/>
      <c r="P38" s="6"/>
      <c r="Q38" s="9"/>
      <c r="R38" s="18"/>
      <c r="S38" s="18"/>
      <c r="T38" s="18"/>
      <c r="U38" s="18"/>
      <c r="V38" s="18"/>
      <c r="W38" s="18"/>
      <c r="X38" s="18"/>
      <c r="Y38" s="18"/>
      <c r="Z38" s="19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</row>
    <row r="39" spans="2:41" s="8" customFormat="1" ht="21.95" customHeight="1">
      <c r="B39" s="9"/>
      <c r="C39" s="9"/>
      <c r="D39" s="19"/>
      <c r="E39" s="9"/>
      <c r="J39" s="9"/>
      <c r="K39" s="9"/>
      <c r="L39" s="9"/>
      <c r="M39" s="9"/>
      <c r="N39" s="9"/>
      <c r="O39" s="19"/>
      <c r="P39" s="6"/>
      <c r="Q39" s="9"/>
      <c r="R39" s="18"/>
      <c r="S39" s="18"/>
      <c r="T39" s="18"/>
      <c r="U39" s="18"/>
      <c r="V39" s="18"/>
      <c r="W39" s="18"/>
      <c r="X39" s="18"/>
      <c r="Y39" s="18"/>
      <c r="Z39" s="19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</row>
    <row r="40" spans="2:41" s="8" customFormat="1" ht="21.95" customHeight="1">
      <c r="B40" s="9"/>
      <c r="C40" s="9"/>
      <c r="D40" s="19"/>
      <c r="E40" s="9"/>
      <c r="J40" s="9"/>
      <c r="K40" s="9"/>
      <c r="L40" s="9"/>
      <c r="M40" s="9"/>
      <c r="N40" s="9"/>
      <c r="O40" s="19"/>
      <c r="P40" s="6"/>
      <c r="Q40" s="9"/>
      <c r="R40" s="18"/>
      <c r="S40" s="18"/>
      <c r="T40" s="18"/>
      <c r="U40" s="18"/>
      <c r="V40" s="18"/>
      <c r="W40" s="18"/>
      <c r="X40" s="18"/>
      <c r="Y40" s="18"/>
      <c r="Z40" s="19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</row>
    <row r="41" spans="2:41" s="8" customFormat="1" ht="21.95" customHeight="1">
      <c r="B41" s="9"/>
      <c r="C41" s="9"/>
      <c r="D41" s="19"/>
      <c r="E41" s="9"/>
      <c r="J41" s="9"/>
      <c r="K41" s="9"/>
      <c r="L41" s="9"/>
      <c r="M41" s="9"/>
      <c r="N41" s="9"/>
      <c r="O41" s="19"/>
      <c r="P41" s="6"/>
      <c r="Q41" s="9"/>
      <c r="R41" s="18"/>
      <c r="S41" s="18"/>
      <c r="T41" s="18"/>
      <c r="U41" s="18"/>
      <c r="V41" s="18"/>
      <c r="W41" s="18"/>
      <c r="X41" s="18"/>
      <c r="Y41" s="18"/>
      <c r="Z41" s="19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</row>
    <row r="42" spans="2:41" s="8" customFormat="1" ht="21.95" customHeight="1">
      <c r="B42" s="9"/>
      <c r="C42" s="9"/>
      <c r="D42" s="19"/>
      <c r="E42" s="9"/>
      <c r="J42" s="9"/>
      <c r="K42" s="9"/>
      <c r="L42" s="9"/>
      <c r="M42" s="9"/>
      <c r="N42" s="9"/>
      <c r="O42" s="19"/>
      <c r="P42" s="6"/>
      <c r="Q42" s="9"/>
      <c r="R42" s="18"/>
      <c r="S42" s="18"/>
      <c r="T42" s="18"/>
      <c r="U42" s="18"/>
      <c r="V42" s="18"/>
      <c r="W42" s="18"/>
      <c r="X42" s="18"/>
      <c r="Y42" s="18"/>
      <c r="Z42" s="19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</row>
    <row r="43" spans="2:41" s="8" customFormat="1" ht="24.95" customHeight="1">
      <c r="B43" s="9"/>
      <c r="C43" s="9"/>
      <c r="D43" s="19"/>
      <c r="E43" s="9"/>
      <c r="J43" s="9"/>
      <c r="K43" s="9"/>
      <c r="L43" s="9"/>
      <c r="M43" s="9"/>
      <c r="N43" s="9"/>
      <c r="O43" s="19"/>
      <c r="P43" s="6"/>
      <c r="Q43" s="9"/>
      <c r="R43" s="18"/>
      <c r="S43" s="18"/>
      <c r="T43" s="18"/>
      <c r="U43" s="18"/>
      <c r="V43" s="18"/>
      <c r="W43" s="18"/>
      <c r="X43" s="18"/>
      <c r="Y43" s="18"/>
      <c r="Z43" s="19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</row>
    <row r="44" spans="2:41" s="8" customFormat="1" ht="24.95" customHeight="1">
      <c r="B44" s="9"/>
      <c r="C44" s="9"/>
      <c r="D44" s="19"/>
      <c r="E44" s="9"/>
      <c r="J44" s="9"/>
      <c r="K44" s="9"/>
      <c r="L44" s="9"/>
      <c r="M44" s="9"/>
      <c r="N44" s="9"/>
      <c r="O44" s="19"/>
      <c r="P44" s="6"/>
      <c r="Q44" s="9"/>
      <c r="R44" s="18"/>
      <c r="S44" s="18"/>
      <c r="T44" s="18"/>
      <c r="U44" s="18"/>
      <c r="V44" s="18"/>
      <c r="W44" s="18"/>
      <c r="X44" s="18"/>
      <c r="Y44" s="18"/>
      <c r="Z44" s="19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</row>
    <row r="45" spans="2:41" s="8" customFormat="1" ht="24.95" customHeight="1">
      <c r="B45" s="9"/>
      <c r="C45" s="9"/>
      <c r="D45" s="19"/>
      <c r="E45" s="9"/>
      <c r="J45" s="9"/>
      <c r="K45" s="9"/>
      <c r="L45" s="9"/>
      <c r="M45" s="9"/>
      <c r="N45" s="9"/>
      <c r="O45" s="19"/>
      <c r="P45" s="6"/>
      <c r="Q45" s="9"/>
      <c r="R45" s="18"/>
      <c r="S45" s="18"/>
      <c r="T45" s="18"/>
      <c r="U45" s="18"/>
      <c r="V45" s="18"/>
      <c r="W45" s="18"/>
      <c r="X45" s="18"/>
      <c r="Y45" s="18"/>
      <c r="Z45" s="19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</row>
    <row r="46" spans="2:41" ht="24.95" customHeight="1"/>
    <row r="47" spans="2:41" ht="24.95" customHeight="1"/>
    <row r="48" spans="2:41" ht="24.95" customHeight="1"/>
    <row r="49" ht="24.95" customHeight="1"/>
    <row r="50" ht="24.95" customHeight="1"/>
    <row r="51" ht="24.95" customHeight="1"/>
    <row r="52" ht="24.95" customHeight="1"/>
    <row r="53" ht="24.95" customHeight="1"/>
    <row r="54" ht="24.95" customHeight="1"/>
    <row r="55" ht="24.95" customHeight="1"/>
    <row r="56" ht="24.95" customHeight="1"/>
    <row r="57" ht="24.95" customHeight="1"/>
    <row r="58" ht="24.95" customHeight="1"/>
    <row r="59" ht="24.95" customHeight="1"/>
    <row r="60" ht="24.95" customHeight="1"/>
  </sheetData>
  <conditionalFormatting sqref="AB17:AJ25">
    <cfRule type="cellIs" dxfId="0" priority="2" stopIfTrue="1" operator="equal">
      <formula>0</formula>
    </cfRule>
  </conditionalFormatting>
  <conditionalFormatting sqref="AH6:AJ11 AG10 AJ13 AI12:AJ12 AF9:AG9 AE8:AG8 AD7:AG7 AC6:AG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pageSetup paperSize="9" scale="74" orientation="landscape" horizontalDpi="4294967293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63"/>
  <sheetViews>
    <sheetView topLeftCell="A52" workbookViewId="0">
      <selection activeCell="B56" sqref="B56"/>
    </sheetView>
  </sheetViews>
  <sheetFormatPr defaultRowHeight="12.75"/>
  <cols>
    <col min="1" max="1" width="22.5703125" customWidth="1"/>
    <col min="2" max="3" width="11.140625" bestFit="1" customWidth="1"/>
    <col min="4" max="4" width="14.42578125" customWidth="1"/>
    <col min="5" max="5" width="11.140625" bestFit="1" customWidth="1"/>
    <col min="6" max="6" width="9.7109375" customWidth="1"/>
    <col min="7" max="7" width="12.7109375" customWidth="1"/>
    <col min="8" max="8" width="18.5703125" customWidth="1"/>
    <col min="9" max="9" width="15.140625" customWidth="1"/>
    <col min="10" max="10" width="14.42578125" customWidth="1"/>
  </cols>
  <sheetData>
    <row r="1" spans="1:22">
      <c r="A1" s="53"/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</row>
    <row r="2" spans="1:22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</row>
    <row r="3" spans="1:22">
      <c r="A3" s="53"/>
      <c r="D3" t="s">
        <v>30</v>
      </c>
      <c r="K3" s="53"/>
      <c r="M3" t="s">
        <v>31</v>
      </c>
      <c r="U3" s="53"/>
      <c r="V3" s="53"/>
    </row>
    <row r="4" spans="1:22">
      <c r="A4" s="53"/>
      <c r="K4" s="53"/>
      <c r="U4" s="53"/>
      <c r="V4" s="53"/>
    </row>
    <row r="5" spans="1:22">
      <c r="A5" s="53"/>
      <c r="K5" s="53"/>
      <c r="U5" s="53"/>
      <c r="V5" s="53"/>
    </row>
    <row r="6" spans="1:22">
      <c r="A6" s="53"/>
      <c r="B6">
        <v>-2.5000000000000001E-3</v>
      </c>
      <c r="C6">
        <v>0.59650000000000003</v>
      </c>
      <c r="D6">
        <v>0.18340000000000001</v>
      </c>
      <c r="E6">
        <v>-0.16</v>
      </c>
      <c r="F6">
        <v>-4.0399999999999998E-2</v>
      </c>
      <c r="G6">
        <v>-0.68320000000000003</v>
      </c>
      <c r="H6">
        <v>-0.20749999999999999</v>
      </c>
      <c r="I6">
        <v>-0.26229999999999998</v>
      </c>
      <c r="J6">
        <v>6.8599999999999994E-2</v>
      </c>
      <c r="K6" s="53"/>
      <c r="L6">
        <v>1.7471000000000001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s="53"/>
      <c r="V6" s="53"/>
    </row>
    <row r="7" spans="1:22">
      <c r="A7" s="53"/>
      <c r="B7">
        <v>7.5899999999999995E-2</v>
      </c>
      <c r="C7">
        <v>0.60809999999999997</v>
      </c>
      <c r="D7">
        <v>0.16209999999999999</v>
      </c>
      <c r="E7">
        <v>-0.1225</v>
      </c>
      <c r="F7">
        <v>-3.0499999999999999E-2</v>
      </c>
      <c r="G7">
        <v>0.65839999999999999</v>
      </c>
      <c r="H7">
        <v>0.22450000000000001</v>
      </c>
      <c r="I7">
        <v>-0.31309999999999999</v>
      </c>
      <c r="J7">
        <v>1.7399999999999999E-2</v>
      </c>
      <c r="K7" s="53"/>
      <c r="L7">
        <v>0</v>
      </c>
      <c r="M7">
        <v>1.5094000000000001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s="53"/>
      <c r="V7" s="53"/>
    </row>
    <row r="8" spans="1:22">
      <c r="A8" s="53"/>
      <c r="B8">
        <v>4.5100000000000001E-2</v>
      </c>
      <c r="C8">
        <v>9.9500000000000005E-2</v>
      </c>
      <c r="D8">
        <v>-5.67E-2</v>
      </c>
      <c r="E8">
        <v>0.1515</v>
      </c>
      <c r="F8">
        <v>0.97370000000000001</v>
      </c>
      <c r="G8">
        <v>-4.9200000000000001E-2</v>
      </c>
      <c r="H8">
        <v>9.7000000000000003E-2</v>
      </c>
      <c r="I8">
        <v>-1.5699999999999999E-2</v>
      </c>
      <c r="J8">
        <v>-4.19E-2</v>
      </c>
      <c r="K8" s="53"/>
      <c r="L8">
        <v>0</v>
      </c>
      <c r="M8">
        <v>0</v>
      </c>
      <c r="N8">
        <v>1.41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s="53"/>
      <c r="V8" s="53"/>
    </row>
    <row r="9" spans="1:22">
      <c r="A9" s="53"/>
      <c r="B9">
        <v>0.29389999999999999</v>
      </c>
      <c r="C9">
        <v>0.253</v>
      </c>
      <c r="D9">
        <v>-0.37880000000000003</v>
      </c>
      <c r="E9">
        <v>0.57820000000000005</v>
      </c>
      <c r="F9">
        <v>-0.1799</v>
      </c>
      <c r="G9">
        <v>-6.3500000000000001E-2</v>
      </c>
      <c r="H9">
        <v>2.8E-3</v>
      </c>
      <c r="I9">
        <v>-5.7999999999999996E-3</v>
      </c>
      <c r="J9">
        <v>-0.57909999999999995</v>
      </c>
      <c r="K9" s="53"/>
      <c r="L9">
        <v>0</v>
      </c>
      <c r="M9">
        <v>0</v>
      </c>
      <c r="N9">
        <v>0</v>
      </c>
      <c r="O9">
        <v>1.3622000000000001</v>
      </c>
      <c r="P9">
        <v>0</v>
      </c>
      <c r="Q9">
        <v>0</v>
      </c>
      <c r="R9">
        <v>0</v>
      </c>
      <c r="S9">
        <v>0</v>
      </c>
      <c r="T9">
        <v>0</v>
      </c>
      <c r="U9" s="53"/>
      <c r="V9" s="53"/>
    </row>
    <row r="10" spans="1:22">
      <c r="A10" s="53"/>
      <c r="B10">
        <v>7.7700000000000005E-2</v>
      </c>
      <c r="C10">
        <v>0.24959999999999999</v>
      </c>
      <c r="D10">
        <v>-0.73529999999999995</v>
      </c>
      <c r="E10">
        <v>-0.12</v>
      </c>
      <c r="F10">
        <v>4.4000000000000003E-3</v>
      </c>
      <c r="G10">
        <v>0.1018</v>
      </c>
      <c r="H10">
        <v>-0.2797</v>
      </c>
      <c r="I10">
        <v>0.2104</v>
      </c>
      <c r="J10">
        <v>0.49359999999999998</v>
      </c>
      <c r="K10" s="53"/>
      <c r="L10">
        <v>0</v>
      </c>
      <c r="M10">
        <v>0</v>
      </c>
      <c r="N10">
        <v>0</v>
      </c>
      <c r="O10">
        <v>0</v>
      </c>
      <c r="P10">
        <v>0.98660000000000003</v>
      </c>
      <c r="Q10">
        <v>0</v>
      </c>
      <c r="R10">
        <v>0</v>
      </c>
      <c r="S10">
        <v>0</v>
      </c>
      <c r="T10">
        <v>0</v>
      </c>
      <c r="U10" s="53"/>
      <c r="V10" s="53"/>
    </row>
    <row r="11" spans="1:22">
      <c r="A11" s="53"/>
      <c r="B11">
        <v>0.10780000000000001</v>
      </c>
      <c r="C11">
        <v>9.4600000000000004E-2</v>
      </c>
      <c r="D11">
        <v>0.43120000000000003</v>
      </c>
      <c r="E11">
        <v>0.66239999999999999</v>
      </c>
      <c r="F11">
        <v>-3.6299999999999999E-2</v>
      </c>
      <c r="G11">
        <v>9.7000000000000003E-2</v>
      </c>
      <c r="H11">
        <v>-0.27810000000000001</v>
      </c>
      <c r="I11">
        <v>0.2084</v>
      </c>
      <c r="J11">
        <v>0.47249999999999998</v>
      </c>
      <c r="K11" s="53"/>
      <c r="L11">
        <v>0</v>
      </c>
      <c r="M11">
        <v>0</v>
      </c>
      <c r="N11">
        <v>0</v>
      </c>
      <c r="O11">
        <v>0</v>
      </c>
      <c r="P11">
        <v>0</v>
      </c>
      <c r="Q11">
        <v>0.47010000000000002</v>
      </c>
      <c r="R11">
        <v>0</v>
      </c>
      <c r="S11">
        <v>0</v>
      </c>
      <c r="T11">
        <v>0</v>
      </c>
      <c r="U11" s="53"/>
      <c r="V11" s="53"/>
    </row>
    <row r="12" spans="1:22">
      <c r="A12" s="53"/>
      <c r="B12">
        <v>-0.51580000000000004</v>
      </c>
      <c r="C12">
        <v>0.25459999999999999</v>
      </c>
      <c r="D12">
        <v>-7.4200000000000002E-2</v>
      </c>
      <c r="E12">
        <v>0.1779</v>
      </c>
      <c r="F12">
        <v>-9.6000000000000002E-2</v>
      </c>
      <c r="G12">
        <v>-0.16800000000000001</v>
      </c>
      <c r="H12">
        <v>0.65239999999999998</v>
      </c>
      <c r="I12">
        <v>0.3921</v>
      </c>
      <c r="J12">
        <v>0.1232</v>
      </c>
      <c r="K12" s="53"/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0.28649999999999998</v>
      </c>
      <c r="S12">
        <v>0</v>
      </c>
      <c r="T12">
        <v>0</v>
      </c>
      <c r="U12" s="53"/>
      <c r="V12" s="53"/>
    </row>
    <row r="13" spans="1:22">
      <c r="A13" s="53"/>
      <c r="B13">
        <v>-0.58699999999999997</v>
      </c>
      <c r="C13">
        <v>0.18909999999999999</v>
      </c>
      <c r="D13">
        <v>8.2500000000000004E-2</v>
      </c>
      <c r="E13">
        <v>-6.6299999999999998E-2</v>
      </c>
      <c r="F13">
        <v>7.7499999999999999E-2</v>
      </c>
      <c r="G13">
        <v>0.21160000000000001</v>
      </c>
      <c r="H13">
        <v>-0.55730000000000002</v>
      </c>
      <c r="I13">
        <v>0.30980000000000002</v>
      </c>
      <c r="J13">
        <v>-0.3886</v>
      </c>
      <c r="K13" s="53"/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s="53"/>
      <c r="V13" s="53"/>
    </row>
    <row r="14" spans="1:22">
      <c r="A14" s="53"/>
      <c r="B14">
        <v>-0.52680000000000005</v>
      </c>
      <c r="C14">
        <v>-0.16930000000000001</v>
      </c>
      <c r="D14">
        <v>-0.23319999999999999</v>
      </c>
      <c r="E14">
        <v>0.33610000000000001</v>
      </c>
      <c r="F14">
        <v>-2.0400000000000001E-2</v>
      </c>
      <c r="G14">
        <v>2.1999999999999999E-2</v>
      </c>
      <c r="H14">
        <v>-7.2599999999999998E-2</v>
      </c>
      <c r="I14">
        <v>-0.70389999999999997</v>
      </c>
      <c r="J14">
        <v>0.15740000000000001</v>
      </c>
      <c r="K14" s="53"/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s="53"/>
      <c r="V14" s="53"/>
    </row>
    <row r="15" spans="1:22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</row>
    <row r="16" spans="1:22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</row>
    <row r="17" spans="1:22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</row>
    <row r="18" spans="1:22">
      <c r="A18" s="53"/>
      <c r="D18" t="s">
        <v>32</v>
      </c>
      <c r="K18" s="53"/>
      <c r="O18" t="s">
        <v>33</v>
      </c>
      <c r="U18" s="53"/>
      <c r="V18" s="53"/>
    </row>
    <row r="19" spans="1:22">
      <c r="A19" s="53"/>
      <c r="B19">
        <f t="array" ref="B19:J27">MMULT(B6:J14,L6:T14)</f>
        <v>-4.3677500000000001E-3</v>
      </c>
      <c r="C19">
        <v>0.90035710000000013</v>
      </c>
      <c r="D19">
        <v>0.25859399999999999</v>
      </c>
      <c r="E19">
        <v>-0.21795200000000001</v>
      </c>
      <c r="F19">
        <v>-3.9858640000000001E-2</v>
      </c>
      <c r="G19">
        <v>-0.32117232000000001</v>
      </c>
      <c r="H19">
        <v>-5.9448749999999995E-2</v>
      </c>
      <c r="I19">
        <v>0</v>
      </c>
      <c r="J19">
        <v>0</v>
      </c>
      <c r="K19" s="53"/>
      <c r="L19">
        <f t="array" ref="L19:T27">TRANSPOSE(B19:J27)</f>
        <v>-4.3677500000000001E-3</v>
      </c>
      <c r="M19">
        <v>0.13260489</v>
      </c>
      <c r="N19">
        <v>7.8794210000000003E-2</v>
      </c>
      <c r="O19">
        <v>0.51347269000000006</v>
      </c>
      <c r="P19">
        <v>0.13574967000000002</v>
      </c>
      <c r="Q19">
        <v>0.18833738000000003</v>
      </c>
      <c r="R19">
        <v>-0.90115418000000014</v>
      </c>
      <c r="S19">
        <v>-1.0255477</v>
      </c>
      <c r="T19">
        <v>-0.92037228000000015</v>
      </c>
      <c r="U19" s="53"/>
      <c r="V19" s="53"/>
    </row>
    <row r="20" spans="1:22">
      <c r="A20" s="53"/>
      <c r="B20">
        <v>0.13260489</v>
      </c>
      <c r="C20">
        <v>0.91786614</v>
      </c>
      <c r="D20">
        <v>0.22856099999999999</v>
      </c>
      <c r="E20">
        <v>-0.1668695</v>
      </c>
      <c r="F20">
        <v>-3.0091300000000001E-2</v>
      </c>
      <c r="G20">
        <v>0.30951383999999998</v>
      </c>
      <c r="H20">
        <v>6.4319249999999994E-2</v>
      </c>
      <c r="I20">
        <v>0</v>
      </c>
      <c r="J20">
        <v>0</v>
      </c>
      <c r="K20" s="53"/>
      <c r="L20">
        <v>0.90035710000000013</v>
      </c>
      <c r="M20">
        <v>0.91786614</v>
      </c>
      <c r="N20">
        <v>0.15018530000000002</v>
      </c>
      <c r="O20">
        <v>0.3818782</v>
      </c>
      <c r="P20">
        <v>0.37674624000000001</v>
      </c>
      <c r="Q20">
        <v>0.14278924000000001</v>
      </c>
      <c r="R20">
        <v>0.38429324000000004</v>
      </c>
      <c r="S20">
        <v>0.28542753999999998</v>
      </c>
      <c r="T20">
        <v>-0.25554142000000002</v>
      </c>
      <c r="U20" s="53"/>
      <c r="V20" s="53"/>
    </row>
    <row r="21" spans="1:22">
      <c r="A21" s="53"/>
      <c r="B21">
        <v>7.8794210000000003E-2</v>
      </c>
      <c r="C21">
        <v>0.15018530000000002</v>
      </c>
      <c r="D21">
        <v>-7.994699999999999E-2</v>
      </c>
      <c r="E21">
        <v>0.20637330000000001</v>
      </c>
      <c r="F21">
        <v>0.96065242000000006</v>
      </c>
      <c r="G21">
        <v>-2.3128920000000001E-2</v>
      </c>
      <c r="H21">
        <v>2.7790499999999999E-2</v>
      </c>
      <c r="I21">
        <v>0</v>
      </c>
      <c r="J21">
        <v>0</v>
      </c>
      <c r="K21" s="53"/>
      <c r="L21">
        <v>0.25859399999999999</v>
      </c>
      <c r="M21">
        <v>0.22856099999999999</v>
      </c>
      <c r="N21">
        <v>-7.994699999999999E-2</v>
      </c>
      <c r="O21">
        <v>-0.53410800000000003</v>
      </c>
      <c r="P21">
        <v>-1.0367729999999999</v>
      </c>
      <c r="Q21">
        <v>0.60799199999999998</v>
      </c>
      <c r="R21">
        <v>-0.10462199999999999</v>
      </c>
      <c r="S21">
        <v>0.116325</v>
      </c>
      <c r="T21">
        <v>-0.32881199999999999</v>
      </c>
      <c r="U21" s="53"/>
      <c r="V21" s="53"/>
    </row>
    <row r="22" spans="1:22">
      <c r="A22" s="53"/>
      <c r="B22">
        <v>0.51347269000000006</v>
      </c>
      <c r="C22">
        <v>0.3818782</v>
      </c>
      <c r="D22">
        <v>-0.53410800000000003</v>
      </c>
      <c r="E22">
        <v>0.78762404000000008</v>
      </c>
      <c r="F22">
        <v>-0.17748934000000002</v>
      </c>
      <c r="G22">
        <v>-2.9851350000000002E-2</v>
      </c>
      <c r="H22">
        <v>8.0219999999999987E-4</v>
      </c>
      <c r="I22">
        <v>0</v>
      </c>
      <c r="J22">
        <v>0</v>
      </c>
      <c r="K22" s="53"/>
      <c r="L22">
        <v>-0.21795200000000001</v>
      </c>
      <c r="M22">
        <v>-0.1668695</v>
      </c>
      <c r="N22">
        <v>0.20637330000000001</v>
      </c>
      <c r="O22">
        <v>0.78762404000000008</v>
      </c>
      <c r="P22">
        <v>-0.163464</v>
      </c>
      <c r="Q22">
        <v>0.90232128</v>
      </c>
      <c r="R22">
        <v>0.24233538000000002</v>
      </c>
      <c r="S22">
        <v>-9.0313859999999996E-2</v>
      </c>
      <c r="T22">
        <v>0.45783542000000005</v>
      </c>
      <c r="U22" s="53"/>
      <c r="V22" s="53"/>
    </row>
    <row r="23" spans="1:22">
      <c r="A23" s="53"/>
      <c r="B23">
        <v>0.13574967000000002</v>
      </c>
      <c r="C23">
        <v>0.37674624000000001</v>
      </c>
      <c r="D23">
        <v>-1.0367729999999999</v>
      </c>
      <c r="E23">
        <v>-0.163464</v>
      </c>
      <c r="F23">
        <v>4.34104E-3</v>
      </c>
      <c r="G23">
        <v>4.7856180000000005E-2</v>
      </c>
      <c r="H23">
        <v>-8.0134049999999998E-2</v>
      </c>
      <c r="I23">
        <v>0</v>
      </c>
      <c r="J23">
        <v>0</v>
      </c>
      <c r="K23" s="53"/>
      <c r="L23">
        <v>-3.9858640000000001E-2</v>
      </c>
      <c r="M23">
        <v>-3.0091300000000001E-2</v>
      </c>
      <c r="N23">
        <v>0.96065242000000006</v>
      </c>
      <c r="O23">
        <v>-0.17748934000000002</v>
      </c>
      <c r="P23">
        <v>4.34104E-3</v>
      </c>
      <c r="Q23">
        <v>-3.5813579999999998E-2</v>
      </c>
      <c r="R23">
        <v>-9.4713600000000009E-2</v>
      </c>
      <c r="S23">
        <v>7.6461500000000002E-2</v>
      </c>
      <c r="T23">
        <v>-2.0126640000000001E-2</v>
      </c>
      <c r="U23" s="53"/>
      <c r="V23" s="53"/>
    </row>
    <row r="24" spans="1:22">
      <c r="A24" s="53"/>
      <c r="B24">
        <v>0.18833738000000003</v>
      </c>
      <c r="C24">
        <v>0.14278924000000001</v>
      </c>
      <c r="D24">
        <v>0.60799199999999998</v>
      </c>
      <c r="E24">
        <v>0.90232128</v>
      </c>
      <c r="F24">
        <v>-3.5813579999999998E-2</v>
      </c>
      <c r="G24">
        <v>4.55997E-2</v>
      </c>
      <c r="H24">
        <v>-7.9675650000000001E-2</v>
      </c>
      <c r="I24">
        <v>0</v>
      </c>
      <c r="J24">
        <v>0</v>
      </c>
      <c r="K24" s="53"/>
      <c r="L24">
        <v>-0.32117232000000001</v>
      </c>
      <c r="M24">
        <v>0.30951383999999998</v>
      </c>
      <c r="N24">
        <v>-2.3128920000000001E-2</v>
      </c>
      <c r="O24">
        <v>-2.9851350000000002E-2</v>
      </c>
      <c r="P24">
        <v>4.7856180000000005E-2</v>
      </c>
      <c r="Q24">
        <v>4.55997E-2</v>
      </c>
      <c r="R24">
        <v>-7.8976800000000014E-2</v>
      </c>
      <c r="S24">
        <v>9.9473160000000005E-2</v>
      </c>
      <c r="T24">
        <v>1.0342199999999999E-2</v>
      </c>
      <c r="U24" s="53"/>
      <c r="V24" s="53"/>
    </row>
    <row r="25" spans="1:22">
      <c r="A25" s="53"/>
      <c r="B25">
        <v>-0.90115418000000014</v>
      </c>
      <c r="C25">
        <v>0.38429324000000004</v>
      </c>
      <c r="D25">
        <v>-0.10462199999999999</v>
      </c>
      <c r="E25">
        <v>0.24233538000000002</v>
      </c>
      <c r="F25">
        <v>-9.4713600000000009E-2</v>
      </c>
      <c r="G25">
        <v>-7.8976800000000014E-2</v>
      </c>
      <c r="H25">
        <v>0.18691259999999998</v>
      </c>
      <c r="I25">
        <v>0</v>
      </c>
      <c r="J25">
        <v>0</v>
      </c>
      <c r="K25" s="53"/>
      <c r="L25">
        <v>-5.9448749999999995E-2</v>
      </c>
      <c r="M25">
        <v>6.4319249999999994E-2</v>
      </c>
      <c r="N25">
        <v>2.7790499999999999E-2</v>
      </c>
      <c r="O25">
        <v>8.0219999999999987E-4</v>
      </c>
      <c r="P25">
        <v>-8.0134049999999998E-2</v>
      </c>
      <c r="Q25">
        <v>-7.9675650000000001E-2</v>
      </c>
      <c r="R25">
        <v>0.18691259999999998</v>
      </c>
      <c r="S25">
        <v>-0.15966644999999999</v>
      </c>
      <c r="T25">
        <v>-2.0799899999999996E-2</v>
      </c>
      <c r="U25" s="53"/>
      <c r="V25" s="53"/>
    </row>
    <row r="26" spans="1:22">
      <c r="A26" s="53"/>
      <c r="B26">
        <v>-1.0255477</v>
      </c>
      <c r="C26">
        <v>0.28542753999999998</v>
      </c>
      <c r="D26">
        <v>0.116325</v>
      </c>
      <c r="E26">
        <v>-9.0313859999999996E-2</v>
      </c>
      <c r="F26">
        <v>7.6461500000000002E-2</v>
      </c>
      <c r="G26">
        <v>9.9473160000000005E-2</v>
      </c>
      <c r="H26">
        <v>-0.15966644999999999</v>
      </c>
      <c r="I26">
        <v>0</v>
      </c>
      <c r="J26">
        <v>0</v>
      </c>
      <c r="K26" s="53"/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 s="53"/>
      <c r="V26" s="53"/>
    </row>
    <row r="27" spans="1:22">
      <c r="A27" s="53"/>
      <c r="B27">
        <v>-0.92037228000000015</v>
      </c>
      <c r="C27">
        <v>-0.25554142000000002</v>
      </c>
      <c r="D27">
        <v>-0.32881199999999999</v>
      </c>
      <c r="E27">
        <v>0.45783542000000005</v>
      </c>
      <c r="F27">
        <v>-2.0126640000000001E-2</v>
      </c>
      <c r="G27">
        <v>1.0342199999999999E-2</v>
      </c>
      <c r="H27">
        <v>-2.0799899999999996E-2</v>
      </c>
      <c r="I27">
        <v>0</v>
      </c>
      <c r="J27">
        <v>0</v>
      </c>
      <c r="K27" s="53"/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 s="53"/>
      <c r="V27" s="53"/>
    </row>
    <row r="28" spans="1:22">
      <c r="A28" s="53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</row>
    <row r="29" spans="1:22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</row>
    <row r="30" spans="1:22">
      <c r="A30" s="53"/>
      <c r="D30" t="s">
        <v>34</v>
      </c>
      <c r="K30" s="53"/>
    </row>
    <row r="31" spans="1:22">
      <c r="A31" s="53"/>
      <c r="B31">
        <f t="array" ref="B31:J39">MMULT(B19:J27,L19:T27)</f>
        <v>1.0333104400938673</v>
      </c>
      <c r="C31">
        <v>0.81927057670378234</v>
      </c>
      <c r="D31">
        <v>3.6708919195013144E-2</v>
      </c>
      <c r="E31">
        <v>4.8416890699672137E-2</v>
      </c>
      <c r="F31">
        <v>9.5358020824575798E-2</v>
      </c>
      <c r="G31">
        <v>7.9817788025513675E-2</v>
      </c>
      <c r="H31">
        <v>0.28809365801436909</v>
      </c>
      <c r="I31">
        <v>0.28572737549807525</v>
      </c>
      <c r="J31">
        <v>-0.41215641141756149</v>
      </c>
      <c r="K31" s="53"/>
    </row>
    <row r="32" spans="1:22">
      <c r="A32" s="53"/>
      <c r="B32">
        <v>0.81927057670378234</v>
      </c>
      <c r="C32">
        <v>1.0409891379694598</v>
      </c>
      <c r="D32">
        <v>6.1309786601005119E-2</v>
      </c>
      <c r="E32">
        <v>0.16124844654023013</v>
      </c>
      <c r="F32">
        <v>0.16364232992831665</v>
      </c>
      <c r="G32">
        <v>0.15449596216760131</v>
      </c>
      <c r="H32">
        <v>0.15930913024036139</v>
      </c>
      <c r="I32">
        <v>0.18586748890693444</v>
      </c>
      <c r="J32">
        <v>-0.50568219205345299</v>
      </c>
      <c r="K32" s="53"/>
    </row>
    <row r="33" spans="1:11">
      <c r="A33" s="53"/>
      <c r="B33">
        <v>3.6708919195013144E-2</v>
      </c>
      <c r="C33">
        <v>6.1309786601005119E-2</v>
      </c>
      <c r="D33">
        <v>1.0019059445099772</v>
      </c>
      <c r="E33">
        <v>0.13326323059565606</v>
      </c>
      <c r="F33">
        <v>0.11726672450954889</v>
      </c>
      <c r="G33">
        <v>0.13621932344605323</v>
      </c>
      <c r="H33">
        <v>-3.8880575400127806E-2</v>
      </c>
      <c r="I33">
        <v>8.3660355872481468E-4</v>
      </c>
      <c r="J33">
        <v>-1.027798104718161E-2</v>
      </c>
      <c r="K33" s="53"/>
    </row>
    <row r="34" spans="1:11">
      <c r="A34" s="53"/>
      <c r="B34">
        <v>4.8416890699672137E-2</v>
      </c>
      <c r="C34">
        <v>0.16124844654023013</v>
      </c>
      <c r="D34">
        <v>0.13326323059565606</v>
      </c>
      <c r="E34">
        <v>1.3475023594962963</v>
      </c>
      <c r="F34">
        <v>0.63631215818065368</v>
      </c>
      <c r="G34">
        <v>0.54212214014850379</v>
      </c>
      <c r="H34">
        <v>-4.9898072200017032E-2</v>
      </c>
      <c r="I34">
        <v>-0.56752425512924543</v>
      </c>
      <c r="J34">
        <v>-3.0701575318312864E-2</v>
      </c>
      <c r="K34" s="53"/>
    </row>
    <row r="35" spans="1:11">
      <c r="A35" s="53"/>
      <c r="B35">
        <v>9.5358020824575798E-2</v>
      </c>
      <c r="C35">
        <v>0.16364232992831665</v>
      </c>
      <c r="D35">
        <v>0.11726672450954889</v>
      </c>
      <c r="E35">
        <v>0.63631215818065368</v>
      </c>
      <c r="F35">
        <v>1.2707149596461231</v>
      </c>
      <c r="G35">
        <v>-0.69007319727509242</v>
      </c>
      <c r="H35">
        <v>7.2137057806178961E-2</v>
      </c>
      <c r="I35">
        <v>-0.11963651660305813</v>
      </c>
      <c r="J35">
        <v>4.692364000679692E-2</v>
      </c>
      <c r="K35" s="53"/>
    </row>
    <row r="36" spans="1:11">
      <c r="A36" s="53"/>
      <c r="B36">
        <v>7.9817788025513675E-2</v>
      </c>
      <c r="C36">
        <v>0.15449596216760131</v>
      </c>
      <c r="D36">
        <v>0.13621932344605323</v>
      </c>
      <c r="E36">
        <v>0.54212214014850379</v>
      </c>
      <c r="F36">
        <v>-0.69007319727509242</v>
      </c>
      <c r="G36">
        <v>1.2494078545253093</v>
      </c>
      <c r="H36">
        <v>2.5105285491913619E-2</v>
      </c>
      <c r="I36">
        <v>-0.14864131933447275</v>
      </c>
      <c r="J36">
        <v>6.220161511136608E-3</v>
      </c>
      <c r="K36" s="53"/>
    </row>
    <row r="37" spans="1:11">
      <c r="A37" s="53"/>
      <c r="B37">
        <v>0.28809365801436909</v>
      </c>
      <c r="C37">
        <v>0.15930913024036139</v>
      </c>
      <c r="D37">
        <v>-3.8880575400127806E-2</v>
      </c>
      <c r="E37">
        <v>-4.9898072200017032E-2</v>
      </c>
      <c r="F37">
        <v>7.2137057806178961E-2</v>
      </c>
      <c r="G37">
        <v>2.5105285491913619E-2</v>
      </c>
      <c r="H37">
        <v>1.0795766707268748</v>
      </c>
      <c r="I37">
        <v>0.95486638595249107</v>
      </c>
      <c r="J37">
        <v>0.87374688585989357</v>
      </c>
      <c r="K37" s="53"/>
    </row>
    <row r="38" spans="1:11">
      <c r="A38" s="53"/>
      <c r="B38">
        <v>0.28572737549807525</v>
      </c>
      <c r="C38">
        <v>0.18586748890693444</v>
      </c>
      <c r="D38">
        <v>8.3660355872481468E-4</v>
      </c>
      <c r="E38">
        <v>-0.56752425512924543</v>
      </c>
      <c r="F38">
        <v>-0.11963651660305813</v>
      </c>
      <c r="G38">
        <v>-0.14864131933447275</v>
      </c>
      <c r="H38">
        <v>0.95486638595249107</v>
      </c>
      <c r="I38">
        <v>1.1961397102970792</v>
      </c>
      <c r="J38">
        <v>0.79416008051847498</v>
      </c>
      <c r="K38" s="53"/>
    </row>
    <row r="39" spans="1:11">
      <c r="A39" s="53"/>
      <c r="B39">
        <v>-0.41215641141756149</v>
      </c>
      <c r="C39">
        <v>-0.50568219205345299</v>
      </c>
      <c r="D39">
        <v>-1.027798104718161E-2</v>
      </c>
      <c r="E39">
        <v>-3.0701575318312864E-2</v>
      </c>
      <c r="F39">
        <v>4.692364000679692E-2</v>
      </c>
      <c r="G39">
        <v>6.220161511136608E-3</v>
      </c>
      <c r="H39">
        <v>0.87374688585989357</v>
      </c>
      <c r="I39">
        <v>0.79416008051847498</v>
      </c>
      <c r="J39">
        <v>1.2310618328571312</v>
      </c>
      <c r="K39" s="53"/>
    </row>
    <row r="40" spans="1:11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</row>
    <row r="41" spans="1:11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</row>
    <row r="42" spans="1:11">
      <c r="A42" s="53"/>
      <c r="D42" t="s">
        <v>35</v>
      </c>
      <c r="K42" s="53"/>
    </row>
    <row r="43" spans="1:11">
      <c r="A43" s="53"/>
      <c r="B43">
        <v>1</v>
      </c>
      <c r="C43">
        <f t="array" ref="C43:J43">TRANSPOSE(B44:B51)</f>
        <v>0.81927057670378234</v>
      </c>
      <c r="D43">
        <v>3.6708919195013144E-2</v>
      </c>
      <c r="E43">
        <v>4.8416890699672137E-2</v>
      </c>
      <c r="F43">
        <v>9.5358020824575798E-2</v>
      </c>
      <c r="G43">
        <v>7.9817788025513675E-2</v>
      </c>
      <c r="H43">
        <v>0.28809365801436909</v>
      </c>
      <c r="I43">
        <v>0.28572737549807525</v>
      </c>
      <c r="J43">
        <v>-0.41215641141756149</v>
      </c>
      <c r="K43" s="53"/>
    </row>
    <row r="44" spans="1:11">
      <c r="A44" s="53"/>
      <c r="B44">
        <f t="array" ref="B44:B51">TRANSPOSE(C31:J31)</f>
        <v>0.81927057670378234</v>
      </c>
      <c r="C44">
        <v>1</v>
      </c>
      <c r="D44">
        <f t="array" ref="D44:J44">TRANSPOSE(C45:C51)</f>
        <v>6.1309786601005119E-2</v>
      </c>
      <c r="E44">
        <v>0.16124844654023013</v>
      </c>
      <c r="F44">
        <v>0.16364232992831665</v>
      </c>
      <c r="G44">
        <v>0.15449596216760131</v>
      </c>
      <c r="H44">
        <v>0.15930913024036139</v>
      </c>
      <c r="I44">
        <v>0.18586748890693444</v>
      </c>
      <c r="J44">
        <v>-0.50568219205345299</v>
      </c>
      <c r="K44" s="53"/>
    </row>
    <row r="45" spans="1:11">
      <c r="A45" s="53"/>
      <c r="B45">
        <v>3.6708919195013144E-2</v>
      </c>
      <c r="C45">
        <f t="array" ref="C45:C51">TRANSPOSE(D32:J32)</f>
        <v>6.1309786601005119E-2</v>
      </c>
      <c r="D45">
        <v>1</v>
      </c>
      <c r="E45">
        <f t="array" ref="E45:J45">TRANSPOSE(D46:D51)</f>
        <v>0.13326323059565606</v>
      </c>
      <c r="F45">
        <v>0.11726672450954889</v>
      </c>
      <c r="G45">
        <v>0.13621932344605323</v>
      </c>
      <c r="H45">
        <v>-3.8880575400127806E-2</v>
      </c>
      <c r="I45">
        <v>8.3660355872481468E-4</v>
      </c>
      <c r="J45">
        <v>-1.027798104718161E-2</v>
      </c>
      <c r="K45" s="53"/>
    </row>
    <row r="46" spans="1:11">
      <c r="A46" s="53"/>
      <c r="B46">
        <v>4.8416890699672137E-2</v>
      </c>
      <c r="C46">
        <v>0.16124844654023013</v>
      </c>
      <c r="D46">
        <f t="array" ref="D46:D51">TRANSPOSE(E33:J33)</f>
        <v>0.13326323059565606</v>
      </c>
      <c r="E46">
        <v>1</v>
      </c>
      <c r="F46">
        <f t="array" ref="F46:J46">TRANSPOSE(E47:E51)</f>
        <v>0.63631215818065368</v>
      </c>
      <c r="G46">
        <v>0.54212214014850379</v>
      </c>
      <c r="H46">
        <v>-4.9898072200017032E-2</v>
      </c>
      <c r="I46">
        <v>-0.56752425512924543</v>
      </c>
      <c r="J46">
        <v>-3.0701575318312864E-2</v>
      </c>
      <c r="K46" s="53"/>
    </row>
    <row r="47" spans="1:11">
      <c r="A47" s="53"/>
      <c r="B47">
        <v>9.5358020824575798E-2</v>
      </c>
      <c r="C47">
        <v>0.16364232992831665</v>
      </c>
      <c r="D47">
        <v>0.11726672450954889</v>
      </c>
      <c r="E47">
        <f t="array" ref="E47:E51">TRANSPOSE(F34:J34)</f>
        <v>0.63631215818065368</v>
      </c>
      <c r="F47">
        <v>1</v>
      </c>
      <c r="G47">
        <f t="array" ref="G47:J47">TRANSPOSE(F48:F51)</f>
        <v>-0.69007319727509242</v>
      </c>
      <c r="H47">
        <v>7.2137057806178961E-2</v>
      </c>
      <c r="I47">
        <v>-0.11963651660305813</v>
      </c>
      <c r="J47">
        <v>4.692364000679692E-2</v>
      </c>
      <c r="K47" s="53"/>
    </row>
    <row r="48" spans="1:11">
      <c r="A48" s="53"/>
      <c r="B48">
        <v>7.9817788025513675E-2</v>
      </c>
      <c r="C48">
        <v>0.15449596216760131</v>
      </c>
      <c r="D48">
        <v>0.13621932344605323</v>
      </c>
      <c r="E48">
        <v>0.54212214014850379</v>
      </c>
      <c r="F48">
        <f t="array" ref="F48:F51">TRANSPOSE(G35:J35)</f>
        <v>-0.69007319727509242</v>
      </c>
      <c r="G48">
        <v>1</v>
      </c>
      <c r="H48">
        <f t="array" ref="H48:J48">TRANSPOSE(G49:G51)</f>
        <v>2.5105285491913619E-2</v>
      </c>
      <c r="I48">
        <v>-0.14864131933447275</v>
      </c>
      <c r="J48">
        <v>6.220161511136608E-3</v>
      </c>
      <c r="K48" s="53"/>
    </row>
    <row r="49" spans="1:11">
      <c r="A49" s="53"/>
      <c r="B49">
        <v>0.28809365801436909</v>
      </c>
      <c r="C49">
        <v>0.15930913024036139</v>
      </c>
      <c r="D49">
        <v>-3.8880575400127806E-2</v>
      </c>
      <c r="E49">
        <v>-4.9898072200017032E-2</v>
      </c>
      <c r="F49">
        <v>7.2137057806178961E-2</v>
      </c>
      <c r="G49">
        <f t="array" ref="G49:G51">TRANSPOSE(H36:J36)</f>
        <v>2.5105285491913619E-2</v>
      </c>
      <c r="H49">
        <v>1</v>
      </c>
      <c r="I49">
        <f t="array" ref="I49:J49">TRANSPOSE(H50:H51)</f>
        <v>0.95486638595249107</v>
      </c>
      <c r="J49">
        <v>0.87374688585989357</v>
      </c>
      <c r="K49" s="53"/>
    </row>
    <row r="50" spans="1:11">
      <c r="A50" s="53"/>
      <c r="B50">
        <v>0.28572737549807525</v>
      </c>
      <c r="C50">
        <v>0.18586748890693444</v>
      </c>
      <c r="D50">
        <v>8.3660355872481468E-4</v>
      </c>
      <c r="E50">
        <v>-0.56752425512924543</v>
      </c>
      <c r="F50">
        <v>-0.11963651660305813</v>
      </c>
      <c r="G50">
        <v>-0.14864131933447275</v>
      </c>
      <c r="H50">
        <f t="array" ref="H50:H51">TRANSPOSE(I37:J37)</f>
        <v>0.95486638595249107</v>
      </c>
      <c r="I50">
        <v>1</v>
      </c>
      <c r="J50">
        <f t="array" ref="J50">TRANSPOSE(I51)</f>
        <v>0.79416008051847498</v>
      </c>
      <c r="K50" s="53"/>
    </row>
    <row r="51" spans="1:11">
      <c r="A51" s="53"/>
      <c r="B51">
        <v>-0.41215641141756149</v>
      </c>
      <c r="C51">
        <v>-0.50568219205345299</v>
      </c>
      <c r="D51">
        <v>-1.027798104718161E-2</v>
      </c>
      <c r="E51">
        <v>-3.0701575318312864E-2</v>
      </c>
      <c r="F51">
        <v>4.692364000679692E-2</v>
      </c>
      <c r="G51">
        <v>6.220161511136608E-3</v>
      </c>
      <c r="H51">
        <v>0.87374688585989357</v>
      </c>
      <c r="I51">
        <f t="array" ref="I51">TRANSPOSE(J38)</f>
        <v>0.79416008051847498</v>
      </c>
      <c r="J51">
        <v>1</v>
      </c>
      <c r="K51" s="53"/>
    </row>
    <row r="52" spans="1:11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</row>
    <row r="53" spans="1:11" ht="13.5" thickBot="1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</row>
    <row r="54" spans="1:11" ht="15">
      <c r="A54" s="2" t="s">
        <v>37</v>
      </c>
      <c r="B54" s="2" t="s">
        <v>2</v>
      </c>
      <c r="C54" s="2" t="s">
        <v>12</v>
      </c>
      <c r="D54" s="2" t="s">
        <v>36</v>
      </c>
      <c r="E54" s="2" t="s">
        <v>13</v>
      </c>
      <c r="F54" s="2" t="s">
        <v>14</v>
      </c>
      <c r="G54" s="2" t="s">
        <v>15</v>
      </c>
      <c r="H54" s="2" t="s">
        <v>16</v>
      </c>
      <c r="I54" s="2" t="s">
        <v>17</v>
      </c>
      <c r="J54" s="2" t="s">
        <v>18</v>
      </c>
    </row>
    <row r="55" spans="1:11" ht="15">
      <c r="A55" s="1" t="str">
        <f t="array" ref="A55:A63">TRANSPOSE(B54:J54)</f>
        <v>GOLD</v>
      </c>
      <c r="B55" s="52">
        <v>1</v>
      </c>
      <c r="C55" s="52">
        <f t="array" ref="C55:J55">TRANSPOSE(B56:B63)</f>
        <v>0.81927057670378234</v>
      </c>
      <c r="D55" s="52">
        <v>3.6708919195013144E-2</v>
      </c>
      <c r="E55" s="52">
        <v>4.8416890699672137E-2</v>
      </c>
      <c r="F55" s="52">
        <v>9.5358020824575798E-2</v>
      </c>
      <c r="G55" s="52">
        <v>7.9817788025513675E-2</v>
      </c>
      <c r="H55" s="52">
        <v>0.28809365801436909</v>
      </c>
      <c r="I55" s="52">
        <v>0.28572737549807525</v>
      </c>
      <c r="J55" s="52">
        <v>-0.41215641141756149</v>
      </c>
    </row>
    <row r="56" spans="1:11" ht="15">
      <c r="A56" s="1" t="str">
        <v xml:space="preserve"> SILVER</v>
      </c>
      <c r="B56" s="52">
        <f t="array" ref="B56:B63">TRANSPOSE(C43:J43)</f>
        <v>0.81927057670378234</v>
      </c>
      <c r="C56" s="52">
        <v>1</v>
      </c>
      <c r="D56" s="52">
        <f t="array" ref="D56:J56">TRANSPOSE(C57:C63)</f>
        <v>6.1309786601005119E-2</v>
      </c>
      <c r="E56" s="52">
        <v>0.16124844654023013</v>
      </c>
      <c r="F56" s="52">
        <v>0.16364232992831665</v>
      </c>
      <c r="G56" s="52">
        <v>0.15449596216760131</v>
      </c>
      <c r="H56" s="52">
        <v>0.15930913024036139</v>
      </c>
      <c r="I56" s="52">
        <v>0.18586748890693444</v>
      </c>
      <c r="J56" s="52">
        <v>-0.50568219205345299</v>
      </c>
    </row>
    <row r="57" spans="1:11" ht="15">
      <c r="A57" s="1" t="str">
        <v xml:space="preserve"> OIL</v>
      </c>
      <c r="B57" s="52">
        <v>3.6708919195013144E-2</v>
      </c>
      <c r="C57" s="52">
        <f t="array" ref="C57:C63">TRANSPOSE(D44:J44)</f>
        <v>6.1309786601005119E-2</v>
      </c>
      <c r="D57" s="52">
        <v>1</v>
      </c>
      <c r="E57" s="52">
        <f t="array" ref="E57:J57">TRANSPOSE(D58:D63)</f>
        <v>0.13326323059565606</v>
      </c>
      <c r="F57" s="52">
        <v>0.11726672450954889</v>
      </c>
      <c r="G57" s="52">
        <v>0.13621932344605323</v>
      </c>
      <c r="H57" s="52">
        <v>-3.8880575400127806E-2</v>
      </c>
      <c r="I57" s="52">
        <v>8.3660355872481468E-4</v>
      </c>
      <c r="J57" s="52">
        <v>-1.027798104718161E-2</v>
      </c>
    </row>
    <row r="58" spans="1:11" ht="15">
      <c r="A58" s="1" t="str">
        <v xml:space="preserve"> NASDAQ</v>
      </c>
      <c r="B58" s="52">
        <v>4.8416890699672137E-2</v>
      </c>
      <c r="C58" s="52">
        <v>0.16124844654023013</v>
      </c>
      <c r="D58" s="52">
        <f t="array" ref="D58:D63">TRANSPOSE(E45:J45)</f>
        <v>0.13326323059565606</v>
      </c>
      <c r="E58" s="52">
        <v>1</v>
      </c>
      <c r="F58" s="52">
        <f t="array" ref="F58:J58">TRANSPOSE(E59:E63)</f>
        <v>0.63631215818065368</v>
      </c>
      <c r="G58" s="52">
        <v>0.54212214014850379</v>
      </c>
      <c r="H58" s="52">
        <v>-4.9898072200017032E-2</v>
      </c>
      <c r="I58" s="52">
        <v>-0.56752425512924543</v>
      </c>
      <c r="J58" s="52">
        <v>-3.0701575318312864E-2</v>
      </c>
    </row>
    <row r="59" spans="1:11" ht="15">
      <c r="A59" s="1" t="str">
        <v xml:space="preserve"> S&amp;P</v>
      </c>
      <c r="B59" s="52">
        <v>9.5358020824575798E-2</v>
      </c>
      <c r="C59" s="52">
        <v>0.16364232992831665</v>
      </c>
      <c r="D59" s="52">
        <v>0.11726672450954889</v>
      </c>
      <c r="E59" s="52">
        <f t="array" ref="E59:E63">TRANSPOSE(F46:J46)</f>
        <v>0.63631215818065368</v>
      </c>
      <c r="F59" s="52">
        <v>1</v>
      </c>
      <c r="G59" s="52">
        <f t="array" ref="G59:J59">TRANSPOSE(F60:F63)</f>
        <v>-0.69007319727509242</v>
      </c>
      <c r="H59" s="52">
        <v>7.2137057806178961E-2</v>
      </c>
      <c r="I59" s="52">
        <v>-0.11963651660305813</v>
      </c>
      <c r="J59" s="52">
        <v>4.692364000679692E-2</v>
      </c>
    </row>
    <row r="60" spans="1:11" ht="15">
      <c r="A60" s="1" t="str">
        <v xml:space="preserve"> DOW JONES</v>
      </c>
      <c r="B60" s="52">
        <v>7.9817788025513675E-2</v>
      </c>
      <c r="C60" s="52">
        <v>0.15449596216760131</v>
      </c>
      <c r="D60" s="52">
        <v>0.13621932344605323</v>
      </c>
      <c r="E60" s="52">
        <v>0.54212214014850379</v>
      </c>
      <c r="F60" s="52">
        <f t="array" ref="F60:F63">TRANSPOSE(G47:J47)</f>
        <v>-0.69007319727509242</v>
      </c>
      <c r="G60" s="52">
        <v>1</v>
      </c>
      <c r="H60" s="52">
        <f t="array" ref="H60:J60">TRANSPOSE(G61:G63)</f>
        <v>2.5105285491913619E-2</v>
      </c>
      <c r="I60" s="52">
        <v>-0.14864131933447275</v>
      </c>
      <c r="J60" s="52">
        <v>6.220161511136608E-3</v>
      </c>
    </row>
    <row r="61" spans="1:11" ht="15">
      <c r="A61" s="1" t="str">
        <v xml:space="preserve"> FIDELITY US BOND</v>
      </c>
      <c r="B61" s="52">
        <v>0.28809365801436909</v>
      </c>
      <c r="C61" s="52">
        <v>0.15930913024036139</v>
      </c>
      <c r="D61" s="52">
        <v>-3.8880575400127806E-2</v>
      </c>
      <c r="E61" s="52">
        <v>-4.9898072200017032E-2</v>
      </c>
      <c r="F61" s="52">
        <v>7.2137057806178961E-2</v>
      </c>
      <c r="G61" s="52">
        <f t="array" ref="G61:G63">TRANSPOSE(H48:J48)</f>
        <v>2.5105285491913619E-2</v>
      </c>
      <c r="H61" s="52">
        <v>1</v>
      </c>
      <c r="I61" s="52">
        <f t="array" ref="I61:J61">TRANSPOSE(H62:H63)</f>
        <v>0.95486638595249107</v>
      </c>
      <c r="J61" s="52">
        <v>0.87374688585989357</v>
      </c>
    </row>
    <row r="62" spans="1:11" ht="15">
      <c r="A62" s="1" t="str">
        <v xml:space="preserve"> BLACKROCK</v>
      </c>
      <c r="B62" s="52">
        <v>0.28572737549807525</v>
      </c>
      <c r="C62" s="52">
        <v>0.18586748890693444</v>
      </c>
      <c r="D62" s="52">
        <v>8.3660355872481468E-4</v>
      </c>
      <c r="E62" s="52">
        <v>-0.56752425512924543</v>
      </c>
      <c r="F62" s="52">
        <v>-0.11963651660305813</v>
      </c>
      <c r="G62" s="52">
        <v>-0.14864131933447275</v>
      </c>
      <c r="H62" s="52">
        <f t="array" ref="H62:H63">TRANSPOSE(I49:J49)</f>
        <v>0.95486638595249107</v>
      </c>
      <c r="I62" s="52">
        <v>1</v>
      </c>
      <c r="J62" s="52">
        <f t="array" ref="J62">TRANSPOSE(I63)</f>
        <v>0.79416008051847498</v>
      </c>
    </row>
    <row r="63" spans="1:11" ht="15.75" thickBot="1">
      <c r="A63" s="3" t="str">
        <v xml:space="preserve"> BNY MELLON</v>
      </c>
      <c r="B63" s="52">
        <v>-0.41215641141756149</v>
      </c>
      <c r="C63" s="52">
        <v>-0.50568219205345299</v>
      </c>
      <c r="D63" s="52">
        <v>-1.027798104718161E-2</v>
      </c>
      <c r="E63" s="52">
        <v>-3.0701575318312864E-2</v>
      </c>
      <c r="F63" s="52">
        <v>4.692364000679692E-2</v>
      </c>
      <c r="G63" s="52">
        <v>6.220161511136608E-3</v>
      </c>
      <c r="H63" s="52">
        <v>0.87374688585989357</v>
      </c>
      <c r="I63" s="52">
        <f t="array" ref="I63">TRANSPOSE(J50)</f>
        <v>0.79416008051847498</v>
      </c>
      <c r="J63" s="52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18"/>
  <sheetViews>
    <sheetView workbookViewId="0">
      <selection activeCell="G23" sqref="G23"/>
    </sheetView>
  </sheetViews>
  <sheetFormatPr defaultRowHeight="12.75"/>
  <cols>
    <col min="4" max="4" width="13.28515625" customWidth="1"/>
    <col min="5" max="5" width="11.7109375" customWidth="1"/>
    <col min="6" max="6" width="11" customWidth="1"/>
    <col min="7" max="7" width="10.5703125" customWidth="1"/>
    <col min="8" max="8" width="11.140625" customWidth="1"/>
    <col min="9" max="9" width="11.42578125" customWidth="1"/>
    <col min="10" max="10" width="11.85546875" customWidth="1"/>
  </cols>
  <sheetData>
    <row r="1" spans="2:13"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</row>
    <row r="2" spans="2:13">
      <c r="B2" s="53"/>
      <c r="C2" s="55" t="s">
        <v>38</v>
      </c>
      <c r="D2" s="56">
        <v>3.3192537299999998</v>
      </c>
      <c r="E2" s="55">
        <v>2.8329587900000002</v>
      </c>
      <c r="F2" s="55">
        <v>1.4139063700000001</v>
      </c>
      <c r="G2" s="55">
        <v>0.96731655999999999</v>
      </c>
      <c r="H2" s="55">
        <v>0.20465187000000001</v>
      </c>
      <c r="I2" s="55">
        <v>0.17095643999999999</v>
      </c>
      <c r="J2" s="56">
        <v>5.3454870000000002E-2</v>
      </c>
      <c r="K2" s="55">
        <v>2.8381859999999998E-2</v>
      </c>
      <c r="L2" s="55">
        <v>9.1194999999999991E-3</v>
      </c>
      <c r="M2" s="53"/>
    </row>
    <row r="3" spans="2:13">
      <c r="B3" s="53"/>
      <c r="C3" s="55" t="s">
        <v>39</v>
      </c>
      <c r="D3" s="57">
        <v>3.05219723</v>
      </c>
      <c r="E3" s="55">
        <v>2.2782976700000002</v>
      </c>
      <c r="F3" s="55">
        <v>1.9881966</v>
      </c>
      <c r="G3" s="55">
        <v>1.8554887</v>
      </c>
      <c r="H3" s="55">
        <v>0.97343137999999996</v>
      </c>
      <c r="I3" s="55">
        <v>0.22099927999999999</v>
      </c>
      <c r="J3" s="55">
        <v>8.2135449999999999E-2</v>
      </c>
      <c r="K3" s="55">
        <v>0</v>
      </c>
      <c r="L3" s="55">
        <v>0</v>
      </c>
      <c r="M3" s="53"/>
    </row>
    <row r="4" spans="2:13">
      <c r="B4" s="53"/>
      <c r="C4" s="58"/>
      <c r="D4" s="58"/>
      <c r="E4" s="58"/>
      <c r="F4" s="58"/>
      <c r="G4" s="58"/>
      <c r="H4" s="58"/>
      <c r="I4" s="58"/>
      <c r="J4" s="58"/>
      <c r="K4" s="58"/>
      <c r="L4" s="58"/>
      <c r="M4" s="53"/>
    </row>
    <row r="5" spans="2:13">
      <c r="B5" s="53"/>
      <c r="C5" s="58"/>
      <c r="D5" s="58"/>
      <c r="E5" s="58"/>
      <c r="F5" s="58"/>
      <c r="G5" s="58"/>
      <c r="H5" s="58"/>
      <c r="I5" s="58"/>
      <c r="J5" s="58"/>
      <c r="K5" s="58"/>
      <c r="L5" s="58"/>
      <c r="M5" s="53"/>
    </row>
    <row r="6" spans="2:13">
      <c r="B6" s="53"/>
      <c r="C6" s="55" t="str">
        <f t="array" ref="C6:C15">TRANSPOSE(C2:L2)</f>
        <v>V_1</v>
      </c>
      <c r="D6" s="55" t="str">
        <f t="array" ref="D6:D15">TRANSPOSE(C3:L3)</f>
        <v>V_2</v>
      </c>
      <c r="E6" s="57" t="s">
        <v>40</v>
      </c>
      <c r="F6" s="57" t="s">
        <v>41</v>
      </c>
      <c r="G6" s="55"/>
      <c r="H6" s="55"/>
      <c r="I6" s="55"/>
      <c r="J6" s="55"/>
      <c r="K6" s="55"/>
      <c r="L6" s="55"/>
      <c r="M6" s="53"/>
    </row>
    <row r="7" spans="2:13">
      <c r="B7" s="53"/>
      <c r="C7" s="55">
        <v>3.3192537299999998</v>
      </c>
      <c r="D7" s="55">
        <v>3.05219723</v>
      </c>
      <c r="E7" s="55">
        <f t="array" ref="E7">C7-D7</f>
        <v>0.26705649999999981</v>
      </c>
      <c r="F7" s="55">
        <f t="array" ref="F7">E7^2</f>
        <v>7.1319174192249896E-2</v>
      </c>
      <c r="G7" s="55"/>
      <c r="H7" s="55"/>
      <c r="I7" s="55"/>
      <c r="J7" s="55"/>
      <c r="K7" s="55"/>
      <c r="L7" s="55"/>
      <c r="M7" s="53"/>
    </row>
    <row r="8" spans="2:13">
      <c r="B8" s="53"/>
      <c r="C8" s="55">
        <v>2.8329587900000002</v>
      </c>
      <c r="D8" s="55">
        <v>2.2782976700000002</v>
      </c>
      <c r="E8" s="55">
        <f t="array" ref="E8">C8-D8</f>
        <v>0.55466112000000001</v>
      </c>
      <c r="F8" s="55">
        <f t="array" ref="F8">E8^2</f>
        <v>0.30764895803965442</v>
      </c>
      <c r="G8" s="55"/>
      <c r="H8" s="55"/>
      <c r="I8" s="55"/>
      <c r="J8" s="55"/>
      <c r="K8" s="55"/>
      <c r="L8" s="55"/>
      <c r="M8" s="53"/>
    </row>
    <row r="9" spans="2:13">
      <c r="B9" s="53"/>
      <c r="C9" s="55">
        <v>1.4139063700000001</v>
      </c>
      <c r="D9" s="55">
        <v>1.9881966</v>
      </c>
      <c r="E9" s="55">
        <f t="array" ref="E9">C9-D9</f>
        <v>-0.5742902299999999</v>
      </c>
      <c r="F9" s="55">
        <f t="array" ref="F9">E9^2</f>
        <v>0.3298092682734528</v>
      </c>
      <c r="G9" s="55"/>
      <c r="H9" s="55"/>
      <c r="I9" s="55"/>
      <c r="J9" s="55"/>
      <c r="K9" s="55"/>
      <c r="L9" s="55"/>
      <c r="M9" s="53"/>
    </row>
    <row r="10" spans="2:13">
      <c r="B10" s="53"/>
      <c r="C10" s="55">
        <v>0.96731655999999999</v>
      </c>
      <c r="D10" s="55">
        <v>1.8554887</v>
      </c>
      <c r="E10" s="55">
        <f t="array" ref="E10">C10-D10</f>
        <v>-0.88817214</v>
      </c>
      <c r="F10" s="55">
        <f t="array" ref="F10">E10^2</f>
        <v>0.78884975027217963</v>
      </c>
      <c r="G10" s="55"/>
      <c r="H10" s="55"/>
      <c r="I10" s="55"/>
      <c r="J10" s="55"/>
      <c r="K10" s="55"/>
      <c r="L10" s="55"/>
      <c r="M10" s="53"/>
    </row>
    <row r="11" spans="2:13">
      <c r="B11" s="53"/>
      <c r="C11" s="55">
        <v>0.20465187000000001</v>
      </c>
      <c r="D11" s="55">
        <v>0.97343137999999996</v>
      </c>
      <c r="E11" s="55">
        <f t="array" ref="E11">C11-D11</f>
        <v>-0.76877950999999989</v>
      </c>
      <c r="F11" s="55">
        <f t="array" ref="F11">E11^2</f>
        <v>0.59102193499583988</v>
      </c>
      <c r="G11" s="55"/>
      <c r="H11" s="55"/>
      <c r="I11" s="55"/>
      <c r="J11" s="55"/>
      <c r="K11" s="55"/>
      <c r="L11" s="55"/>
      <c r="M11" s="53"/>
    </row>
    <row r="12" spans="2:13">
      <c r="B12" s="53"/>
      <c r="C12" s="55">
        <v>0.17095643999999999</v>
      </c>
      <c r="D12" s="55">
        <v>0.22099927999999999</v>
      </c>
      <c r="E12" s="55">
        <f t="array" ref="E12">C12-D12</f>
        <v>-5.0042840000000005E-2</v>
      </c>
      <c r="F12" s="55">
        <f t="array" ref="F12">E12^2</f>
        <v>2.5042858352656004E-3</v>
      </c>
      <c r="G12" s="55"/>
      <c r="H12" s="55"/>
      <c r="I12" s="55"/>
      <c r="J12" s="55"/>
      <c r="K12" s="55"/>
      <c r="L12" s="55"/>
      <c r="M12" s="53"/>
    </row>
    <row r="13" spans="2:13">
      <c r="B13" s="53"/>
      <c r="C13" s="55">
        <v>5.3454870000000002E-2</v>
      </c>
      <c r="D13" s="55">
        <v>8.2135449999999999E-2</v>
      </c>
      <c r="E13" s="55">
        <f t="array" ref="E13">C13-D13</f>
        <v>-2.8680579999999997E-2</v>
      </c>
      <c r="F13" s="55">
        <f t="array" ref="F13">E13^2</f>
        <v>8.225756691363998E-4</v>
      </c>
      <c r="G13" s="55"/>
      <c r="H13" s="55"/>
      <c r="I13" s="55"/>
      <c r="J13" s="55"/>
      <c r="K13" s="55"/>
      <c r="L13" s="55"/>
      <c r="M13" s="53"/>
    </row>
    <row r="14" spans="2:13">
      <c r="B14" s="53"/>
      <c r="C14" s="55">
        <v>2.8381859999999998E-2</v>
      </c>
      <c r="D14" s="55">
        <v>0</v>
      </c>
      <c r="E14" s="55">
        <f t="array" ref="E14">C14-D14</f>
        <v>2.8381859999999998E-2</v>
      </c>
      <c r="F14" s="55">
        <f t="array" ref="F14">E14^2</f>
        <v>8.0552997705959993E-4</v>
      </c>
      <c r="G14" s="55"/>
      <c r="H14" s="55"/>
      <c r="I14" s="55"/>
      <c r="J14" s="55"/>
      <c r="K14" s="55"/>
      <c r="L14" s="55"/>
      <c r="M14" s="53"/>
    </row>
    <row r="15" spans="2:13">
      <c r="B15" s="53"/>
      <c r="C15" s="55">
        <v>9.1194999999999991E-3</v>
      </c>
      <c r="D15" s="55">
        <v>0</v>
      </c>
      <c r="E15" s="55">
        <f t="array" ref="E15">C15-D15</f>
        <v>9.1194999999999991E-3</v>
      </c>
      <c r="F15" s="55">
        <f t="array" ref="F15">E15^2</f>
        <v>8.3165280249999986E-5</v>
      </c>
      <c r="G15" s="55"/>
      <c r="H15" s="55"/>
      <c r="I15" s="55"/>
      <c r="J15" s="55"/>
      <c r="K15" s="55"/>
      <c r="L15" s="55"/>
      <c r="M15" s="53"/>
    </row>
    <row r="16" spans="2:13">
      <c r="B16" s="53"/>
      <c r="C16" s="58"/>
      <c r="D16" s="58"/>
      <c r="E16" s="58"/>
      <c r="F16" s="55"/>
      <c r="G16" s="55"/>
      <c r="H16" s="55"/>
      <c r="I16" s="55"/>
      <c r="J16" s="55"/>
      <c r="K16" s="55"/>
      <c r="L16" s="55"/>
      <c r="M16" s="53"/>
    </row>
    <row r="17" spans="2:13">
      <c r="B17" s="54" t="s">
        <v>42</v>
      </c>
      <c r="C17" s="58"/>
      <c r="D17" s="58"/>
      <c r="E17" s="58"/>
      <c r="F17" s="55">
        <f t="array" ref="F17">SUM(F7:F15)</f>
        <v>2.0928646425350883</v>
      </c>
      <c r="G17" s="58"/>
      <c r="H17" s="58"/>
      <c r="I17" s="58"/>
      <c r="J17" s="58"/>
      <c r="K17" s="58"/>
      <c r="L17" s="58"/>
      <c r="M17" s="53"/>
    </row>
    <row r="18" spans="2:13">
      <c r="B18" s="53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3"/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CORRELATION MATRIX</vt:lpstr>
      <vt:lpstr>DATA</vt:lpstr>
      <vt:lpstr>Sheet1</vt:lpstr>
      <vt:lpstr>Unstressed correlations</vt:lpstr>
      <vt:lpstr>Stressed correlations</vt:lpstr>
      <vt:lpstr>adjusted corr</vt:lpstr>
      <vt:lpstr>errors</vt:lpstr>
    </vt:vector>
  </TitlesOfParts>
  <Company>Algorithmics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ONTLOTLILE</cp:lastModifiedBy>
  <cp:lastPrinted>2006-03-03T12:05:49Z</cp:lastPrinted>
  <dcterms:created xsi:type="dcterms:W3CDTF">2006-02-24T15:24:13Z</dcterms:created>
  <dcterms:modified xsi:type="dcterms:W3CDTF">2023-11-02T07:38:10Z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-1306209999</vt:i4>
  </property>
  <property fmtid="{D5CDD505-2E9C-101B-9397-08002B2CF9AE}" pid="3" name="_NewReviewCycle">
    <vt:lpwstr/>
  </property>
  <property fmtid="{D5CDD505-2E9C-101B-9397-08002B2CF9AE}" pid="4" name="_EmailSubject">
    <vt:lpwstr>Biplot Spec.xls</vt:lpwstr>
  </property>
  <property fmtid="{D5CDD505-2E9C-101B-9397-08002B2CF9AE}" pid="5" name="_AuthorEmail">
    <vt:lpwstr>mbotha@algorithmics.com</vt:lpwstr>
  </property>
  <property fmtid="{D5CDD505-2E9C-101B-9397-08002B2CF9AE}" pid="6" name="_AuthorEmailDisplayName">
    <vt:lpwstr>Martin Botha</vt:lpwstr>
  </property>
  <property fmtid="{D5CDD505-2E9C-101B-9397-08002B2CF9AE}" pid="7" name="_ReviewingToolsShownOnce">
    <vt:lpwstr/>
  </property>
</Properties>
</file>